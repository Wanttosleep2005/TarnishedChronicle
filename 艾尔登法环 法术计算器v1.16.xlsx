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D:\老头环\表\"/>
    </mc:Choice>
  </mc:AlternateContent>
  <xr:revisionPtr revIDLastSave="0" documentId="13_ncr:1_{AE3BD0BE-E509-436D-B471-B9326BD95A1D}" xr6:coauthVersionLast="47" xr6:coauthVersionMax="47" xr10:uidLastSave="{00000000-0000-0000-0000-000000000000}"/>
  <bookViews>
    <workbookView xWindow="-103" yWindow="-103" windowWidth="22149" windowHeight="13200" tabRatio="791" xr2:uid="{00000000-000D-0000-FFFF-FFFF00000000}"/>
  </bookViews>
  <sheets>
    <sheet name="法术计算器" sheetId="1" r:id="rId1"/>
    <sheet name="对比计算" sheetId="12" r:id="rId2"/>
    <sheet name="敌人数据" sheetId="6" r:id="rId3"/>
    <sheet name="AtkParam" sheetId="2" r:id="rId4"/>
    <sheet name="SpellData" sheetId="11" r:id="rId5"/>
    <sheet name="AtkCorrect" sheetId="8" r:id="rId6"/>
    <sheet name="Weapon" sheetId="7" r:id="rId7"/>
    <sheet name="WeaponUP" sheetId="10" r:id="rId8"/>
    <sheet name="List" sheetId="9" r:id="rId9"/>
    <sheet name="Buff" sheetId="4" r:id="rId10"/>
    <sheet name="Curve" sheetId="5" r:id="rId11"/>
  </sheets>
  <definedNames>
    <definedName name="_xlnm._FilterDatabase" localSheetId="3" hidden="1">AtkParam!$A$1:$Y$320</definedName>
    <definedName name="_xlnm._FilterDatabase" localSheetId="9" hidden="1">Buff!#REF!</definedName>
    <definedName name="_xlnm._FilterDatabase" localSheetId="6" hidden="1">Weapon!$Y$1:$Z$24</definedName>
    <definedName name="_xlnm._FilterDatabase" localSheetId="2" hidden="1">敌人数据!#REF!</definedName>
    <definedName name="_xlnm._FilterDatabase" localSheetId="1" hidden="1">对比计算!$A$3:$DL$14</definedName>
    <definedName name="_xlnm._FilterDatabase" localSheetId="0" hidden="1">法术计算器!$B$17:$S$17</definedName>
    <definedName name="祷告">_xlfn.ANCHORARRAY(AtkParam!$Y$2)</definedName>
    <definedName name="副手类buff">Buff!$N$2:$N$35</definedName>
    <definedName name="减防debuff">Buff!$J$2:$J$35</definedName>
    <definedName name="立誓类buff">Buff!$L$2:$L$35</definedName>
    <definedName name="魔法">_xlfn.ANCHORARRAY(AtkParam!$X$2)</definedName>
    <definedName name="身体类buff">Buff!$M$2:$M$35</definedName>
    <definedName name="通用buff">Buff!$I$2:$I$35</definedName>
    <definedName name="装备buff">Buff!$K$2:$K$35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7" i="12" l="1" a="1"/>
  <c r="Z17" i="12" s="1"/>
  <c r="AA17" i="12" a="1"/>
  <c r="AA17" i="12" s="1"/>
  <c r="AB17" i="12" a="1"/>
  <c r="AB17" i="12" s="1"/>
  <c r="AC17" i="12" a="1"/>
  <c r="AC17" i="12" s="1"/>
  <c r="AD17" i="12" a="1"/>
  <c r="AD17" i="12" s="1"/>
  <c r="Y17" i="12" a="1"/>
  <c r="Y17" i="12" s="1"/>
  <c r="G286" i="2"/>
  <c r="F16" i="12"/>
  <c r="K8" i="12"/>
  <c r="AD8" i="12" s="1" a="1"/>
  <c r="AD8" i="12" s="1"/>
  <c r="K7" i="12"/>
  <c r="AD7" i="12" s="1" a="1"/>
  <c r="AD7" i="12" s="1"/>
  <c r="A17" i="12" a="1"/>
  <c r="A17" i="12" s="1"/>
  <c r="I17" i="12" s="1" a="1"/>
  <c r="I17" i="12" s="1"/>
  <c r="B14" i="12" a="1"/>
  <c r="B14" i="12" s="1"/>
  <c r="C11" i="12"/>
  <c r="B13" i="12" a="1"/>
  <c r="B13" i="12" s="1"/>
  <c r="I5" i="12"/>
  <c r="I16" i="1"/>
  <c r="K5" i="1"/>
  <c r="M17" i="1" a="1"/>
  <c r="M17" i="1" s="1"/>
  <c r="L17" i="1" a="1"/>
  <c r="L17" i="1" s="1"/>
  <c r="H17" i="1" s="1" a="1"/>
  <c r="H17" i="1" s="1"/>
  <c r="I17" i="1" s="1" a="1"/>
  <c r="I17" i="1" s="1"/>
  <c r="N2" i="4" a="1"/>
  <c r="N2" i="4"/>
  <c r="BU17" i="1" a="1"/>
  <c r="BU17" i="1" s="1"/>
  <c r="AK17" i="1" a="1"/>
  <c r="AK17" i="1" s="1"/>
  <c r="W17" i="1" a="1"/>
  <c r="W17" i="1" s="1"/>
  <c r="X17" i="1" a="1"/>
  <c r="X17" i="1" s="1"/>
  <c r="Y17" i="1" a="1"/>
  <c r="Y17" i="1" s="1"/>
  <c r="Z17" i="1" a="1"/>
  <c r="Z17" i="1" s="1"/>
  <c r="V17" i="1" a="1"/>
  <c r="V17" i="1" s="1"/>
  <c r="CH17" i="1" a="1"/>
  <c r="CH17" i="1" s="1"/>
  <c r="CG17" i="1" a="1"/>
  <c r="CG17" i="1" s="1"/>
  <c r="D8" i="1" a="1"/>
  <c r="D8" i="1" s="1"/>
  <c r="D7" i="1" a="1"/>
  <c r="D7" i="1" s="1"/>
  <c r="BR17" i="1" a="1"/>
  <c r="BR17" i="1" s="1"/>
  <c r="BS17" i="1" a="1"/>
  <c r="BS17" i="1" s="1"/>
  <c r="BQ17" i="1" a="1"/>
  <c r="BQ17" i="1" s="1"/>
  <c r="B11" i="1" a="1"/>
  <c r="B11" i="1" s="1"/>
  <c r="Z2" i="7" a="1"/>
  <c r="Z2" i="7"/>
  <c r="Y2" i="7" a="1"/>
  <c r="Y2" i="7"/>
  <c r="BP17" i="1" a="1"/>
  <c r="BP17" i="1" s="1"/>
  <c r="R17" i="1" a="1"/>
  <c r="R17" i="1" s="1"/>
  <c r="S17" i="1" a="1"/>
  <c r="S17" i="1" s="1"/>
  <c r="T17" i="1" a="1"/>
  <c r="T17" i="1" s="1"/>
  <c r="U17" i="1" a="1"/>
  <c r="U17" i="1" s="1"/>
  <c r="Q17" i="1" a="1"/>
  <c r="Q17" i="1" s="1"/>
  <c r="B13" i="1" a="1"/>
  <c r="B13" i="1" s="1"/>
  <c r="B14" i="1" a="1"/>
  <c r="B14" i="1" s="1"/>
  <c r="B12" i="1" a="1"/>
  <c r="B12" i="1" s="1"/>
  <c r="J5" i="1"/>
  <c r="I5" i="1"/>
  <c r="J51" i="6"/>
  <c r="I51" i="6"/>
  <c r="H51" i="6"/>
  <c r="G51" i="6"/>
  <c r="F51" i="6"/>
  <c r="E51" i="6"/>
  <c r="J50" i="6"/>
  <c r="I50" i="6"/>
  <c r="H50" i="6"/>
  <c r="G50" i="6"/>
  <c r="F50" i="6"/>
  <c r="E50" i="6"/>
  <c r="J49" i="6"/>
  <c r="I49" i="6"/>
  <c r="H49" i="6"/>
  <c r="G49" i="6"/>
  <c r="F49" i="6"/>
  <c r="E49" i="6"/>
  <c r="R48" i="6"/>
  <c r="Q48" i="6"/>
  <c r="P48" i="6"/>
  <c r="O48" i="6"/>
  <c r="J46" i="6"/>
  <c r="I46" i="6"/>
  <c r="H46" i="6"/>
  <c r="G46" i="6"/>
  <c r="F46" i="6"/>
  <c r="E46" i="6"/>
  <c r="J45" i="6"/>
  <c r="I45" i="6"/>
  <c r="H45" i="6"/>
  <c r="G45" i="6"/>
  <c r="F45" i="6"/>
  <c r="E45" i="6"/>
  <c r="J44" i="6"/>
  <c r="I44" i="6"/>
  <c r="H44" i="6"/>
  <c r="G44" i="6"/>
  <c r="F44" i="6"/>
  <c r="E44" i="6"/>
  <c r="J43" i="6"/>
  <c r="I43" i="6"/>
  <c r="H43" i="6"/>
  <c r="G43" i="6"/>
  <c r="F43" i="6"/>
  <c r="E43" i="6"/>
  <c r="J42" i="6"/>
  <c r="I42" i="6"/>
  <c r="H42" i="6"/>
  <c r="G42" i="6"/>
  <c r="F42" i="6"/>
  <c r="E42" i="6"/>
  <c r="J41" i="6"/>
  <c r="I41" i="6"/>
  <c r="H41" i="6"/>
  <c r="G41" i="6"/>
  <c r="F41" i="6"/>
  <c r="E41" i="6"/>
  <c r="J40" i="6"/>
  <c r="I40" i="6"/>
  <c r="H40" i="6"/>
  <c r="G40" i="6"/>
  <c r="F40" i="6"/>
  <c r="E40" i="6"/>
  <c r="J39" i="6"/>
  <c r="I39" i="6"/>
  <c r="H39" i="6"/>
  <c r="G39" i="6"/>
  <c r="F39" i="6"/>
  <c r="E39" i="6"/>
  <c r="J38" i="6"/>
  <c r="I38" i="6"/>
  <c r="H38" i="6"/>
  <c r="G38" i="6"/>
  <c r="F38" i="6"/>
  <c r="E38" i="6"/>
  <c r="J37" i="6"/>
  <c r="I37" i="6"/>
  <c r="H37" i="6"/>
  <c r="G37" i="6"/>
  <c r="F37" i="6"/>
  <c r="E37" i="6"/>
  <c r="J36" i="6"/>
  <c r="I36" i="6"/>
  <c r="H36" i="6"/>
  <c r="G36" i="6"/>
  <c r="F36" i="6"/>
  <c r="E36" i="6"/>
  <c r="J35" i="6"/>
  <c r="I35" i="6"/>
  <c r="H35" i="6"/>
  <c r="G35" i="6"/>
  <c r="F35" i="6"/>
  <c r="E35" i="6"/>
  <c r="J34" i="6"/>
  <c r="I34" i="6"/>
  <c r="H34" i="6"/>
  <c r="G34" i="6"/>
  <c r="F34" i="6"/>
  <c r="E34" i="6"/>
  <c r="J33" i="6"/>
  <c r="I33" i="6"/>
  <c r="H33" i="6"/>
  <c r="G33" i="6"/>
  <c r="F33" i="6"/>
  <c r="E33" i="6"/>
  <c r="J32" i="6"/>
  <c r="I32" i="6"/>
  <c r="H32" i="6"/>
  <c r="G32" i="6"/>
  <c r="F32" i="6"/>
  <c r="E32" i="6"/>
  <c r="J31" i="6"/>
  <c r="I31" i="6"/>
  <c r="H31" i="6"/>
  <c r="G31" i="6"/>
  <c r="F31" i="6"/>
  <c r="E31" i="6"/>
  <c r="J30" i="6"/>
  <c r="I30" i="6"/>
  <c r="H30" i="6"/>
  <c r="G30" i="6"/>
  <c r="F30" i="6"/>
  <c r="E30" i="6"/>
  <c r="J29" i="6"/>
  <c r="I29" i="6"/>
  <c r="H29" i="6"/>
  <c r="G29" i="6"/>
  <c r="F29" i="6"/>
  <c r="E29" i="6"/>
  <c r="J28" i="6"/>
  <c r="I28" i="6"/>
  <c r="H28" i="6"/>
  <c r="G28" i="6"/>
  <c r="F28" i="6"/>
  <c r="E28" i="6"/>
  <c r="J27" i="6"/>
  <c r="I27" i="6"/>
  <c r="H27" i="6"/>
  <c r="G27" i="6"/>
  <c r="F27" i="6"/>
  <c r="E27" i="6"/>
  <c r="J26" i="6"/>
  <c r="I26" i="6"/>
  <c r="H26" i="6"/>
  <c r="G26" i="6"/>
  <c r="F26" i="6"/>
  <c r="E26" i="6"/>
  <c r="J25" i="6"/>
  <c r="I25" i="6"/>
  <c r="H25" i="6"/>
  <c r="G25" i="6"/>
  <c r="F25" i="6"/>
  <c r="E25" i="6"/>
  <c r="J24" i="6"/>
  <c r="I24" i="6"/>
  <c r="H24" i="6"/>
  <c r="G24" i="6"/>
  <c r="F24" i="6"/>
  <c r="E24" i="6"/>
  <c r="J23" i="6"/>
  <c r="I23" i="6"/>
  <c r="H23" i="6"/>
  <c r="G23" i="6"/>
  <c r="F23" i="6"/>
  <c r="E23" i="6"/>
  <c r="J22" i="6"/>
  <c r="I22" i="6"/>
  <c r="H22" i="6"/>
  <c r="G22" i="6"/>
  <c r="F22" i="6"/>
  <c r="E22" i="6"/>
  <c r="J21" i="6"/>
  <c r="I21" i="6"/>
  <c r="H21" i="6"/>
  <c r="G21" i="6"/>
  <c r="F21" i="6"/>
  <c r="E21" i="6"/>
  <c r="J20" i="6"/>
  <c r="I20" i="6"/>
  <c r="H20" i="6"/>
  <c r="G20" i="6"/>
  <c r="F20" i="6"/>
  <c r="E20" i="6"/>
  <c r="J19" i="6"/>
  <c r="I19" i="6"/>
  <c r="H19" i="6"/>
  <c r="G19" i="6"/>
  <c r="F19" i="6"/>
  <c r="E19" i="6"/>
  <c r="J18" i="6"/>
  <c r="I18" i="6"/>
  <c r="H18" i="6"/>
  <c r="G18" i="6"/>
  <c r="F18" i="6"/>
  <c r="E18" i="6"/>
  <c r="J17" i="6"/>
  <c r="I17" i="6"/>
  <c r="H17" i="6"/>
  <c r="G17" i="6"/>
  <c r="F17" i="6"/>
  <c r="E17" i="6"/>
  <c r="J16" i="6"/>
  <c r="I16" i="6"/>
  <c r="H16" i="6"/>
  <c r="G16" i="6"/>
  <c r="F16" i="6"/>
  <c r="E16" i="6"/>
  <c r="J15" i="6"/>
  <c r="I15" i="6"/>
  <c r="H15" i="6"/>
  <c r="G15" i="6"/>
  <c r="F15" i="6"/>
  <c r="E15" i="6"/>
  <c r="J14" i="6"/>
  <c r="I14" i="6"/>
  <c r="H14" i="6"/>
  <c r="G14" i="6"/>
  <c r="F14" i="6"/>
  <c r="E14" i="6"/>
  <c r="J13" i="6"/>
  <c r="I13" i="6"/>
  <c r="H13" i="6"/>
  <c r="G13" i="6"/>
  <c r="F13" i="6"/>
  <c r="E13" i="6"/>
  <c r="J12" i="6"/>
  <c r="I12" i="6"/>
  <c r="H12" i="6"/>
  <c r="G12" i="6"/>
  <c r="F12" i="6"/>
  <c r="E12" i="6"/>
  <c r="J11" i="6"/>
  <c r="I11" i="6"/>
  <c r="H11" i="6"/>
  <c r="G11" i="6"/>
  <c r="F11" i="6"/>
  <c r="E11" i="6"/>
  <c r="J10" i="6"/>
  <c r="I10" i="6"/>
  <c r="H10" i="6"/>
  <c r="G10" i="6"/>
  <c r="F10" i="6"/>
  <c r="E10" i="6"/>
  <c r="J9" i="6"/>
  <c r="I9" i="6"/>
  <c r="H9" i="6"/>
  <c r="G9" i="6"/>
  <c r="F9" i="6"/>
  <c r="E9" i="6"/>
  <c r="J8" i="6"/>
  <c r="I8" i="6"/>
  <c r="H8" i="6"/>
  <c r="G8" i="6"/>
  <c r="F8" i="6"/>
  <c r="E8" i="6"/>
  <c r="J7" i="6"/>
  <c r="I7" i="6"/>
  <c r="H7" i="6"/>
  <c r="G7" i="6"/>
  <c r="F7" i="6"/>
  <c r="E7" i="6"/>
  <c r="J6" i="6"/>
  <c r="I6" i="6"/>
  <c r="H6" i="6"/>
  <c r="G6" i="6"/>
  <c r="F6" i="6"/>
  <c r="E6" i="6"/>
  <c r="J5" i="6"/>
  <c r="I5" i="6"/>
  <c r="H5" i="6"/>
  <c r="G5" i="6"/>
  <c r="F5" i="6"/>
  <c r="E5" i="6"/>
  <c r="J4" i="6"/>
  <c r="I4" i="6"/>
  <c r="H4" i="6"/>
  <c r="G4" i="6"/>
  <c r="F4" i="6"/>
  <c r="E4" i="6"/>
  <c r="J3" i="6"/>
  <c r="I3" i="6"/>
  <c r="H3" i="6"/>
  <c r="G3" i="6"/>
  <c r="F3" i="6"/>
  <c r="E3" i="6"/>
  <c r="J2" i="6"/>
  <c r="I2" i="6"/>
  <c r="H2" i="6"/>
  <c r="G2" i="6"/>
  <c r="F2" i="6"/>
  <c r="E2" i="6"/>
  <c r="I1" i="4" a="1"/>
  <c r="I1" i="4"/>
  <c r="I2" i="4" a="1"/>
  <c r="I2" i="4"/>
  <c r="B34" i="4"/>
  <c r="B33" i="4"/>
  <c r="Y2" i="2" a="1"/>
  <c r="Y2" i="2" s="1"/>
  <c r="X2" i="2" a="1"/>
  <c r="X2" i="2" s="1"/>
  <c r="B56" i="4"/>
  <c r="B52" i="4"/>
  <c r="M2" i="4" a="1"/>
  <c r="M2" i="4"/>
  <c r="L2" i="4" a="1"/>
  <c r="L2" i="4"/>
  <c r="K2" i="4" a="1"/>
  <c r="K2" i="4"/>
  <c r="J2" i="4" a="1"/>
  <c r="J2" i="4"/>
  <c r="D17" i="12" l="1" a="1"/>
  <c r="D17" i="12" s="1"/>
  <c r="X17" i="12" a="1"/>
  <c r="X17" i="12" s="1"/>
  <c r="V17" i="12" a="1"/>
  <c r="V17" i="12" s="1"/>
  <c r="AM7" i="12"/>
  <c r="AL7" i="12"/>
  <c r="AL8" i="12"/>
  <c r="AM8" i="12"/>
  <c r="AB17" i="1" a="1"/>
  <c r="AB17" i="1" s="1"/>
  <c r="AC17" i="1" a="1"/>
  <c r="AC17" i="1" s="1"/>
  <c r="AD17" i="1" a="1"/>
  <c r="AD17" i="1" s="1"/>
  <c r="AE17" i="1" a="1"/>
  <c r="AE17" i="1" s="1"/>
  <c r="AA17" i="1" a="1"/>
  <c r="AA17" i="1" s="1"/>
  <c r="L8" i="12" a="1"/>
  <c r="AJ7" i="12"/>
  <c r="Y7" i="12" a="1"/>
  <c r="Y7" i="12" s="1"/>
  <c r="L7" i="12" a="1"/>
  <c r="AJ8" i="12"/>
  <c r="Y8" i="12" a="1"/>
  <c r="Y8" i="12" s="1"/>
  <c r="Q7" i="12"/>
  <c r="R7" i="12" s="1" a="1"/>
  <c r="R7" i="12" s="1"/>
  <c r="Q8" i="12"/>
  <c r="R8" i="12" s="1" a="1"/>
  <c r="R8" i="12" s="1"/>
  <c r="S8" i="12" s="1" a="1"/>
  <c r="S8" i="12" s="1"/>
  <c r="X7" i="12"/>
  <c r="X8" i="12"/>
  <c r="CK17" i="1" a="1"/>
  <c r="CK17" i="1" s="1"/>
  <c r="W17" i="12" a="1"/>
  <c r="W17" i="12" s="1"/>
  <c r="F17" i="1" a="1"/>
  <c r="F17" i="1" s="1"/>
  <c r="G17" i="1" a="1"/>
  <c r="G17" i="1" s="1"/>
  <c r="CM17" i="1" a="1"/>
  <c r="CM17" i="1" s="1"/>
  <c r="N17" i="1" a="1"/>
  <c r="N17" i="1" s="1"/>
  <c r="O17" i="1" s="1" a="1"/>
  <c r="O17" i="1" s="1"/>
  <c r="P17" i="1" s="1" a="1"/>
  <c r="P17" i="1" s="1"/>
  <c r="CI17" i="1" a="1"/>
  <c r="CI17" i="1" s="1"/>
  <c r="BT17" i="1" a="1"/>
  <c r="BT17" i="1" s="1"/>
  <c r="BV17" i="1" s="1" a="1"/>
  <c r="BV17" i="1" s="1"/>
  <c r="BW17" i="1" s="1" a="1"/>
  <c r="BW17" i="1" s="1"/>
  <c r="CL17" i="1" a="1"/>
  <c r="CL17" i="1" s="1"/>
  <c r="CJ17" i="1" a="1"/>
  <c r="CJ17" i="1" s="1"/>
  <c r="J17" i="1" a="1"/>
  <c r="J17" i="1" s="1"/>
  <c r="H11" i="12" l="1"/>
  <c r="I11" i="12"/>
  <c r="Q17" i="12" a="1"/>
  <c r="Q17" i="12" s="1"/>
  <c r="S17" i="12" a="1"/>
  <c r="S17" i="12" s="1"/>
  <c r="T17" i="12" a="1"/>
  <c r="T17" i="12" s="1"/>
  <c r="R17" i="12" a="1"/>
  <c r="R17" i="12" s="1"/>
  <c r="U17" i="12" a="1"/>
  <c r="U17" i="12" s="1"/>
  <c r="P17" i="12" a="1"/>
  <c r="P17" i="12" s="1"/>
  <c r="L8" i="12"/>
  <c r="AE8" i="12" s="1" a="1"/>
  <c r="AE8" i="12" s="1"/>
  <c r="AK8" i="12" a="1"/>
  <c r="AK8" i="12" s="1"/>
  <c r="L7" i="12"/>
  <c r="S7" i="12" a="1"/>
  <c r="S7" i="12" s="1"/>
  <c r="AG17" i="1" a="1"/>
  <c r="AG17" i="1" s="1"/>
  <c r="AI17" i="1" a="1"/>
  <c r="AI17" i="1" s="1"/>
  <c r="AY17" i="1" s="1" a="1"/>
  <c r="AY17" i="1" s="1"/>
  <c r="AF17" i="1" a="1"/>
  <c r="AF17" i="1" s="1"/>
  <c r="BF17" i="1" s="1" a="1"/>
  <c r="BF17" i="1" s="1"/>
  <c r="AJ17" i="1" a="1"/>
  <c r="AJ17" i="1" s="1"/>
  <c r="AH17" i="1" a="1"/>
  <c r="AH17" i="1" s="1"/>
  <c r="AN17" i="1" s="1" a="1"/>
  <c r="AN17" i="1" s="1"/>
  <c r="BY17" i="1" a="1"/>
  <c r="BY17" i="1" s="1"/>
  <c r="BX17" i="1" a="1"/>
  <c r="BX17" i="1" s="1"/>
  <c r="CA17" i="1" a="1"/>
  <c r="CA17" i="1" s="1"/>
  <c r="BZ17" i="1" a="1"/>
  <c r="BZ17" i="1" s="1"/>
  <c r="AE7" i="12" l="1" a="1"/>
  <c r="AE7" i="12" s="1"/>
  <c r="E8" i="12" s="1" a="1"/>
  <c r="E8" i="12" s="1"/>
  <c r="AK17" i="12" s="1" a="1"/>
  <c r="AK17" i="12" s="1"/>
  <c r="DJ17" i="12" a="1"/>
  <c r="DJ17" i="12" s="1"/>
  <c r="DG17" i="12" a="1"/>
  <c r="DG17" i="12" s="1"/>
  <c r="DI17" i="12" a="1"/>
  <c r="DI17" i="12" s="1"/>
  <c r="DH17" i="12" a="1"/>
  <c r="DH17" i="12" s="1"/>
  <c r="DF17" i="12" a="1"/>
  <c r="DF17" i="12" s="1"/>
  <c r="DK17" i="12" a="1"/>
  <c r="DK17" i="12" s="1"/>
  <c r="O17" i="12" a="1"/>
  <c r="O17" i="12" s="1"/>
  <c r="DE17" i="12" a="1"/>
  <c r="DE17" i="12" s="1"/>
  <c r="CY17" i="12" a="1"/>
  <c r="CY17" i="12" s="1"/>
  <c r="CS17" i="12" a="1"/>
  <c r="CS17" i="12" s="1"/>
  <c r="CW17" i="12" a="1"/>
  <c r="CW17" i="12" s="1"/>
  <c r="DC17" i="12" a="1"/>
  <c r="DC17" i="12" s="1"/>
  <c r="DA17" i="12" a="1"/>
  <c r="DA17" i="12" s="1"/>
  <c r="CU17" i="12" a="1"/>
  <c r="CU17" i="12" s="1"/>
  <c r="CX17" i="12" a="1"/>
  <c r="CX17" i="12" s="1"/>
  <c r="DD17" i="12" a="1"/>
  <c r="DD17" i="12" s="1"/>
  <c r="DB17" i="12" a="1"/>
  <c r="DB17" i="12" s="1"/>
  <c r="CV17" i="12" a="1"/>
  <c r="CV17" i="12" s="1"/>
  <c r="CZ17" i="12" a="1"/>
  <c r="CZ17" i="12" s="1"/>
  <c r="CT17" i="12" a="1"/>
  <c r="CT17" i="12" s="1"/>
  <c r="AK7" i="12" a="1"/>
  <c r="AK7" i="12" s="1"/>
  <c r="G11" i="12" s="1"/>
  <c r="BD17" i="1" a="1"/>
  <c r="BD17" i="1" s="1"/>
  <c r="AW17" i="1" a="1"/>
  <c r="AW17" i="1" s="1"/>
  <c r="AR17" i="1" a="1"/>
  <c r="AR17" i="1" s="1"/>
  <c r="BH17" i="1" a="1"/>
  <c r="BH17" i="1" s="1"/>
  <c r="AM17" i="1" a="1"/>
  <c r="AM17" i="1" s="1"/>
  <c r="AT17" i="1" a="1"/>
  <c r="AT17" i="1" s="1"/>
  <c r="BI17" i="1" a="1"/>
  <c r="BI17" i="1" s="1"/>
  <c r="K17" i="1" a="1"/>
  <c r="K17" i="1" s="1"/>
  <c r="AZ17" i="1" a="1"/>
  <c r="AZ17" i="1" s="1"/>
  <c r="BE17" i="1" a="1"/>
  <c r="BE17" i="1" s="1"/>
  <c r="AV17" i="1" a="1"/>
  <c r="AV17" i="1" s="1"/>
  <c r="AQ17" i="1" a="1"/>
  <c r="AQ17" i="1" s="1"/>
  <c r="AO17" i="1" a="1"/>
  <c r="AO17" i="1" s="1"/>
  <c r="AL17" i="1" a="1"/>
  <c r="AL17" i="1" s="1"/>
  <c r="BJ17" i="1" a="1"/>
  <c r="BJ17" i="1" s="1"/>
  <c r="AU17" i="1" a="1"/>
  <c r="AU17" i="1" s="1"/>
  <c r="AX17" i="1" a="1"/>
  <c r="AX17" i="1" s="1"/>
  <c r="AS17" i="1" a="1"/>
  <c r="AS17" i="1" s="1"/>
  <c r="BA17" i="1" a="1"/>
  <c r="BA17" i="1" s="1"/>
  <c r="AP17" i="1" a="1"/>
  <c r="AP17" i="1" s="1"/>
  <c r="BB17" i="1" a="1"/>
  <c r="BB17" i="1" s="1"/>
  <c r="BC17" i="1" a="1"/>
  <c r="BC17" i="1" s="1"/>
  <c r="BG17" i="1" a="1"/>
  <c r="BG17" i="1" s="1"/>
  <c r="AE17" i="12" a="1"/>
  <c r="AE17" i="12" s="1"/>
  <c r="AI17" i="12" a="1"/>
  <c r="AI17" i="12" s="1"/>
  <c r="AG17" i="12" a="1"/>
  <c r="AG17" i="12" s="1"/>
  <c r="AJ17" i="12" a="1"/>
  <c r="AJ17" i="12" s="1"/>
  <c r="AH17" i="12" a="1"/>
  <c r="AH17" i="12" s="1"/>
  <c r="AF17" i="12" a="1"/>
  <c r="AF17" i="12" s="1"/>
  <c r="DL17" i="12" l="1" a="1"/>
  <c r="DL17" i="12" s="1"/>
  <c r="H17" i="12" s="1" a="1"/>
  <c r="H17" i="12" s="1"/>
  <c r="CJ17" i="12" a="1"/>
  <c r="CJ17" i="12" s="1"/>
  <c r="CP17" i="12" s="1" a="1"/>
  <c r="CP17" i="12" s="1"/>
  <c r="AP17" i="12" a="1"/>
  <c r="AP17" i="12" s="1"/>
  <c r="AV17" i="12" s="1" a="1"/>
  <c r="AV17" i="12" s="1"/>
  <c r="BK17" i="1" a="1"/>
  <c r="BK17" i="1" s="1"/>
  <c r="CB17" i="1" s="1" a="1"/>
  <c r="CB17" i="1" s="1"/>
  <c r="E17" i="12" a="1"/>
  <c r="E17" i="12" s="1"/>
  <c r="F17" i="12" s="1" a="1"/>
  <c r="F17" i="12" s="1"/>
  <c r="AQ17" i="12" a="1"/>
  <c r="AQ17" i="12" s="1"/>
  <c r="BJ17" i="12" a="1"/>
  <c r="BJ17" i="12" s="1"/>
  <c r="BP17" i="12" s="1" a="1"/>
  <c r="BP17" i="12" s="1"/>
  <c r="AL17" i="12" a="1"/>
  <c r="AL17" i="12" s="1"/>
  <c r="AR17" i="12" s="1" a="1"/>
  <c r="AR17" i="12" s="1"/>
  <c r="CI17" i="12" a="1"/>
  <c r="CI17" i="12" s="1"/>
  <c r="CO17" i="12" s="1" a="1"/>
  <c r="CO17" i="12" s="1"/>
  <c r="AY17" i="12" a="1"/>
  <c r="AY17" i="12" s="1"/>
  <c r="BE17" i="12" s="1" a="1"/>
  <c r="BE17" i="12" s="1"/>
  <c r="BK17" i="12" a="1"/>
  <c r="BK17" i="12" s="1"/>
  <c r="BQ17" i="12" s="1" a="1"/>
  <c r="BQ17" i="12" s="1"/>
  <c r="BW17" i="12" a="1"/>
  <c r="BW17" i="12" s="1"/>
  <c r="CC17" i="12" s="1" a="1"/>
  <c r="CC17" i="12" s="1"/>
  <c r="AM17" i="12" a="1"/>
  <c r="AM17" i="12" s="1"/>
  <c r="AS17" i="12" s="1" a="1"/>
  <c r="AS17" i="12" s="1"/>
  <c r="BA17" i="12" a="1"/>
  <c r="BA17" i="12" s="1"/>
  <c r="BG17" i="12" s="1" a="1"/>
  <c r="BG17" i="12" s="1"/>
  <c r="BM17" i="12" a="1"/>
  <c r="BM17" i="12" s="1"/>
  <c r="BS17" i="12" s="1" a="1"/>
  <c r="BS17" i="12" s="1"/>
  <c r="BY17" i="12" a="1"/>
  <c r="BY17" i="12" s="1"/>
  <c r="CE17" i="12" s="1" a="1"/>
  <c r="CE17" i="12" s="1"/>
  <c r="AO17" i="12" a="1"/>
  <c r="AO17" i="12" s="1"/>
  <c r="AU17" i="12" s="1" a="1"/>
  <c r="AU17" i="12" s="1"/>
  <c r="BZ17" i="12" a="1"/>
  <c r="BZ17" i="12" s="1"/>
  <c r="CF17" i="12" s="1" a="1"/>
  <c r="CF17" i="12" s="1"/>
  <c r="AN17" i="12" a="1"/>
  <c r="AN17" i="12" s="1"/>
  <c r="AT17" i="12" s="1" a="1"/>
  <c r="AT17" i="12" s="1"/>
  <c r="BV17" i="12" a="1"/>
  <c r="BV17" i="12" s="1"/>
  <c r="CB17" i="12" s="1" a="1"/>
  <c r="CB17" i="12" s="1"/>
  <c r="BX17" i="12" a="1"/>
  <c r="BX17" i="12" s="1"/>
  <c r="CD17" i="12" s="1" a="1"/>
  <c r="CD17" i="12" s="1"/>
  <c r="G17" i="12" a="1"/>
  <c r="G17" i="12" s="1"/>
  <c r="CK17" i="12" a="1"/>
  <c r="CK17" i="12" s="1"/>
  <c r="CQ17" i="12" s="1" a="1"/>
  <c r="CQ17" i="12" s="1"/>
  <c r="BN17" i="12" a="1"/>
  <c r="BN17" i="12" s="1"/>
  <c r="BT17" i="12" s="1" a="1"/>
  <c r="BT17" i="12" s="1"/>
  <c r="BB17" i="12" a="1"/>
  <c r="BB17" i="12" s="1"/>
  <c r="BH17" i="12" s="1" a="1"/>
  <c r="BH17" i="12" s="1"/>
  <c r="AZ17" i="12" a="1"/>
  <c r="AZ17" i="12" s="1"/>
  <c r="BF17" i="12" s="1" a="1"/>
  <c r="BF17" i="12" s="1"/>
  <c r="BL17" i="12" a="1"/>
  <c r="BL17" i="12" s="1"/>
  <c r="BR17" i="12" s="1" a="1"/>
  <c r="BR17" i="12" s="1"/>
  <c r="CL17" i="12" a="1"/>
  <c r="CL17" i="12" s="1"/>
  <c r="CR17" i="12" s="1" a="1"/>
  <c r="CR17" i="12" s="1"/>
  <c r="BI17" i="12" a="1"/>
  <c r="BI17" i="12" s="1"/>
  <c r="BO17" i="12" s="1" a="1"/>
  <c r="BO17" i="12" s="1"/>
  <c r="CG17" i="12" a="1"/>
  <c r="CG17" i="12" s="1"/>
  <c r="CM17" i="12" s="1" a="1"/>
  <c r="CM17" i="12" s="1"/>
  <c r="AW17" i="12" a="1"/>
  <c r="AW17" i="12" s="1"/>
  <c r="BC17" i="12" s="1" a="1"/>
  <c r="BC17" i="12" s="1"/>
  <c r="CH17" i="12" a="1"/>
  <c r="CH17" i="12" s="1"/>
  <c r="CN17" i="12" s="1" a="1"/>
  <c r="CN17" i="12" s="1"/>
  <c r="AX17" i="12" a="1"/>
  <c r="AX17" i="12" s="1"/>
  <c r="BD17" i="12" s="1" a="1"/>
  <c r="BD17" i="12" s="1"/>
  <c r="BU17" i="12" a="1"/>
  <c r="BU17" i="12" s="1"/>
  <c r="CA17" i="12" s="1" a="1"/>
  <c r="CA17" i="12" s="1"/>
  <c r="BO17" i="1" a="1"/>
  <c r="BO17" i="1" s="1"/>
  <c r="CF17" i="1" s="1" a="1"/>
  <c r="CF17" i="1" s="1"/>
  <c r="BL17" i="1" a="1"/>
  <c r="BL17" i="1" s="1"/>
  <c r="CC17" i="1" s="1" a="1"/>
  <c r="CC17" i="1" s="1"/>
  <c r="BN17" i="1" a="1"/>
  <c r="BN17" i="1" s="1"/>
  <c r="CE17" i="1" s="1" a="1"/>
  <c r="CE17" i="1" s="1"/>
  <c r="BM17" i="1" a="1"/>
  <c r="BM17" i="1" s="1"/>
  <c r="CD17" i="1" s="1" a="1"/>
  <c r="CD17" i="1" s="1"/>
  <c r="M17" i="12" l="1" a="1"/>
  <c r="M17" i="12" s="1"/>
  <c r="K17" i="12" a="1"/>
  <c r="K17" i="12" s="1"/>
  <c r="N17" i="12" a="1"/>
  <c r="N17" i="12" s="1"/>
  <c r="L17" i="12" a="1"/>
  <c r="L17" i="12" s="1"/>
  <c r="J17" i="12" a="1"/>
  <c r="J17" i="12" s="1"/>
  <c r="D17" i="1" a="1"/>
  <c r="D17" i="1" s="1"/>
  <c r="E17" i="1" a="1"/>
  <c r="E17" i="1" s="1"/>
  <c r="C17" i="12" l="1" a="1"/>
  <c r="C17" i="12" s="1"/>
  <c r="B17" i="12" a="1"/>
  <c r="B17" i="1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<sst xmlns="http://schemas.openxmlformats.org/spreadsheetml/2006/main" count="3384" uniqueCount="940">
  <si>
    <t>人物属性</t>
  </si>
  <si>
    <t>力</t>
  </si>
  <si>
    <t>敏</t>
  </si>
  <si>
    <t>智</t>
  </si>
  <si>
    <t>信</t>
  </si>
  <si>
    <t>感</t>
  </si>
  <si>
    <t>敌人属性</t>
  </si>
  <si>
    <t>物</t>
  </si>
  <si>
    <t>魔</t>
  </si>
  <si>
    <t>火</t>
  </si>
  <si>
    <t>雷</t>
  </si>
  <si>
    <t>圣</t>
  </si>
  <si>
    <t>敌人</t>
  </si>
  <si>
    <t>防御</t>
  </si>
  <si>
    <t>伤害倍率</t>
  </si>
  <si>
    <t>立誓类buff</t>
  </si>
  <si>
    <t>身体类buff</t>
  </si>
  <si>
    <t>装备buff</t>
  </si>
  <si>
    <t>通用buff</t>
  </si>
  <si>
    <t>buff</t>
  </si>
  <si>
    <t>加成</t>
  </si>
  <si>
    <t>限定1</t>
  </si>
  <si>
    <t>限定2</t>
  </si>
  <si>
    <t>类型</t>
  </si>
  <si>
    <t>法术</t>
  </si>
  <si>
    <t>特殊类型2</t>
  </si>
  <si>
    <t>攻防比</t>
  </si>
  <si>
    <t>特殊</t>
  </si>
  <si>
    <t>魔法</t>
  </si>
  <si>
    <t>辉石大魔砾</t>
  </si>
  <si>
    <t>辉石彗星</t>
  </si>
  <si>
    <t>辉石彗星-蓄力</t>
  </si>
  <si>
    <t>帚星</t>
  </si>
  <si>
    <t>帚星-蓄力</t>
  </si>
  <si>
    <t>旋飞魔砾</t>
  </si>
  <si>
    <t>祷告</t>
  </si>
  <si>
    <t>死亡雷击</t>
  </si>
  <si>
    <t>黄金律法圣印记</t>
  </si>
  <si>
    <t>死亡雷击-蓄力</t>
  </si>
  <si>
    <t>燃火</t>
  </si>
  <si>
    <t>火焰啊！</t>
  </si>
  <si>
    <t>火焰啊！-蓄力</t>
  </si>
  <si>
    <t>投火</t>
  </si>
  <si>
    <t>投火-蓄力</t>
  </si>
  <si>
    <t>火焰啊，倾注吧</t>
  </si>
  <si>
    <t>无</t>
  </si>
  <si>
    <t>亚兹勒1</t>
  </si>
  <si>
    <t>蓄力</t>
  </si>
  <si>
    <t>旋飞魔砾-蓄力</t>
  </si>
  <si>
    <t>卢瑟特1</t>
  </si>
  <si>
    <t>流星雨1</t>
  </si>
  <si>
    <t>流星雨2</t>
  </si>
  <si>
    <t>流星雨3</t>
  </si>
  <si>
    <t>流星雨4</t>
  </si>
  <si>
    <t>流星雨5</t>
  </si>
  <si>
    <t>流星雨6</t>
  </si>
  <si>
    <t>流星雨1-蓄力</t>
  </si>
  <si>
    <t>流星雨2-蓄力</t>
  </si>
  <si>
    <t>流星雨3-蓄力</t>
  </si>
  <si>
    <t>流星雨4-蓄力</t>
  </si>
  <si>
    <t>流星雨5-蓄力</t>
  </si>
  <si>
    <t>流星雨6-蓄力</t>
  </si>
  <si>
    <t>结晶连弹</t>
  </si>
  <si>
    <t>辉石弯弧</t>
  </si>
  <si>
    <t>海摩炮弹</t>
  </si>
  <si>
    <t>海摩炮弹-蓄力</t>
  </si>
  <si>
    <t>结晶散射</t>
  </si>
  <si>
    <t>结晶散射-蓄力</t>
  </si>
  <si>
    <t>挖石</t>
  </si>
  <si>
    <t>爆破岩盘（杖）</t>
  </si>
  <si>
    <t>爆破岩盘（爆炸）</t>
  </si>
  <si>
    <t>海摩大槌（本体）</t>
  </si>
  <si>
    <t>海摩大槌（溅射）</t>
  </si>
  <si>
    <t>亚兹勒2</t>
  </si>
  <si>
    <t>创星雨</t>
  </si>
  <si>
    <t>创星雨-蓄力</t>
  </si>
  <si>
    <t>卢瑟特2</t>
  </si>
  <si>
    <t>辉剑圆阵</t>
  </si>
  <si>
    <t>辉剑</t>
  </si>
  <si>
    <t>卡利亚圆阵</t>
  </si>
  <si>
    <t>巨剑阵</t>
  </si>
  <si>
    <t>蕾娜菈的满月</t>
  </si>
  <si>
    <t>满月</t>
  </si>
  <si>
    <t>菈妮的暗月</t>
  </si>
  <si>
    <t>冰魔法</t>
  </si>
  <si>
    <t>天降魔力</t>
  </si>
  <si>
    <t>罗蕾塔的大弓</t>
  </si>
  <si>
    <t>罗蕾塔的大弓-蓄力</t>
  </si>
  <si>
    <t>罗蕾塔的绝招</t>
  </si>
  <si>
    <t>罗蕾塔的绝招-蓄力</t>
  </si>
  <si>
    <t>魔法辉剑</t>
  </si>
  <si>
    <t>魔法辉剑-蓄力</t>
  </si>
  <si>
    <t>辉石冰块</t>
  </si>
  <si>
    <t>萨米尔冰风暴-第一下</t>
  </si>
  <si>
    <t>萨米尔冰风暴-后续</t>
  </si>
  <si>
    <t>萨米尔冰风暴-蓄力第一下</t>
  </si>
  <si>
    <t>萨米尔冰风暴-蓄力后续</t>
  </si>
  <si>
    <t>卡利亚大剑</t>
  </si>
  <si>
    <t>卡利亚剑</t>
  </si>
  <si>
    <t>卡利亚大剑-骑马</t>
  </si>
  <si>
    <t>卡利亚迅剑</t>
  </si>
  <si>
    <t>卡利亚迅剑-骑马</t>
  </si>
  <si>
    <t>卡利亚贯刺</t>
  </si>
  <si>
    <t>卡利亚贯刺-蓄力</t>
  </si>
  <si>
    <t>爆散结晶-全命中</t>
  </si>
  <si>
    <t>结晶</t>
  </si>
  <si>
    <t>爆散结晶-部分命中1</t>
  </si>
  <si>
    <t>爆散结晶-部分命中2</t>
  </si>
  <si>
    <t>爆散结晶-蓄力全命中</t>
  </si>
  <si>
    <t>爆散结晶-蓄力部分命中1</t>
  </si>
  <si>
    <t>爆散结晶-蓄力部分命中2</t>
  </si>
  <si>
    <t>飞散结晶</t>
  </si>
  <si>
    <t>奔放结晶</t>
  </si>
  <si>
    <t>奇袭魔砾</t>
  </si>
  <si>
    <t>黑夜魔砾</t>
  </si>
  <si>
    <t>黑夜</t>
  </si>
  <si>
    <t>黑夜彗星</t>
  </si>
  <si>
    <t>黑夜彗星-蓄力</t>
  </si>
  <si>
    <t>重力</t>
  </si>
  <si>
    <t>岩石球</t>
  </si>
  <si>
    <t>重力球</t>
  </si>
  <si>
    <t>重力球-蓄力</t>
  </si>
  <si>
    <t>碎星</t>
  </si>
  <si>
    <t>碎星-蓄力</t>
  </si>
  <si>
    <t>熔岩球</t>
  </si>
  <si>
    <t>熔岩球（岩浆）</t>
  </si>
  <si>
    <t>熔岩球-蓄力</t>
  </si>
  <si>
    <t>熔岩球（岩浆）-蓄力</t>
  </si>
  <si>
    <t>格密尔之怒-起手</t>
  </si>
  <si>
    <t>格密尔之怒</t>
  </si>
  <si>
    <t>滚烫熔岩（直击）</t>
  </si>
  <si>
    <t>滚烫熔岩（爆炸）</t>
  </si>
  <si>
    <t>滚烫熔岩（直击）-蓄力</t>
  </si>
  <si>
    <t>滚烫熔岩（爆炸）-蓄力</t>
  </si>
  <si>
    <t>拉卡德的怨魂</t>
  </si>
  <si>
    <t>荆棘</t>
  </si>
  <si>
    <t>责罚荆棘</t>
  </si>
  <si>
    <t>召唤怨魂</t>
  </si>
  <si>
    <t>死亡</t>
  </si>
  <si>
    <t>召唤怨魂-蓄力</t>
  </si>
  <si>
    <t>古老死亡怨魂</t>
  </si>
  <si>
    <t>古老死亡怨魂-蓄力</t>
  </si>
  <si>
    <t>迸发灵火（爆炸）</t>
  </si>
  <si>
    <t>迸发灵火（燃烧）</t>
  </si>
  <si>
    <t>提比亚的唤声</t>
  </si>
  <si>
    <t>神谕泡泡</t>
  </si>
  <si>
    <t>神谕泡泡-蓄力</t>
  </si>
  <si>
    <t>神谕大泡泡</t>
  </si>
  <si>
    <t>神谕大泡泡-蓄力</t>
  </si>
  <si>
    <t>巨人</t>
  </si>
  <si>
    <t>火焰啊，倾注吧-蓄力</t>
  </si>
  <si>
    <t>火焰啊，缠绕吧</t>
  </si>
  <si>
    <t>火焰啊，缠绕吧-蓄力</t>
  </si>
  <si>
    <t>感受巨人火焰吧</t>
  </si>
  <si>
    <t>感受巨人火焰吧-蓄力</t>
  </si>
  <si>
    <t>恶神火焰</t>
  </si>
  <si>
    <t>恶神火焰（燃烧）</t>
  </si>
  <si>
    <t>火焰啊，吞噬一切！</t>
  </si>
  <si>
    <t>黑焰</t>
  </si>
  <si>
    <t>狩猎</t>
  </si>
  <si>
    <t>黑焰-蓄力</t>
  </si>
  <si>
    <t>火焰啊，喷发吧</t>
  </si>
  <si>
    <t>横扫黑焰</t>
  </si>
  <si>
    <t>横扫黑焰-蓄力</t>
  </si>
  <si>
    <t>黑焰仪式</t>
  </si>
  <si>
    <t>黑焰仪式-蓄力</t>
  </si>
  <si>
    <t>贵族气场</t>
  </si>
  <si>
    <t>气场</t>
  </si>
  <si>
    <t>贵族气场-蓄力</t>
  </si>
  <si>
    <t>血焰爪痕</t>
  </si>
  <si>
    <t>授血</t>
  </si>
  <si>
    <t>授血（燃烧）</t>
  </si>
  <si>
    <t>黄金之怒</t>
  </si>
  <si>
    <t>黄金之怒-蓄力</t>
  </si>
  <si>
    <t>光环</t>
  </si>
  <si>
    <t>律法</t>
  </si>
  <si>
    <t>化三光环</t>
  </si>
  <si>
    <t>拉达冈的光环</t>
  </si>
  <si>
    <t>拉达冈的光环-蓄力</t>
  </si>
  <si>
    <t>艾尔登流星（大）</t>
  </si>
  <si>
    <t>艾尔登流星（小）</t>
  </si>
  <si>
    <t>艾尔登流星（轨迹）</t>
  </si>
  <si>
    <t>纠死圣律</t>
  </si>
  <si>
    <t>兽石</t>
  </si>
  <si>
    <t>野兽</t>
  </si>
  <si>
    <t>古兰格的岩石</t>
  </si>
  <si>
    <t>兽爪</t>
  </si>
  <si>
    <t>兽爪-蓄力</t>
  </si>
  <si>
    <t>古兰格的兽爪（拍地）</t>
  </si>
  <si>
    <t>雷电枪</t>
  </si>
  <si>
    <t>古龙</t>
  </si>
  <si>
    <t>雷电枪-蓄力</t>
  </si>
  <si>
    <t>古龙雷击</t>
  </si>
  <si>
    <t>古龙雷击-蓄力</t>
  </si>
  <si>
    <t>雷击</t>
  </si>
  <si>
    <t>冰雷枪（贴脸）</t>
  </si>
  <si>
    <t>冰雷枪（前端及扩散）</t>
  </si>
  <si>
    <t>精准雷击</t>
  </si>
  <si>
    <t>古龙雷枪（贴脸）</t>
  </si>
  <si>
    <t>古龙雷枪（前端）</t>
  </si>
  <si>
    <t>古龙雷枪（扩散）</t>
  </si>
  <si>
    <t>兰斯桑克斯的刀（本体）</t>
  </si>
  <si>
    <t>兰斯桑克斯的刀（扩散）</t>
  </si>
  <si>
    <t>龙焰</t>
  </si>
  <si>
    <t>龙飨</t>
  </si>
  <si>
    <t>亚基尔的火焰</t>
  </si>
  <si>
    <t>熔岩吐息</t>
  </si>
  <si>
    <t>熔岩吐息（岩浆）</t>
  </si>
  <si>
    <t>席欧朵利克的熔岩</t>
  </si>
  <si>
    <t>席欧朵利克的熔岩（岩浆）</t>
  </si>
  <si>
    <t>龙冰</t>
  </si>
  <si>
    <t>玻列琉斯的冰雾</t>
  </si>
  <si>
    <t>腐败吐息</t>
  </si>
  <si>
    <t>艾格基斯的腐败</t>
  </si>
  <si>
    <t>辉石吐息</t>
  </si>
  <si>
    <t>史玛拉格的辉石</t>
  </si>
  <si>
    <t>普拉顿桑克斯的凋亡（龙吼）</t>
  </si>
  <si>
    <t>普拉顿桑克斯的凋亡（喷火）</t>
  </si>
  <si>
    <t>龙爪（二段）</t>
  </si>
  <si>
    <t>龙咬</t>
  </si>
  <si>
    <t>桂奥尔的咆哮</t>
  </si>
  <si>
    <t>虫丝</t>
  </si>
  <si>
    <t>蝇群</t>
  </si>
  <si>
    <t>蝇群（持续伤害）</t>
  </si>
  <si>
    <t>猩红艾奥尼亚（落地）</t>
  </si>
  <si>
    <t>猩红艾奥尼亚（爆炸）</t>
  </si>
  <si>
    <t>猩红艾奥尼亚（花瓣）</t>
  </si>
  <si>
    <t>癫火</t>
  </si>
  <si>
    <t>癫火-蓄力</t>
  </si>
  <si>
    <t>难耐癫火</t>
  </si>
  <si>
    <t>划空癫火</t>
  </si>
  <si>
    <t>划空癫火-蓄力</t>
  </si>
  <si>
    <t>夏玻利利的嘶吼</t>
  </si>
  <si>
    <t>熔炉百相之尾</t>
  </si>
  <si>
    <t>熔炉</t>
  </si>
  <si>
    <t>熔炉百相之尾-蓄力二段</t>
  </si>
  <si>
    <t>熔炉百相之角</t>
  </si>
  <si>
    <t>熔炉百相之角-蓄力</t>
  </si>
  <si>
    <t>熔炉百相之喉囊</t>
  </si>
  <si>
    <t>说明</t>
  </si>
  <si>
    <t>自定义buff</t>
  </si>
  <si>
    <t>火焰啊！赐予我力量</t>
  </si>
  <si>
    <t>水母盾战技</t>
  </si>
  <si>
    <t>偷袭</t>
  </si>
  <si>
    <t>龟龟随时都有偷袭伤害加成</t>
  </si>
  <si>
    <t>黄金树立誓（祷告）</t>
  </si>
  <si>
    <t>狂热香药</t>
  </si>
  <si>
    <t>圣律</t>
  </si>
  <si>
    <t>蘑菇头/白面具/黑头罩</t>
  </si>
  <si>
    <t>亚兹勒头</t>
  </si>
  <si>
    <t>黄金树立誓（战技）</t>
  </si>
  <si>
    <t>勇者肉块</t>
  </si>
  <si>
    <t>双鸟鸢形盾</t>
  </si>
  <si>
    <t>红羽七刃剑</t>
  </si>
  <si>
    <t>振奋香</t>
  </si>
  <si>
    <t>五指剑</t>
  </si>
  <si>
    <t>生命值低于20%时生效</t>
  </si>
  <si>
    <t>献斗剑护符</t>
  </si>
  <si>
    <t>卢瑟特头</t>
  </si>
  <si>
    <t>陨石杖（副手）</t>
  </si>
  <si>
    <t>魔力对蝎</t>
  </si>
  <si>
    <t>丧失杖（副手）</t>
  </si>
  <si>
    <t>火对蝎</t>
  </si>
  <si>
    <t>结晶杖（副手）</t>
  </si>
  <si>
    <t>雷对蝎</t>
  </si>
  <si>
    <t>格密尔杖（副手）</t>
  </si>
  <si>
    <t>圣对蝎</t>
  </si>
  <si>
    <t>卡利亚权杖（副手）</t>
  </si>
  <si>
    <t>魔法师球/信徒立誓布</t>
  </si>
  <si>
    <t>熔炉套4件</t>
  </si>
  <si>
    <t>挖石杖（副手）</t>
  </si>
  <si>
    <t>魔法师块/群聚立誓布</t>
  </si>
  <si>
    <t>卡利亚辉剑杖（副手）</t>
  </si>
  <si>
    <t>葛孚雷的肖像</t>
  </si>
  <si>
    <t>死王子杖（副手）</t>
  </si>
  <si>
    <t>仅对法术及战技有效；斧护符及大刺破露滴仅对蓄力重击有效</t>
  </si>
  <si>
    <t>带魔力破露滴</t>
  </si>
  <si>
    <t>卡利亚辉石杖（副手）</t>
  </si>
  <si>
    <t>持续时间3min</t>
  </si>
  <si>
    <t>带火破露滴</t>
  </si>
  <si>
    <t>神皮贵族衣服</t>
  </si>
  <si>
    <t>罪人杖（副手）</t>
  </si>
  <si>
    <t>带雷破露滴</t>
  </si>
  <si>
    <t>狩猎神祇圣印记（副手）</t>
  </si>
  <si>
    <t>带圣破露滴</t>
  </si>
  <si>
    <t>巨人圣印记（副手）</t>
  </si>
  <si>
    <t>魔法之境</t>
  </si>
  <si>
    <t>碎石圣印记（副手）</t>
  </si>
  <si>
    <t>持续时间30s（离开后持续1.5s）</t>
  </si>
  <si>
    <t>满月减防</t>
  </si>
  <si>
    <t>爪痕圣印记（副手）</t>
  </si>
  <si>
    <t>桂奥尔的咆哮减防</t>
  </si>
  <si>
    <t>黄金律法圣印记（副手）</t>
  </si>
  <si>
    <t>持续时间60s</t>
  </si>
  <si>
    <t>龙飨印记（副手）</t>
  </si>
  <si>
    <t>持续时间30s</t>
  </si>
  <si>
    <t>癫火圣印记（副手）</t>
  </si>
  <si>
    <t>冻伤</t>
  </si>
  <si>
    <t>持续时间30s，受到火伤提前解除</t>
  </si>
  <si>
    <t>水中雷增伤</t>
  </si>
  <si>
    <t>水中火减伤</t>
  </si>
  <si>
    <t>持续时间30s；同时受到所有伤害减少20%</t>
  </si>
  <si>
    <t>持续时间80s；同时受到所有伤害减少10%</t>
  </si>
  <si>
    <t>持续时间45s；同时受到所有伤害减少7.5%；黄金大箭效果完全相同</t>
  </si>
  <si>
    <t>持续时间60s；同时受到所有伤害增加35%</t>
  </si>
  <si>
    <t>持续时间45s；同时增加玩家使用武器对骷髅敌人伤害100%</t>
  </si>
  <si>
    <t>生命值低于20%生效，同时减少受到伤害10%</t>
  </si>
  <si>
    <t>格密尔</t>
  </si>
  <si>
    <t>母亲杖</t>
  </si>
  <si>
    <t>拒绝的刺</t>
  </si>
  <si>
    <t>特殊类型3</t>
  </si>
  <si>
    <t>熔岩</t>
  </si>
  <si>
    <t>指头</t>
  </si>
  <si>
    <t>米凯拉</t>
  </si>
  <si>
    <t>螺旋</t>
  </si>
  <si>
    <t>融泥漩</t>
  </si>
  <si>
    <t>融泥块（投掷）</t>
  </si>
  <si>
    <t>融泥块（爆炸）</t>
  </si>
  <si>
    <t>融泥块（投掷）-蓄力</t>
  </si>
  <si>
    <t>融泥块（爆炸）-蓄力</t>
  </si>
  <si>
    <t>魔法三辉剑</t>
  </si>
  <si>
    <t>魔法三辉剑-蓄力</t>
  </si>
  <si>
    <t>吐息</t>
  </si>
  <si>
    <t>风暴</t>
  </si>
  <si>
    <t>引力球（吸引）</t>
  </si>
  <si>
    <t>引力球（爆炸）</t>
  </si>
  <si>
    <t>引力球（吸引）-蓄力</t>
  </si>
  <si>
    <t>引力球（爆炸）-蓄力</t>
  </si>
  <si>
    <t>岩块刀刃</t>
  </si>
  <si>
    <t>亚杜拉的月光剑（剑身）</t>
  </si>
  <si>
    <t>亚杜拉的月光剑（剑身，骑马）</t>
  </si>
  <si>
    <t>亚杜拉的月光剑（剑气）</t>
  </si>
  <si>
    <t>辉石指爪</t>
  </si>
  <si>
    <t>辉石指爪-蓄力</t>
  </si>
  <si>
    <t>辉石繁指爪</t>
  </si>
  <si>
    <t>辉石繁指爪-蓄力</t>
  </si>
  <si>
    <t>虚幻小宇宙（生成）</t>
  </si>
  <si>
    <t>虚幻小宇宙（爆炸）</t>
  </si>
  <si>
    <t>虚幻小宇宙（生成）-蓄力</t>
  </si>
  <si>
    <t>虚幻小宇宙（爆炸）-蓄力</t>
  </si>
  <si>
    <t>守护指头</t>
  </si>
  <si>
    <t>守护指头-蓄力</t>
  </si>
  <si>
    <t>灵魂光环</t>
  </si>
  <si>
    <t>灵魂光环-蓄力</t>
  </si>
  <si>
    <t>远方之怒</t>
  </si>
  <si>
    <t>远方之怒-蓄力</t>
  </si>
  <si>
    <t>熔炉百相之针（撞击）</t>
  </si>
  <si>
    <t>熔炉百相之针（针）</t>
  </si>
  <si>
    <t>熔炉百相之花</t>
  </si>
  <si>
    <t>熔炉百相之花-蓄力</t>
  </si>
  <si>
    <t>幽影之地（光球）</t>
  </si>
  <si>
    <t>幽影之地（爆炸）</t>
  </si>
  <si>
    <t>相迭光环（本体）</t>
  </si>
  <si>
    <t>相迭光环（持续）</t>
  </si>
  <si>
    <t>相迭光环（本体）-蓄力</t>
  </si>
  <si>
    <t>相迭光环（持续）-蓄力</t>
  </si>
  <si>
    <t>米凯拉的光（大光柱）</t>
  </si>
  <si>
    <t>米凯拉的光（小光柱）</t>
  </si>
  <si>
    <t>骑士雷电枪</t>
  </si>
  <si>
    <t>骑士雷电枪-蓄力</t>
  </si>
  <si>
    <t>毒皮手套/癫狂皮手套</t>
  </si>
  <si>
    <t>蘑菇头、白面具时间、触发条件同欢愉；黑头罩时间为60s</t>
  </si>
  <si>
    <t>时间、触发条件同欢愉</t>
  </si>
  <si>
    <t>带电（爆炸）</t>
  </si>
  <si>
    <t>带电（爆炸）-蓄力</t>
  </si>
  <si>
    <t>黄金弯弧</t>
  </si>
  <si>
    <t>黄金弯弧-蓄力</t>
  </si>
  <si>
    <t>黄金大弯弧</t>
  </si>
  <si>
    <t>黄金大弯弧-蓄力</t>
  </si>
  <si>
    <t>旋流</t>
  </si>
  <si>
    <t>守护灵</t>
  </si>
  <si>
    <t>神鸟羽毛</t>
  </si>
  <si>
    <t>神兽龙卷风</t>
  </si>
  <si>
    <t>神兽龙卷风-蓄力</t>
  </si>
  <si>
    <t>火焰重罪（爆炸）</t>
  </si>
  <si>
    <t>火焰重罪（燃烧）</t>
  </si>
  <si>
    <t>火焰重罪（爆炸）-蓄力</t>
  </si>
  <si>
    <t>火焰重罪燃烧（燃烧）-蓄力</t>
  </si>
  <si>
    <t>火焰蛇</t>
  </si>
  <si>
    <t>火焰蛇-蓄力</t>
  </si>
  <si>
    <t>梅瑟莫的火球（空中、俯冲）</t>
  </si>
  <si>
    <t>梅瑟莫的火球（爆炸）</t>
  </si>
  <si>
    <t>梅瑟莫的火球（空中、俯冲）-蓄力</t>
  </si>
  <si>
    <t>梅瑟莫的火球（爆炸）-蓄力</t>
  </si>
  <si>
    <t>梅瑟莫</t>
  </si>
  <si>
    <t>古兰格的兽爪（爪）</t>
  </si>
  <si>
    <t>熊飨</t>
  </si>
  <si>
    <t>安帕赫的狂刃（斩击）</t>
  </si>
  <si>
    <t>安帕赫的狂刃（爆炸）</t>
  </si>
  <si>
    <t>虫丝枪</t>
  </si>
  <si>
    <t>舞狮</t>
  </si>
  <si>
    <t>米德拉的癫火</t>
  </si>
  <si>
    <t>灵火吐息</t>
  </si>
  <si>
    <t>咆哮链坠</t>
  </si>
  <si>
    <t>母亲杖（副手）</t>
  </si>
  <si>
    <t>落叶圣印记（副手）</t>
  </si>
  <si>
    <t>火焰骑士圣印记（副手）</t>
  </si>
  <si>
    <t>螺旋树圣印记（副手）</t>
  </si>
  <si>
    <t>各种欢愉/托丽娜的微笑</t>
  </si>
  <si>
    <t>拉鲁瓦毛皮</t>
  </si>
  <si>
    <t>光芒头冠</t>
  </si>
  <si>
    <t>副手类buff</t>
  </si>
  <si>
    <t>指头长袍</t>
  </si>
  <si>
    <t>守墓鸟</t>
  </si>
  <si>
    <t>守墓鸟头盔</t>
  </si>
  <si>
    <t>梅瑟莫头盔+火焰骑士铠甲</t>
  </si>
  <si>
    <t>死骑士4件</t>
  </si>
  <si>
    <t>罗刹4件</t>
  </si>
  <si>
    <t>神兽头部</t>
  </si>
  <si>
    <t>神鸟</t>
  </si>
  <si>
    <t>神鸟头盔</t>
  </si>
  <si>
    <t>编绳长袍</t>
  </si>
  <si>
    <t>持续时间30s，对自身也生效</t>
  </si>
  <si>
    <t>附近有单位进入对应的异常状态时，玩家所有伤害提升20%（卸下护符仍然有效）</t>
  </si>
  <si>
    <t>狂怒神兽</t>
  </si>
  <si>
    <t>狂龙护符</t>
  </si>
  <si>
    <t>雪魔女尖帽</t>
  </si>
  <si>
    <t>光耀金面具</t>
  </si>
  <si>
    <t>持续时间45s；同时受到所有伤害减少8.7%</t>
  </si>
  <si>
    <t>黄金树立誓（道具）</t>
  </si>
  <si>
    <t>持续时间60s；所有减防类除冻伤、百智领域外均互相冲突</t>
  </si>
  <si>
    <t>百智领域</t>
  </si>
  <si>
    <t>持续时间60秒</t>
  </si>
  <si>
    <t>花之龙雷蓄力</t>
  </si>
  <si>
    <t>花之龙雷不蓄力</t>
  </si>
  <si>
    <t>持续时间20s</t>
  </si>
  <si>
    <t>光明剑战技</t>
  </si>
  <si>
    <t>黑暗剑战技</t>
  </si>
  <si>
    <t>油光露滴</t>
  </si>
  <si>
    <t>吸血破露滴</t>
  </si>
  <si>
    <t>持续时间3min，每秒扣血0.2%+20</t>
  </si>
  <si>
    <t>军旗-归于麾下</t>
  </si>
  <si>
    <t>普通</t>
  </si>
  <si>
    <t>打击</t>
  </si>
  <si>
    <t>斩击</t>
  </si>
  <si>
    <t>突刺</t>
  </si>
  <si>
    <t>“恶兆妖鬼”玛尔基特</t>
  </si>
  <si>
    <t>“接肢”葛瑞克</t>
  </si>
  <si>
    <t>“碎星”拉塔恩</t>
  </si>
  <si>
    <t>“铁棘”艾隆梅尔</t>
  </si>
  <si>
    <t>“初始之王”葛孚雷</t>
  </si>
  <si>
    <t>火焰巨人</t>
  </si>
  <si>
    <t>“米凯拉的锋刃”玛莲妮亚</t>
  </si>
  <si>
    <t>野兽祭司/“黑剑”玛利喀斯</t>
  </si>
  <si>
    <t>“恶兆之子”蒙格</t>
  </si>
  <si>
    <t>噬神大蛇/“亵渎君王”拉卡德</t>
  </si>
  <si>
    <t>“死龙”弗尔桑克斯</t>
  </si>
  <si>
    <t>“黑暗弃子”艾丝缇</t>
  </si>
  <si>
    <t>“鲜血君王”蒙格</t>
  </si>
  <si>
    <t>辉石魔砾</t>
  </si>
  <si>
    <t>辉石迅魔砾</t>
  </si>
  <si>
    <t>介错刀/干枯花束</t>
  </si>
  <si>
    <t>圣战徽章</t>
  </si>
  <si>
    <t>介错刀20s，干枯花束30s</t>
  </si>
  <si>
    <t>阿尔佩利希3件</t>
  </si>
  <si>
    <t>持续时间40s；同时受到所有伤害增加30%，且易受攻击</t>
  </si>
  <si>
    <t>神兽舞狮</t>
  </si>
  <si>
    <t>融泥骑士</t>
  </si>
  <si>
    <t>幽影树的化身</t>
  </si>
  <si>
    <t>老将盖乌斯</t>
  </si>
  <si>
    <t>“双月骑士”蕾菈娜</t>
  </si>
  <si>
    <t>“约定之王”拉塔恩</t>
  </si>
  <si>
    <t>“花蕾圣女”萝蜜娜</t>
  </si>
  <si>
    <t>“癫火之王”米德拉</t>
  </si>
  <si>
    <t>“指头之母”梅蒂尔</t>
  </si>
  <si>
    <t>“米凯拉的王”拉塔恩</t>
  </si>
  <si>
    <t>“恶之蛇”梅瑟莫</t>
  </si>
  <si>
    <t>“穿刺者”梅瑟莫</t>
  </si>
  <si>
    <t>“狂龙”贝勒</t>
  </si>
  <si>
    <t>狮子混种</t>
  </si>
  <si>
    <t>拉达冈的红狼</t>
  </si>
  <si>
    <t>“满月女王”蕾娜拉一阶段</t>
  </si>
  <si>
    <t>“满月女王”蕾娜拉二阶段</t>
  </si>
  <si>
    <t>“熔岩土龙”马卡尔</t>
  </si>
  <si>
    <t>神皮使徒</t>
  </si>
  <si>
    <t>神皮贵族</t>
  </si>
  <si>
    <t>战士荷莱露</t>
  </si>
  <si>
    <t>“恶兆王”蒙葛特</t>
  </si>
  <si>
    <t>老将尼奥</t>
  </si>
  <si>
    <t>禁卫骑士罗蕾塔</t>
  </si>
  <si>
    <t>“圣树骑士”罗蕾塔</t>
  </si>
  <si>
    <t>“龙王”普拉顿桑克斯</t>
  </si>
  <si>
    <t>祖灵</t>
  </si>
  <si>
    <t>祖灵之王</t>
  </si>
  <si>
    <t>诺克史黛拉的龙人士兵</t>
  </si>
  <si>
    <t>英雄石像鬼</t>
  </si>
  <si>
    <t>“黄金律法”拉达冈</t>
  </si>
  <si>
    <t>艾尔登之兽</t>
  </si>
  <si>
    <t>“结缘牧师”米利耶（壳）</t>
  </si>
  <si>
    <t>“结缘牧师”米利耶（身体）</t>
  </si>
  <si>
    <t>幽影树庇佑</t>
  </si>
  <si>
    <t>dlc</t>
  </si>
  <si>
    <t>是</t>
  </si>
  <si>
    <t>dlc专属</t>
  </si>
  <si>
    <t>幽影树庇佑加伤</t>
  </si>
  <si>
    <t>幽影树庇佑减伤</t>
  </si>
  <si>
    <r>
      <t>幽影</t>
    </r>
    <r>
      <rPr>
        <sz val="11"/>
        <color rgb="FF000000"/>
        <rFont val="微软雅黑"/>
        <family val="2"/>
        <charset val="134"/>
      </rPr>
      <t>树</t>
    </r>
    <r>
      <rPr>
        <sz val="11"/>
        <color indexed="8"/>
        <rFont val="微软雅黑"/>
        <family val="2"/>
        <charset val="134"/>
      </rPr>
      <t>庇护等级</t>
    </r>
  </si>
  <si>
    <t>人物加伤</t>
  </si>
  <si>
    <t>人物减伤</t>
  </si>
  <si>
    <t>魔法</t>
    <phoneticPr fontId="11" type="noConversion"/>
  </si>
  <si>
    <t>祷告</t>
    <phoneticPr fontId="11" type="noConversion"/>
  </si>
  <si>
    <t>米凯拉</t>
    <phoneticPr fontId="11" type="noConversion"/>
  </si>
  <si>
    <t>安帕赫的狂刃（蓄力斩击）</t>
    <phoneticPr fontId="11" type="noConversion"/>
  </si>
  <si>
    <t>安帕赫的狂刃（蓄力爆炸）</t>
    <phoneticPr fontId="11" type="noConversion"/>
  </si>
  <si>
    <t>火焰雨</t>
    <phoneticPr fontId="11" type="noConversion"/>
  </si>
  <si>
    <t>火焰雨-蓄力</t>
    <phoneticPr fontId="11" type="noConversion"/>
  </si>
  <si>
    <t>鲁格利亚的咆哮</t>
    <phoneticPr fontId="11" type="noConversion"/>
  </si>
  <si>
    <t>鲁格利亚的咆哮-蓄力持续</t>
    <phoneticPr fontId="11" type="noConversion"/>
  </si>
  <si>
    <t>武器</t>
  </si>
  <si>
    <t>智需求</t>
  </si>
  <si>
    <t>信需求</t>
  </si>
  <si>
    <t>感需求</t>
  </si>
  <si>
    <t>加成值</t>
  </si>
  <si>
    <t>辉石杖</t>
  </si>
  <si>
    <t>法杖</t>
  </si>
  <si>
    <t>结晶杖</t>
  </si>
  <si>
    <t>格密尔辉石杖</t>
  </si>
  <si>
    <t>亚人女王杖</t>
  </si>
  <si>
    <t>卡利亚权杖</t>
  </si>
  <si>
    <t>挖石杖</t>
  </si>
  <si>
    <t>观星杖</t>
  </si>
  <si>
    <t>卡利亚辉剑杖</t>
  </si>
  <si>
    <t>死王子杖</t>
  </si>
  <si>
    <t>白金杖</t>
  </si>
  <si>
    <t>学院辉石杖</t>
  </si>
  <si>
    <t>卡利亚辉石杖</t>
  </si>
  <si>
    <t>亚兹勒的辉石杖</t>
  </si>
  <si>
    <t>卢瑟特的辉石杖</t>
  </si>
  <si>
    <t>陨石杖</t>
  </si>
  <si>
    <t>罪人杖</t>
  </si>
  <si>
    <t>腐败结晶杖</t>
  </si>
  <si>
    <t>丧失杖</t>
  </si>
  <si>
    <t>无上远方杖</t>
  </si>
  <si>
    <t>印记</t>
  </si>
  <si>
    <t>指头圣印记</t>
  </si>
  <si>
    <t>狩猎神祇圣印记</t>
  </si>
  <si>
    <t>巨人圣印记</t>
  </si>
  <si>
    <t>碎石圣印记</t>
  </si>
  <si>
    <t>爪痕圣印记</t>
  </si>
  <si>
    <t>黄金树圣印记</t>
  </si>
  <si>
    <t>龙飨印记</t>
  </si>
  <si>
    <t>癫火圣印记</t>
  </si>
  <si>
    <t>落叶圣印记</t>
  </si>
  <si>
    <t>火焰骑士圣印记</t>
  </si>
  <si>
    <t>螺旋树圣印记</t>
  </si>
  <si>
    <t>触媒</t>
    <phoneticPr fontId="11" type="noConversion"/>
  </si>
  <si>
    <r>
      <t xml:space="preserve">艾尔登法环 法术伤害计算器 v1.16 </t>
    </r>
    <r>
      <rPr>
        <b/>
        <sz val="12"/>
        <color rgb="FF000000"/>
        <rFont val="微软雅黑"/>
        <family val="2"/>
        <charset val="134"/>
      </rPr>
      <t>by: 虚空蛋黄酱</t>
    </r>
    <phoneticPr fontId="11" type="noConversion"/>
  </si>
  <si>
    <t>普通石强化</t>
    <phoneticPr fontId="11" type="noConversion"/>
  </si>
  <si>
    <t>失色石强化</t>
    <phoneticPr fontId="11" type="noConversion"/>
  </si>
  <si>
    <t>满血生效</t>
    <phoneticPr fontId="11" type="noConversion"/>
  </si>
  <si>
    <t>物理减伤率降低10%</t>
    <phoneticPr fontId="11" type="noConversion"/>
  </si>
  <si>
    <t>异常值</t>
    <phoneticPr fontId="11" type="noConversion"/>
  </si>
  <si>
    <t>光环</t>
    <phoneticPr fontId="11" type="noConversion"/>
  </si>
  <si>
    <t>ID</t>
  </si>
  <si>
    <t>ID</t>
    <phoneticPr fontId="11" type="noConversion"/>
  </si>
  <si>
    <t>全</t>
    <phoneticPr fontId="11" type="noConversion"/>
  </si>
  <si>
    <t>罗刹1件</t>
    <phoneticPr fontId="11" type="noConversion"/>
  </si>
  <si>
    <t>罗刹2件</t>
    <phoneticPr fontId="11" type="noConversion"/>
  </si>
  <si>
    <t>罗刹3件</t>
    <phoneticPr fontId="11" type="noConversion"/>
  </si>
  <si>
    <t>补正修正</t>
    <phoneticPr fontId="11" type="noConversion"/>
  </si>
  <si>
    <t>物理属性</t>
    <phoneticPr fontId="11" type="noConversion"/>
  </si>
  <si>
    <t>物基础</t>
    <phoneticPr fontId="11" type="noConversion"/>
  </si>
  <si>
    <t>魔基础</t>
    <phoneticPr fontId="11" type="noConversion"/>
  </si>
  <si>
    <t>火基础</t>
    <phoneticPr fontId="11" type="noConversion"/>
  </si>
  <si>
    <t>雷基础</t>
    <phoneticPr fontId="11" type="noConversion"/>
  </si>
  <si>
    <t>圣基础</t>
    <phoneticPr fontId="11" type="noConversion"/>
  </si>
  <si>
    <t>力补物</t>
  </si>
  <si>
    <t>敏补物</t>
  </si>
  <si>
    <t>智补物</t>
  </si>
  <si>
    <t>信补物</t>
  </si>
  <si>
    <t>感补物</t>
  </si>
  <si>
    <t>力补魔</t>
  </si>
  <si>
    <t>敏补魔</t>
  </si>
  <si>
    <t>智补魔</t>
  </si>
  <si>
    <t>信补魔</t>
  </si>
  <si>
    <t>感补魔</t>
  </si>
  <si>
    <t>力补火</t>
  </si>
  <si>
    <t>敏补火</t>
  </si>
  <si>
    <t>智补火</t>
  </si>
  <si>
    <t>信补火</t>
  </si>
  <si>
    <t>感补火</t>
  </si>
  <si>
    <t>力补雷</t>
  </si>
  <si>
    <t>敏补雷</t>
  </si>
  <si>
    <t>智补雷</t>
  </si>
  <si>
    <t>信补雷</t>
  </si>
  <si>
    <t>感补雷</t>
  </si>
  <si>
    <t>力补圣</t>
  </si>
  <si>
    <t>敏补圣</t>
  </si>
  <si>
    <t>智补圣</t>
  </si>
  <si>
    <t>信补圣</t>
  </si>
  <si>
    <t>感补圣</t>
  </si>
  <si>
    <t>Name</t>
    <phoneticPr fontId="11" type="noConversion"/>
  </si>
  <si>
    <t>Row ID</t>
    <phoneticPr fontId="11" type="noConversion"/>
  </si>
  <si>
    <t>飞龙</t>
  </si>
  <si>
    <t>外星</t>
  </si>
  <si>
    <t>下水道恶兆之子</t>
  </si>
  <si>
    <t>神授塔黑焰修士</t>
  </si>
  <si>
    <t>自定义</t>
  </si>
  <si>
    <t>副手类buff</t>
    <phoneticPr fontId="11" type="noConversion"/>
  </si>
  <si>
    <t>加成1</t>
    <phoneticPr fontId="11" type="noConversion"/>
  </si>
  <si>
    <t>加成2</t>
    <phoneticPr fontId="11" type="noConversion"/>
  </si>
  <si>
    <t>智需求</t>
    <phoneticPr fontId="11" type="noConversion"/>
  </si>
  <si>
    <t>信需求</t>
    <phoneticPr fontId="11" type="noConversion"/>
  </si>
  <si>
    <t>感需求</t>
    <phoneticPr fontId="11" type="noConversion"/>
  </si>
  <si>
    <t>贝勒的残虐（岩浆）</t>
    <phoneticPr fontId="11" type="noConversion"/>
  </si>
  <si>
    <t>贝勒的残虐（咆哮）</t>
    <phoneticPr fontId="11" type="noConversion"/>
  </si>
  <si>
    <t>贝勒的焰雷</t>
  </si>
  <si>
    <t>贝勒的焰雷</t>
    <phoneticPr fontId="11" type="noConversion"/>
  </si>
  <si>
    <t>陨石</t>
    <phoneticPr fontId="11" type="noConversion"/>
  </si>
  <si>
    <t>艾丝缇陨石</t>
  </si>
  <si>
    <t>艾丝缇陨石</t>
    <phoneticPr fontId="11" type="noConversion"/>
  </si>
  <si>
    <t>蕾菈娜的双月（月亮）</t>
    <phoneticPr fontId="11" type="noConversion"/>
  </si>
  <si>
    <t>蕾菈娜的双月（爆炸）</t>
    <phoneticPr fontId="11" type="noConversion"/>
  </si>
  <si>
    <t>异常类型</t>
    <phoneticPr fontId="11" type="noConversion"/>
  </si>
  <si>
    <t>冰冻值</t>
    <phoneticPr fontId="11" type="noConversion"/>
  </si>
  <si>
    <t>否</t>
    <phoneticPr fontId="11" type="noConversion"/>
  </si>
  <si>
    <t>出血值</t>
    <phoneticPr fontId="11" type="noConversion"/>
  </si>
  <si>
    <t>死亡值</t>
    <phoneticPr fontId="11" type="noConversion"/>
  </si>
  <si>
    <t>发狂值</t>
    <phoneticPr fontId="11" type="noConversion"/>
  </si>
  <si>
    <t>腐败值</t>
    <phoneticPr fontId="11" type="noConversion"/>
  </si>
  <si>
    <t>腐败蝶（爆炸）</t>
    <phoneticPr fontId="11" type="noConversion"/>
  </si>
  <si>
    <t>腐败蝶（风）</t>
    <phoneticPr fontId="11" type="noConversion"/>
  </si>
  <si>
    <t>削韧</t>
    <phoneticPr fontId="11" type="noConversion"/>
  </si>
  <si>
    <t>冲击力</t>
  </si>
  <si>
    <t>冲击力</t>
    <phoneticPr fontId="11" type="noConversion"/>
  </si>
  <si>
    <t>特殊类型2</t>
    <phoneticPr fontId="11" type="noConversion"/>
  </si>
  <si>
    <t>特殊类型1</t>
    <phoneticPr fontId="11" type="noConversion"/>
  </si>
  <si>
    <t>描述</t>
  </si>
  <si>
    <t>0（无硬直）</t>
  </si>
  <si>
    <t>1（小硬直）</t>
  </si>
  <si>
    <t>2（中硬直）</t>
  </si>
  <si>
    <t>3（大硬直）</t>
  </si>
  <si>
    <t>4（大击退）</t>
  </si>
  <si>
    <t>5（推开）</t>
  </si>
  <si>
    <t>6（击倒）</t>
  </si>
  <si>
    <t>7（击退）</t>
  </si>
  <si>
    <t>8（微小硬直）</t>
  </si>
  <si>
    <t>9（击飞）</t>
  </si>
  <si>
    <t>10（超大击退）</t>
  </si>
  <si>
    <t>11（踉跄击倒）</t>
    <phoneticPr fontId="12" type="noConversion"/>
  </si>
  <si>
    <t>力补正</t>
  </si>
  <si>
    <t>敏补正</t>
  </si>
  <si>
    <t>智补正</t>
  </si>
  <si>
    <t>信补正</t>
  </si>
  <si>
    <t>感补正</t>
  </si>
  <si>
    <t>失色石</t>
    <phoneticPr fontId="11" type="noConversion"/>
  </si>
  <si>
    <t>参数1</t>
  </si>
  <si>
    <t>参数2</t>
  </si>
  <si>
    <t>参数3</t>
  </si>
  <si>
    <t>彗星亚兹勒为15%，增加20%耗蓝</t>
    <phoneticPr fontId="11" type="noConversion"/>
  </si>
  <si>
    <t>毁灭流星为15%，增加20%耗蓝</t>
    <phoneticPr fontId="11" type="noConversion"/>
  </si>
  <si>
    <t>法杖</t>
    <phoneticPr fontId="11" type="noConversion"/>
  </si>
  <si>
    <t>物攻击力</t>
    <phoneticPr fontId="11" type="noConversion"/>
  </si>
  <si>
    <t>魔攻击力</t>
    <phoneticPr fontId="11" type="noConversion"/>
  </si>
  <si>
    <t>火攻击力</t>
    <phoneticPr fontId="11" type="noConversion"/>
  </si>
  <si>
    <t>雷攻击力</t>
    <phoneticPr fontId="11" type="noConversion"/>
  </si>
  <si>
    <t>圣攻击力</t>
    <phoneticPr fontId="11" type="noConversion"/>
  </si>
  <si>
    <t>强化等级</t>
    <phoneticPr fontId="11" type="noConversion"/>
  </si>
  <si>
    <t>力补正成长</t>
  </si>
  <si>
    <t>敏补正成长</t>
  </si>
  <si>
    <t>智补正成长</t>
  </si>
  <si>
    <t>信补正成长</t>
  </si>
  <si>
    <t>感补正成长</t>
  </si>
  <si>
    <t>物成长</t>
    <phoneticPr fontId="11" type="noConversion"/>
  </si>
  <si>
    <t>魔成长</t>
    <phoneticPr fontId="11" type="noConversion"/>
  </si>
  <si>
    <t>火成长</t>
    <phoneticPr fontId="11" type="noConversion"/>
  </si>
  <si>
    <t>雷成长</t>
    <phoneticPr fontId="11" type="noConversion"/>
  </si>
  <si>
    <t>圣成长</t>
    <phoneticPr fontId="11" type="noConversion"/>
  </si>
  <si>
    <t>卡利亚魔法剑</t>
    <phoneticPr fontId="11" type="noConversion"/>
  </si>
  <si>
    <t>强化曲线</t>
    <phoneticPr fontId="11" type="noConversion"/>
  </si>
  <si>
    <t>力补正成长</t>
    <phoneticPr fontId="11" type="noConversion"/>
  </si>
  <si>
    <t>敏补正成长</t>
    <phoneticPr fontId="11" type="noConversion"/>
  </si>
  <si>
    <t>感补正成长</t>
    <phoneticPr fontId="11" type="noConversion"/>
  </si>
  <si>
    <t>信补正成长</t>
    <phoneticPr fontId="11" type="noConversion"/>
  </si>
  <si>
    <t>智补正成长</t>
    <phoneticPr fontId="11" type="noConversion"/>
  </si>
  <si>
    <t>印记</t>
    <phoneticPr fontId="11" type="noConversion"/>
  </si>
  <si>
    <t>物伤害</t>
    <phoneticPr fontId="11" type="noConversion"/>
  </si>
  <si>
    <t>物buff</t>
    <phoneticPr fontId="11" type="noConversion"/>
  </si>
  <si>
    <t>魔buff</t>
    <phoneticPr fontId="11" type="noConversion"/>
  </si>
  <si>
    <t>火buff</t>
    <phoneticPr fontId="11" type="noConversion"/>
  </si>
  <si>
    <t>雷buff</t>
    <phoneticPr fontId="11" type="noConversion"/>
  </si>
  <si>
    <t>圣buff</t>
    <phoneticPr fontId="11" type="noConversion"/>
  </si>
  <si>
    <t>触媒属性</t>
    <phoneticPr fontId="11" type="noConversion"/>
  </si>
  <si>
    <t>特殊类型3</t>
    <phoneticPr fontId="11" type="noConversion"/>
  </si>
  <si>
    <t>触媒加成</t>
    <phoneticPr fontId="11" type="noConversion"/>
  </si>
  <si>
    <t>魔伤害</t>
    <phoneticPr fontId="11" type="noConversion"/>
  </si>
  <si>
    <t>火伤害</t>
    <phoneticPr fontId="11" type="noConversion"/>
  </si>
  <si>
    <t>雷伤害</t>
    <phoneticPr fontId="11" type="noConversion"/>
  </si>
  <si>
    <t>圣伤害</t>
    <phoneticPr fontId="11" type="noConversion"/>
  </si>
  <si>
    <t>总伤害</t>
    <phoneticPr fontId="11" type="noConversion"/>
  </si>
  <si>
    <t>异常补正</t>
    <phoneticPr fontId="11" type="noConversion"/>
  </si>
  <si>
    <t>异常</t>
    <phoneticPr fontId="11" type="noConversion"/>
  </si>
  <si>
    <t>异常属性</t>
    <phoneticPr fontId="11" type="noConversion"/>
  </si>
  <si>
    <t>异常是否补正</t>
    <phoneticPr fontId="11" type="noConversion"/>
  </si>
  <si>
    <t>周目数</t>
    <phoneticPr fontId="11" type="noConversion"/>
  </si>
  <si>
    <t>是否为dlc</t>
    <phoneticPr fontId="11" type="noConversion"/>
  </si>
  <si>
    <t>特殊类型</t>
    <phoneticPr fontId="11" type="noConversion"/>
  </si>
  <si>
    <t>基础值</t>
    <phoneticPr fontId="11" type="noConversion"/>
  </si>
  <si>
    <t>通用buff</t>
    <phoneticPr fontId="11" type="noConversion"/>
  </si>
  <si>
    <t>耗精</t>
    <phoneticPr fontId="11" type="noConversion"/>
  </si>
  <si>
    <t>基础耗精</t>
    <phoneticPr fontId="11" type="noConversion"/>
  </si>
  <si>
    <t>耗精倍率</t>
    <phoneticPr fontId="11" type="noConversion"/>
  </si>
  <si>
    <t>展翼大角战技</t>
    <phoneticPr fontId="11" type="noConversion"/>
  </si>
  <si>
    <t>减防debuff</t>
    <phoneticPr fontId="11" type="noConversion"/>
  </si>
  <si>
    <t>无</t>
    <phoneticPr fontId="11" type="noConversion"/>
  </si>
  <si>
    <t>选择人物属性、buff、触媒、敌人、周目数即可直接计算出造成的伤害、削韧、异常值等数据。</t>
    <phoneticPr fontId="11" type="noConversion"/>
  </si>
  <si>
    <t>触媒列表</t>
    <phoneticPr fontId="11" type="noConversion"/>
  </si>
  <si>
    <t>法术列表</t>
    <phoneticPr fontId="11" type="noConversion"/>
  </si>
  <si>
    <t>一周目削韧</t>
    <phoneticPr fontId="11" type="noConversion"/>
  </si>
  <si>
    <t>蓄力</t>
    <phoneticPr fontId="11" type="noConversion"/>
  </si>
  <si>
    <t>爆破岩盘</t>
  </si>
  <si>
    <t>蕾菈娜的双月</t>
  </si>
  <si>
    <t>亚杜拉的月光剑</t>
  </si>
  <si>
    <t>引力球</t>
  </si>
  <si>
    <t>虚幻小宇宙</t>
  </si>
  <si>
    <t>迸发灵火</t>
  </si>
  <si>
    <t>融泥块</t>
  </si>
  <si>
    <t>熔炉百相之针</t>
  </si>
  <si>
    <t>幽影之地</t>
  </si>
  <si>
    <t>艾尔登流星</t>
  </si>
  <si>
    <t>相迭光环</t>
  </si>
  <si>
    <t>米凯拉的光</t>
  </si>
  <si>
    <t>带电</t>
  </si>
  <si>
    <t>火焰重罪</t>
  </si>
  <si>
    <t>梅瑟莫的火球</t>
  </si>
  <si>
    <t>古兰格的兽爪</t>
  </si>
  <si>
    <t>安帕赫的狂刃</t>
  </si>
  <si>
    <t>猩红艾奥尼亚</t>
  </si>
  <si>
    <t>腐败蝶</t>
  </si>
  <si>
    <t>普拉顿桑克斯的凋亡</t>
  </si>
  <si>
    <t>贝勒的残虐</t>
  </si>
  <si>
    <t>萨米尔冰风暴</t>
  </si>
  <si>
    <t>爆散结晶</t>
  </si>
  <si>
    <t>火焰雨</t>
  </si>
  <si>
    <t>鲁格利亚的咆哮</t>
  </si>
  <si>
    <t>陨石</t>
  </si>
  <si>
    <t>辉石流星</t>
    <phoneticPr fontId="11" type="noConversion"/>
  </si>
  <si>
    <t>流星雨</t>
    <phoneticPr fontId="11" type="noConversion"/>
  </si>
  <si>
    <t>彗星亚兹勒</t>
    <phoneticPr fontId="11" type="noConversion"/>
  </si>
  <si>
    <t>毁灭流星</t>
    <phoneticPr fontId="11" type="noConversion"/>
  </si>
  <si>
    <t>辉石流星-1</t>
    <phoneticPr fontId="11" type="noConversion"/>
  </si>
  <si>
    <t>辉石流星-2</t>
    <phoneticPr fontId="11" type="noConversion"/>
  </si>
  <si>
    <t>辉石流星-3</t>
    <phoneticPr fontId="11" type="noConversion"/>
  </si>
  <si>
    <t>持续id</t>
    <phoneticPr fontId="11" type="noConversion"/>
  </si>
  <si>
    <t>默认id</t>
    <phoneticPr fontId="11" type="noConversion"/>
  </si>
  <si>
    <t>耗蓝</t>
    <phoneticPr fontId="11" type="noConversion"/>
  </si>
  <si>
    <t>持续耗蓝</t>
    <phoneticPr fontId="11" type="noConversion"/>
  </si>
  <si>
    <t>辉石流星-1-蓄力</t>
    <phoneticPr fontId="11" type="noConversion"/>
  </si>
  <si>
    <t>辉石流星-2-蓄力</t>
    <phoneticPr fontId="11" type="noConversion"/>
  </si>
  <si>
    <t>辉石流星-3-蓄力</t>
    <phoneticPr fontId="11" type="noConversion"/>
  </si>
  <si>
    <t>默认次数</t>
    <phoneticPr fontId="11" type="noConversion"/>
  </si>
  <si>
    <t>海摩大槌（本体）</t>
    <phoneticPr fontId="11" type="noConversion"/>
  </si>
  <si>
    <t>爆碎岩盘（一段）-1</t>
    <phoneticPr fontId="11" type="noConversion"/>
  </si>
  <si>
    <t>爆碎岩盘（一段）-2</t>
    <phoneticPr fontId="11" type="noConversion"/>
  </si>
  <si>
    <t>爆碎岩盘（二段）</t>
    <phoneticPr fontId="11" type="noConversion"/>
  </si>
  <si>
    <t>爆碎岩盘（起手）-</t>
    <phoneticPr fontId="11" type="noConversion"/>
  </si>
  <si>
    <t>爆碎岩盘（一段）</t>
    <phoneticPr fontId="11" type="noConversion"/>
  </si>
  <si>
    <t>爆碎岩盘（二段）</t>
    <phoneticPr fontId="11" type="noConversion"/>
  </si>
  <si>
    <t>彗星亚兹勒-子弹A</t>
    <phoneticPr fontId="11" type="noConversion"/>
  </si>
  <si>
    <t>彗星亚兹勒-子弹B</t>
    <phoneticPr fontId="11" type="noConversion"/>
  </si>
  <si>
    <t>彗星亚兹勒-子弹C</t>
    <phoneticPr fontId="11" type="noConversion"/>
  </si>
  <si>
    <t>彗星亚兹勒-子弹D</t>
    <phoneticPr fontId="11" type="noConversion"/>
  </si>
  <si>
    <t>彗星亚兹勒-子弹A'</t>
    <phoneticPr fontId="11" type="noConversion"/>
  </si>
  <si>
    <t>毁灭流星-1</t>
    <phoneticPr fontId="11" type="noConversion"/>
  </si>
  <si>
    <t>毁灭流星-2</t>
    <phoneticPr fontId="11" type="noConversion"/>
  </si>
  <si>
    <t>毁灭流星-3</t>
    <phoneticPr fontId="11" type="noConversion"/>
  </si>
  <si>
    <t>毁灭流星-4</t>
    <phoneticPr fontId="11" type="noConversion"/>
  </si>
  <si>
    <t>毁灭流星-1-蓄力</t>
    <phoneticPr fontId="11" type="noConversion"/>
  </si>
  <si>
    <t>毁灭流星-2-蓄力</t>
    <phoneticPr fontId="11" type="noConversion"/>
  </si>
  <si>
    <t>毁灭流星-3-蓄力</t>
    <phoneticPr fontId="11" type="noConversion"/>
  </si>
  <si>
    <t>毁灭流星-4-蓄力</t>
    <phoneticPr fontId="11" type="noConversion"/>
  </si>
  <si>
    <t>滚烫熔岩（爆炸）</t>
    <phoneticPr fontId="11" type="noConversion"/>
  </si>
  <si>
    <t>滚烫熔岩（直击）</t>
    <phoneticPr fontId="11" type="noConversion"/>
  </si>
  <si>
    <t>罪恶荆棘（一段）</t>
    <phoneticPr fontId="11" type="noConversion"/>
  </si>
  <si>
    <t>罪恶荆棘（二段）</t>
    <phoneticPr fontId="11" type="noConversion"/>
  </si>
  <si>
    <t>罪恶荆棘（三段）</t>
    <phoneticPr fontId="11" type="noConversion"/>
  </si>
  <si>
    <t>罪恶荆棘（二段）</t>
    <phoneticPr fontId="11" type="noConversion"/>
  </si>
  <si>
    <t>罪恶荆棘（三段）</t>
    <phoneticPr fontId="11" type="noConversion"/>
  </si>
  <si>
    <t>飞散结晶-升空</t>
    <phoneticPr fontId="11" type="noConversion"/>
  </si>
  <si>
    <t>血焰</t>
    <phoneticPr fontId="11" type="noConversion"/>
  </si>
  <si>
    <t>岩块刀刃（蓄力）-1</t>
    <phoneticPr fontId="11" type="noConversion"/>
  </si>
  <si>
    <t>岩块刀刃（蓄力）-2,3</t>
    <phoneticPr fontId="11" type="noConversion"/>
  </si>
  <si>
    <t>引力球（对地）</t>
    <phoneticPr fontId="11" type="noConversion"/>
  </si>
  <si>
    <t>黑剑（一段）</t>
    <phoneticPr fontId="11" type="noConversion"/>
  </si>
  <si>
    <t>黑剑（二段）</t>
    <phoneticPr fontId="11" type="noConversion"/>
  </si>
  <si>
    <t>黑剑（一段）-剑身</t>
    <phoneticPr fontId="11" type="noConversion"/>
  </si>
  <si>
    <t>黑剑（二段）-剑气</t>
    <phoneticPr fontId="11" type="noConversion"/>
  </si>
  <si>
    <t>黑剑（二段）-剑身</t>
    <phoneticPr fontId="11" type="noConversion"/>
  </si>
  <si>
    <t>黑剑（一段）-剑气</t>
    <phoneticPr fontId="11" type="noConversion"/>
  </si>
  <si>
    <t>兰斯桑克斯的刀（本体）</t>
    <phoneticPr fontId="11" type="noConversion"/>
  </si>
  <si>
    <t>弗尔桑克斯的雷枪（贴脸）</t>
    <phoneticPr fontId="11" type="noConversion"/>
  </si>
  <si>
    <t>冰雷枪（贴脸）</t>
    <phoneticPr fontId="11" type="noConversion"/>
  </si>
  <si>
    <t>弗尔桑克斯的雷枪（前端）</t>
    <phoneticPr fontId="11" type="noConversion"/>
  </si>
  <si>
    <t>冰雷枪（前端）</t>
    <phoneticPr fontId="11" type="noConversion"/>
  </si>
  <si>
    <t>弗尔桑克斯的雷枪-1-前端</t>
    <phoneticPr fontId="11" type="noConversion"/>
  </si>
  <si>
    <t>弗尔桑克斯的雷枪-1-贴脸</t>
    <phoneticPr fontId="11" type="noConversion"/>
  </si>
  <si>
    <t>弗尔桑克斯的雷枪-1-扩散</t>
    <phoneticPr fontId="11" type="noConversion"/>
  </si>
  <si>
    <t>弗尔桑克斯的雷枪-2-贴脸</t>
    <phoneticPr fontId="11" type="noConversion"/>
  </si>
  <si>
    <t>弗尔桑克斯的雷枪-2-前端</t>
    <phoneticPr fontId="11" type="noConversion"/>
  </si>
  <si>
    <t>弗尔桑克斯的雷枪-2-扩散</t>
    <phoneticPr fontId="11" type="noConversion"/>
  </si>
  <si>
    <t>虫丝枪-蓄力</t>
    <phoneticPr fontId="11" type="noConversion"/>
  </si>
  <si>
    <t>鲁格利亚的咆哮-蓄力-1</t>
    <phoneticPr fontId="11" type="noConversion"/>
  </si>
  <si>
    <t>鲁格利亚的咆哮-蓄力-2</t>
    <phoneticPr fontId="11" type="noConversion"/>
  </si>
  <si>
    <t>鲁格利亚的咆哮-蓄力-3</t>
    <phoneticPr fontId="11" type="noConversion"/>
  </si>
  <si>
    <t>龙爪（二段）-震波</t>
    <phoneticPr fontId="11" type="noConversion"/>
  </si>
  <si>
    <t>龙爪（一段）</t>
    <phoneticPr fontId="11" type="noConversion"/>
  </si>
  <si>
    <t>龙爪（一段）-震波</t>
    <phoneticPr fontId="11" type="noConversion"/>
  </si>
  <si>
    <t>龙爪（一段）</t>
    <phoneticPr fontId="11" type="noConversion"/>
  </si>
  <si>
    <t>龙爪（二段）</t>
    <phoneticPr fontId="11" type="noConversion"/>
  </si>
  <si>
    <t>滚烫熔岩（爆炸）岩浆-蓄力</t>
    <phoneticPr fontId="11" type="noConversion"/>
  </si>
  <si>
    <t>滚烫熔岩（爆炸）岩浆</t>
    <phoneticPr fontId="11" type="noConversion"/>
  </si>
  <si>
    <t>龙爪（一段震波）</t>
    <phoneticPr fontId="11" type="noConversion"/>
  </si>
  <si>
    <t>龙爪（二段震波）</t>
    <phoneticPr fontId="11" type="noConversion"/>
  </si>
  <si>
    <t>ID 1</t>
    <phoneticPr fontId="11" type="noConversion"/>
  </si>
  <si>
    <t>ID 2</t>
  </si>
  <si>
    <t>ID 3</t>
  </si>
  <si>
    <t>ID 4</t>
  </si>
  <si>
    <t>ID 5</t>
  </si>
  <si>
    <t>ID 6</t>
  </si>
  <si>
    <t>次数1</t>
    <phoneticPr fontId="11" type="noConversion"/>
  </si>
  <si>
    <t>次数2</t>
  </si>
  <si>
    <t>次数3</t>
  </si>
  <si>
    <t>次数4</t>
  </si>
  <si>
    <t>次数5</t>
  </si>
  <si>
    <t>次数6</t>
  </si>
  <si>
    <t>物攻击1</t>
    <phoneticPr fontId="11" type="noConversion"/>
  </si>
  <si>
    <t>物攻击2</t>
  </si>
  <si>
    <t>物攻击3</t>
  </si>
  <si>
    <t>物攻击4</t>
  </si>
  <si>
    <t>物攻击5</t>
  </si>
  <si>
    <t>物攻击6</t>
  </si>
  <si>
    <t>物伤害1</t>
    <phoneticPr fontId="11" type="noConversion"/>
  </si>
  <si>
    <t>类型</t>
    <phoneticPr fontId="11" type="noConversion"/>
  </si>
  <si>
    <t>圣印记</t>
    <phoneticPr fontId="11" type="noConversion"/>
  </si>
  <si>
    <t>持续id 1</t>
    <phoneticPr fontId="11" type="noConversion"/>
  </si>
  <si>
    <t>持续id 2</t>
    <phoneticPr fontId="11" type="noConversion"/>
  </si>
  <si>
    <t>持续id 3</t>
    <phoneticPr fontId="11" type="noConversion"/>
  </si>
  <si>
    <t>物法强</t>
    <phoneticPr fontId="11" type="noConversion"/>
  </si>
  <si>
    <t>魔法强</t>
    <phoneticPr fontId="11" type="noConversion"/>
  </si>
  <si>
    <t>火法强</t>
    <phoneticPr fontId="11" type="noConversion"/>
  </si>
  <si>
    <t>雷法强</t>
    <phoneticPr fontId="11" type="noConversion"/>
  </si>
  <si>
    <t>圣法强</t>
    <phoneticPr fontId="11" type="noConversion"/>
  </si>
  <si>
    <t>物属性1</t>
    <phoneticPr fontId="11" type="noConversion"/>
  </si>
  <si>
    <t>物属性2</t>
  </si>
  <si>
    <t>物属性3</t>
  </si>
  <si>
    <t>物属性4</t>
  </si>
  <si>
    <t>物属性5</t>
  </si>
  <si>
    <t>物属性6</t>
  </si>
  <si>
    <t>物伤害2</t>
  </si>
  <si>
    <t>物伤害3</t>
  </si>
  <si>
    <t>物伤害4</t>
  </si>
  <si>
    <t>物伤害5</t>
  </si>
  <si>
    <t>物伤害6</t>
  </si>
  <si>
    <t>魔攻击1</t>
    <phoneticPr fontId="11" type="noConversion"/>
  </si>
  <si>
    <t>魔攻击2</t>
  </si>
  <si>
    <t>魔攻击3</t>
  </si>
  <si>
    <t>魔攻击4</t>
  </si>
  <si>
    <t>魔攻击5</t>
  </si>
  <si>
    <t>魔攻击6</t>
  </si>
  <si>
    <t>计算</t>
    <phoneticPr fontId="11" type="noConversion"/>
  </si>
  <si>
    <t>异常成长</t>
    <phoneticPr fontId="11" type="noConversion"/>
  </si>
  <si>
    <t>魔伤害2</t>
  </si>
  <si>
    <t>魔伤害3</t>
  </si>
  <si>
    <t>魔伤害4</t>
  </si>
  <si>
    <t>魔伤害5</t>
  </si>
  <si>
    <t>魔伤害6</t>
  </si>
  <si>
    <t>火攻击1</t>
    <phoneticPr fontId="11" type="noConversion"/>
  </si>
  <si>
    <t>火攻击2</t>
  </si>
  <si>
    <t>火攻击3</t>
  </si>
  <si>
    <t>火攻击4</t>
  </si>
  <si>
    <t>火攻击5</t>
  </si>
  <si>
    <t>火攻击6</t>
  </si>
  <si>
    <t>魔伤害1</t>
    <phoneticPr fontId="11" type="noConversion"/>
  </si>
  <si>
    <t>火伤害1</t>
    <phoneticPr fontId="11" type="noConversion"/>
  </si>
  <si>
    <t>火伤害2</t>
  </si>
  <si>
    <t>火伤害3</t>
  </si>
  <si>
    <t>火伤害4</t>
  </si>
  <si>
    <t>火伤害5</t>
  </si>
  <si>
    <t>火伤害6</t>
  </si>
  <si>
    <t>雷攻击1</t>
    <phoneticPr fontId="11" type="noConversion"/>
  </si>
  <si>
    <t>雷攻击2</t>
  </si>
  <si>
    <t>雷攻击3</t>
  </si>
  <si>
    <t>雷攻击4</t>
  </si>
  <si>
    <t>雷攻击5</t>
  </si>
  <si>
    <t>雷攻击6</t>
  </si>
  <si>
    <t>雷伤害1</t>
    <phoneticPr fontId="11" type="noConversion"/>
  </si>
  <si>
    <t>雷伤害2</t>
  </si>
  <si>
    <t>雷伤害3</t>
  </si>
  <si>
    <t>雷伤害4</t>
  </si>
  <si>
    <t>雷伤害5</t>
  </si>
  <si>
    <t>雷伤害6</t>
  </si>
  <si>
    <t>圣攻击1</t>
    <phoneticPr fontId="11" type="noConversion"/>
  </si>
  <si>
    <t>圣攻击2</t>
  </si>
  <si>
    <t>圣攻击3</t>
  </si>
  <si>
    <t>圣攻击4</t>
  </si>
  <si>
    <t>圣攻击5</t>
  </si>
  <si>
    <t>圣攻击6</t>
  </si>
  <si>
    <t>圣伤害1</t>
    <phoneticPr fontId="11" type="noConversion"/>
  </si>
  <si>
    <t>圣伤害2</t>
  </si>
  <si>
    <t>圣伤害3</t>
  </si>
  <si>
    <t>圣伤害4</t>
  </si>
  <si>
    <t>圣伤害5</t>
  </si>
  <si>
    <t>圣伤害6</t>
  </si>
  <si>
    <t>特殊加成</t>
    <phoneticPr fontId="11" type="noConversion"/>
  </si>
  <si>
    <t>加成类型</t>
    <phoneticPr fontId="11" type="noConversion"/>
  </si>
  <si>
    <t>削韧1</t>
    <phoneticPr fontId="11" type="noConversion"/>
  </si>
  <si>
    <t>削韧2</t>
  </si>
  <si>
    <t>削韧3</t>
  </si>
  <si>
    <t>削韧4</t>
  </si>
  <si>
    <t>削韧5</t>
  </si>
  <si>
    <t>削韧6</t>
  </si>
  <si>
    <t>冲击力1</t>
    <phoneticPr fontId="11" type="noConversion"/>
  </si>
  <si>
    <t>冲击力2</t>
  </si>
  <si>
    <t>冲击力3</t>
  </si>
  <si>
    <t>冲击力4</t>
  </si>
  <si>
    <t>冲击力5</t>
  </si>
  <si>
    <t>冲击力6</t>
  </si>
  <si>
    <t>古龙雷枪（贴脸）</t>
    <phoneticPr fontId="11" type="noConversion"/>
  </si>
  <si>
    <t>古龙雷枪（前端）</t>
    <phoneticPr fontId="11" type="noConversion"/>
  </si>
  <si>
    <t>异常值1</t>
    <phoneticPr fontId="11" type="noConversion"/>
  </si>
  <si>
    <t>异常值2</t>
  </si>
  <si>
    <t>异常值3</t>
  </si>
  <si>
    <t>异常值4</t>
  </si>
  <si>
    <t>异常值5</t>
  </si>
  <si>
    <t>异常值6</t>
  </si>
  <si>
    <t>蓄力耗蓝</t>
    <phoneticPr fontId="11" type="noConversion"/>
  </si>
  <si>
    <t>法术信息</t>
    <phoneticPr fontId="11" type="noConversion"/>
  </si>
  <si>
    <t>伤害类型</t>
    <phoneticPr fontId="11" type="noConversion"/>
  </si>
  <si>
    <t>满足需求</t>
    <phoneticPr fontId="11" type="noConversion"/>
  </si>
  <si>
    <t>敌人属性</t>
    <phoneticPr fontId="11" type="noConversion"/>
  </si>
  <si>
    <t>魔法/祷告</t>
    <phoneticPr fontId="11" type="noConversion"/>
  </si>
  <si>
    <t>是否蓄力/持续</t>
    <phoneticPr fontId="11" type="noConversion"/>
  </si>
  <si>
    <t>蓄力/持续</t>
    <phoneticPr fontId="11" type="noConversion"/>
  </si>
  <si>
    <t>可蓄力/持续</t>
    <phoneticPr fontId="11" type="noConversion"/>
  </si>
  <si>
    <t/>
  </si>
  <si>
    <r>
      <t xml:space="preserve">     法术伤害对比计算器 v1.16    </t>
    </r>
    <r>
      <rPr>
        <b/>
        <sz val="12"/>
        <rFont val="微软雅黑"/>
        <family val="2"/>
        <charset val="134"/>
      </rPr>
      <t>by: 虚空蛋黄酱</t>
    </r>
    <phoneticPr fontId="11" type="noConversion"/>
  </si>
  <si>
    <t>点击-/+即可显示/隐藏所有信息</t>
    <phoneticPr fontId="11" type="noConversion"/>
  </si>
  <si>
    <t>人物属性</t>
    <phoneticPr fontId="11" type="noConversion"/>
  </si>
  <si>
    <t>大致模拟了一下所有法术打恶兆的伤害，因为不同法术性能、范围差异巨大，数据仅供参考，暂不支持上buff。
如果想修改攻击的段数，在AtkParam表内修改。</t>
    <phoneticPr fontId="11" type="noConversion"/>
  </si>
  <si>
    <t>无限持续类重复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</si>
</sst>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76" formatCode="0.0%"/>
    <numFmt numFmtId="177" formatCode="0.00_ "/>
    <numFmt numFmtId="178" formatCode="[=0]&quot;&quot;;General"/>
    <numFmt numFmtId="179" formatCode="0_ "/>
    <numFmt numFmtId="180" formatCode="0.0_ "/>
  </numFmts>
  <fonts count="28" x14ac:knownFonts="1">
    <font>
      <sz val="11"/>
      <name val="宋体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2"/>
      <color indexed="8"/>
      <name val="微软雅黑"/>
      <family val="2"/>
      <charset val="134"/>
    </font>
    <font>
      <sz val="11"/>
      <color rgb="FF000000"/>
      <name val="微软雅黑"/>
      <family val="2"/>
      <charset val="134"/>
    </font>
    <font>
      <b/>
      <sz val="11"/>
      <name val="微软雅黑"/>
      <family val="2"/>
      <charset val="134"/>
    </font>
    <font>
      <sz val="11"/>
      <name val="微软雅黑"/>
      <family val="2"/>
      <charset val="134"/>
    </font>
    <font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color indexed="8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name val="微软雅黑"/>
      <family val="2"/>
      <charset val="134"/>
    </font>
    <font>
      <sz val="10"/>
      <color rgb="FF000000"/>
      <name val="黑体"/>
      <family val="3"/>
      <charset val="134"/>
    </font>
    <font>
      <b/>
      <sz val="20"/>
      <color indexed="8"/>
      <name val="微软雅黑"/>
      <family val="2"/>
      <charset val="134"/>
    </font>
    <font>
      <b/>
      <sz val="11"/>
      <color indexed="8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b/>
      <sz val="10"/>
      <color indexed="8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sz val="9"/>
      <name val="微软雅黑"/>
      <family val="2"/>
      <charset val="134"/>
    </font>
    <font>
      <b/>
      <sz val="12"/>
      <name val="微软雅黑"/>
      <family val="2"/>
      <charset val="134"/>
    </font>
    <font>
      <sz val="12"/>
      <name val="微软雅黑"/>
      <family val="2"/>
      <charset val="134"/>
    </font>
    <font>
      <b/>
      <sz val="10"/>
      <name val="微软雅黑"/>
      <family val="2"/>
      <charset val="134"/>
    </font>
    <font>
      <b/>
      <sz val="18"/>
      <name val="微软雅黑"/>
      <family val="2"/>
      <charset val="134"/>
    </font>
  </fonts>
  <fills count="22">
    <fill>
      <patternFill patternType="none"/>
    </fill>
    <fill>
      <patternFill patternType="gray125"/>
    </fill>
    <fill>
      <patternFill patternType="solid">
        <fgColor rgb="FFBED7EE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E6E4E4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8">
    <xf numFmtId="0" fontId="0" fillId="0" borderId="0">
      <alignment vertical="center"/>
    </xf>
    <xf numFmtId="0" fontId="9" fillId="0" borderId="0">
      <protection locked="0"/>
    </xf>
    <xf numFmtId="0" fontId="3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20" fillId="0" borderId="0"/>
    <xf numFmtId="0" fontId="20" fillId="0" borderId="0"/>
    <xf numFmtId="0" fontId="1" fillId="0" borderId="0">
      <alignment vertical="center"/>
    </xf>
  </cellStyleXfs>
  <cellXfs count="146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178" fontId="4" fillId="10" borderId="1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>
      <alignment vertical="center"/>
    </xf>
    <xf numFmtId="176" fontId="8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9" fontId="8" fillId="0" borderId="1" xfId="0" applyNumberFormat="1" applyFont="1" applyBorder="1" applyAlignment="1">
      <alignment horizontal="center" vertical="center"/>
    </xf>
    <xf numFmtId="0" fontId="4" fillId="0" borderId="0" xfId="0" applyFont="1">
      <alignment vertical="center"/>
    </xf>
    <xf numFmtId="0" fontId="10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13" fillId="1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14" fillId="0" borderId="0" xfId="3" applyFont="1" applyAlignment="1">
      <alignment horizontal="center" vertical="center"/>
    </xf>
    <xf numFmtId="0" fontId="13" fillId="0" borderId="0" xfId="3" applyFont="1" applyAlignment="1">
      <alignment horizontal="center" vertical="center" wrapText="1"/>
    </xf>
    <xf numFmtId="0" fontId="15" fillId="0" borderId="0" xfId="3" applyFont="1" applyAlignment="1">
      <alignment horizontal="center" vertical="center"/>
    </xf>
    <xf numFmtId="0" fontId="16" fillId="0" borderId="0" xfId="3" applyFont="1">
      <alignment vertical="center"/>
    </xf>
    <xf numFmtId="0" fontId="18" fillId="4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9" fontId="4" fillId="14" borderId="1" xfId="0" applyNumberFormat="1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 wrapText="1"/>
    </xf>
    <xf numFmtId="0" fontId="18" fillId="10" borderId="1" xfId="0" applyFont="1" applyFill="1" applyBorder="1" applyAlignment="1">
      <alignment horizontal="center" vertical="center" wrapText="1"/>
    </xf>
    <xf numFmtId="178" fontId="7" fillId="0" borderId="1" xfId="0" applyNumberFormat="1" applyFont="1" applyBorder="1" applyAlignment="1">
      <alignment horizontal="center" vertical="center"/>
    </xf>
    <xf numFmtId="180" fontId="7" fillId="0" borderId="1" xfId="0" applyNumberFormat="1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20" fillId="0" borderId="0" xfId="5" applyAlignment="1">
      <alignment vertical="center"/>
    </xf>
    <xf numFmtId="0" fontId="20" fillId="0" borderId="0" xfId="5"/>
    <xf numFmtId="0" fontId="4" fillId="12" borderId="1" xfId="5" applyFont="1" applyFill="1" applyBorder="1" applyAlignment="1">
      <alignment horizontal="center" vertical="center"/>
    </xf>
    <xf numFmtId="0" fontId="6" fillId="0" borderId="1" xfId="5" applyFont="1" applyBorder="1" applyAlignment="1">
      <alignment horizontal="center" vertical="center"/>
    </xf>
    <xf numFmtId="0" fontId="4" fillId="0" borderId="1" xfId="5" applyFont="1" applyBorder="1" applyAlignment="1">
      <alignment horizontal="center" vertical="center"/>
    </xf>
    <xf numFmtId="179" fontId="6" fillId="0" borderId="1" xfId="5" applyNumberFormat="1" applyFont="1" applyBorder="1" applyAlignment="1">
      <alignment horizontal="center" vertical="center"/>
    </xf>
    <xf numFmtId="0" fontId="8" fillId="0" borderId="1" xfId="5" applyFont="1" applyBorder="1" applyAlignment="1">
      <alignment horizontal="center" vertical="center"/>
    </xf>
    <xf numFmtId="0" fontId="20" fillId="0" borderId="1" xfId="5" applyBorder="1" applyAlignment="1">
      <alignment horizontal="center"/>
    </xf>
    <xf numFmtId="0" fontId="4" fillId="15" borderId="1" xfId="0" applyFont="1" applyFill="1" applyBorder="1" applyAlignment="1">
      <alignment horizontal="center" vertical="center"/>
    </xf>
    <xf numFmtId="176" fontId="4" fillId="14" borderId="1" xfId="0" applyNumberFormat="1" applyFont="1" applyFill="1" applyBorder="1" applyAlignment="1">
      <alignment horizontal="center" vertical="center"/>
    </xf>
    <xf numFmtId="0" fontId="4" fillId="0" borderId="0" xfId="5" applyFont="1" applyAlignment="1">
      <alignment vertical="center"/>
    </xf>
    <xf numFmtId="0" fontId="1" fillId="0" borderId="0" xfId="5" applyFont="1"/>
    <xf numFmtId="0" fontId="6" fillId="11" borderId="4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8" fillId="15" borderId="1" xfId="0" applyFont="1" applyFill="1" applyBorder="1" applyAlignment="1">
      <alignment horizontal="centerContinuous" vertical="center" wrapText="1"/>
    </xf>
    <xf numFmtId="0" fontId="18" fillId="15" borderId="1" xfId="0" applyFont="1" applyFill="1" applyBorder="1" applyAlignment="1">
      <alignment horizontal="center" vertical="center"/>
    </xf>
    <xf numFmtId="0" fontId="1" fillId="0" borderId="0" xfId="7">
      <alignment vertical="center"/>
    </xf>
    <xf numFmtId="179" fontId="4" fillId="14" borderId="1" xfId="0" applyNumberFormat="1" applyFont="1" applyFill="1" applyBorder="1" applyAlignment="1">
      <alignment horizontal="center" vertical="center"/>
    </xf>
    <xf numFmtId="0" fontId="18" fillId="15" borderId="1" xfId="0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/>
    </xf>
    <xf numFmtId="0" fontId="8" fillId="0" borderId="1" xfId="5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0" fontId="18" fillId="7" borderId="1" xfId="0" applyFont="1" applyFill="1" applyBorder="1" applyAlignment="1">
      <alignment horizontal="center" vertical="center" wrapText="1"/>
    </xf>
    <xf numFmtId="0" fontId="18" fillId="16" borderId="1" xfId="0" applyFont="1" applyFill="1" applyBorder="1" applyAlignment="1">
      <alignment horizontal="centerContinuous" vertical="center"/>
    </xf>
    <xf numFmtId="0" fontId="18" fillId="16" borderId="1" xfId="0" applyFont="1" applyFill="1" applyBorder="1" applyAlignment="1">
      <alignment horizontal="center" vertical="center"/>
    </xf>
    <xf numFmtId="0" fontId="18" fillId="17" borderId="1" xfId="0" applyFont="1" applyFill="1" applyBorder="1" applyAlignment="1">
      <alignment horizontal="center" vertical="center"/>
    </xf>
    <xf numFmtId="0" fontId="18" fillId="17" borderId="8" xfId="0" applyFont="1" applyFill="1" applyBorder="1" applyAlignment="1">
      <alignment horizontal="center" vertical="center"/>
    </xf>
    <xf numFmtId="0" fontId="18" fillId="17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77" fontId="21" fillId="0" borderId="1" xfId="0" applyNumberFormat="1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1" fillId="15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178" fontId="24" fillId="0" borderId="1" xfId="0" applyNumberFormat="1" applyFont="1" applyBorder="1" applyAlignment="1">
      <alignment horizontal="center" vertical="center"/>
    </xf>
    <xf numFmtId="0" fontId="18" fillId="6" borderId="1" xfId="0" applyFont="1" applyFill="1" applyBorder="1">
      <alignment vertical="center"/>
    </xf>
    <xf numFmtId="0" fontId="21" fillId="4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13" fillId="15" borderId="8" xfId="0" applyFont="1" applyFill="1" applyBorder="1" applyAlignment="1">
      <alignment horizontal="center" vertical="center"/>
    </xf>
    <xf numFmtId="176" fontId="13" fillId="14" borderId="8" xfId="0" applyNumberFormat="1" applyFont="1" applyFill="1" applyBorder="1" applyAlignment="1">
      <alignment horizontal="center" vertical="center"/>
    </xf>
    <xf numFmtId="0" fontId="21" fillId="20" borderId="1" xfId="0" applyFont="1" applyFill="1" applyBorder="1" applyAlignment="1">
      <alignment horizontal="center" vertical="center"/>
    </xf>
    <xf numFmtId="176" fontId="21" fillId="20" borderId="1" xfId="0" applyNumberFormat="1" applyFont="1" applyFill="1" applyBorder="1" applyAlignment="1">
      <alignment horizontal="center" vertical="center"/>
    </xf>
    <xf numFmtId="0" fontId="13" fillId="15" borderId="1" xfId="0" applyFont="1" applyFill="1" applyBorder="1" applyAlignment="1">
      <alignment horizontal="center" vertical="center"/>
    </xf>
    <xf numFmtId="0" fontId="13" fillId="14" borderId="8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0" fontId="21" fillId="19" borderId="14" xfId="0" applyFont="1" applyFill="1" applyBorder="1" applyAlignment="1">
      <alignment horizontal="center" vertical="center"/>
    </xf>
    <xf numFmtId="0" fontId="21" fillId="19" borderId="1" xfId="0" applyFont="1" applyFill="1" applyBorder="1" applyAlignment="1">
      <alignment horizontal="center" vertical="center"/>
    </xf>
    <xf numFmtId="0" fontId="26" fillId="19" borderId="15" xfId="0" applyFont="1" applyFill="1" applyBorder="1" applyAlignment="1">
      <alignment horizontal="center" vertical="center"/>
    </xf>
    <xf numFmtId="176" fontId="21" fillId="20" borderId="4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176" fontId="13" fillId="14" borderId="2" xfId="0" applyNumberFormat="1" applyFont="1" applyFill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176" fontId="13" fillId="14" borderId="4" xfId="0" applyNumberFormat="1" applyFont="1" applyFill="1" applyBorder="1" applyAlignment="1">
      <alignment horizontal="center" vertical="center"/>
    </xf>
    <xf numFmtId="9" fontId="13" fillId="14" borderId="1" xfId="0" applyNumberFormat="1" applyFont="1" applyFill="1" applyBorder="1" applyAlignment="1">
      <alignment horizontal="center" vertical="center"/>
    </xf>
    <xf numFmtId="176" fontId="13" fillId="14" borderId="1" xfId="0" applyNumberFormat="1" applyFont="1" applyFill="1" applyBorder="1" applyAlignment="1">
      <alignment horizontal="center" vertical="center"/>
    </xf>
    <xf numFmtId="0" fontId="21" fillId="6" borderId="1" xfId="0" applyFont="1" applyFill="1" applyBorder="1">
      <alignment vertical="center"/>
    </xf>
    <xf numFmtId="0" fontId="21" fillId="6" borderId="1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79" fontId="13" fillId="14" borderId="1" xfId="0" applyNumberFormat="1" applyFont="1" applyFill="1" applyBorder="1" applyAlignment="1">
      <alignment horizontal="center" vertical="center"/>
    </xf>
    <xf numFmtId="0" fontId="23" fillId="0" borderId="0" xfId="0" applyFont="1">
      <alignment vertical="center"/>
    </xf>
    <xf numFmtId="0" fontId="21" fillId="17" borderId="1" xfId="0" applyFont="1" applyFill="1" applyBorder="1" applyAlignment="1">
      <alignment horizontal="center" vertical="center" wrapText="1"/>
    </xf>
    <xf numFmtId="0" fontId="18" fillId="6" borderId="2" xfId="0" applyFont="1" applyFill="1" applyBorder="1" applyAlignment="1">
      <alignment horizontal="center" vertical="center"/>
    </xf>
    <xf numFmtId="0" fontId="18" fillId="6" borderId="3" xfId="0" applyFont="1" applyFill="1" applyBorder="1" applyAlignment="1">
      <alignment horizontal="center" vertical="center"/>
    </xf>
    <xf numFmtId="0" fontId="18" fillId="6" borderId="4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/>
    </xf>
    <xf numFmtId="0" fontId="21" fillId="18" borderId="11" xfId="0" applyFont="1" applyFill="1" applyBorder="1" applyAlignment="1">
      <alignment horizontal="center" vertical="center"/>
    </xf>
    <xf numFmtId="0" fontId="21" fillId="18" borderId="12" xfId="0" applyFont="1" applyFill="1" applyBorder="1" applyAlignment="1">
      <alignment horizontal="center" vertical="center"/>
    </xf>
    <xf numFmtId="0" fontId="21" fillId="18" borderId="13" xfId="0" applyFont="1" applyFill="1" applyBorder="1" applyAlignment="1">
      <alignment horizontal="center" vertical="center"/>
    </xf>
    <xf numFmtId="0" fontId="21" fillId="3" borderId="2" xfId="0" applyFont="1" applyFill="1" applyBorder="1" applyAlignment="1">
      <alignment horizontal="center" vertical="center"/>
    </xf>
    <xf numFmtId="0" fontId="21" fillId="3" borderId="4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21" fillId="21" borderId="2" xfId="0" applyFont="1" applyFill="1" applyBorder="1" applyAlignment="1">
      <alignment horizontal="center" vertical="center"/>
    </xf>
    <xf numFmtId="0" fontId="21" fillId="21" borderId="3" xfId="0" applyFont="1" applyFill="1" applyBorder="1" applyAlignment="1">
      <alignment horizontal="center" vertical="center"/>
    </xf>
    <xf numFmtId="0" fontId="21" fillId="21" borderId="4" xfId="0" applyFont="1" applyFill="1" applyBorder="1" applyAlignment="1">
      <alignment horizontal="center" vertical="center"/>
    </xf>
    <xf numFmtId="0" fontId="21" fillId="6" borderId="2" xfId="0" applyFont="1" applyFill="1" applyBorder="1" applyAlignment="1">
      <alignment horizontal="center" vertical="center"/>
    </xf>
    <xf numFmtId="0" fontId="21" fillId="6" borderId="3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</cellXfs>
  <cellStyles count="8">
    <cellStyle name="常规" xfId="0" builtinId="0"/>
    <cellStyle name="常规 2" xfId="1" xr:uid="{00000000-0005-0000-0000-000001000000}"/>
    <cellStyle name="常规 2 2" xfId="5" xr:uid="{BD1FACCA-0373-433E-A6F7-FFF4A1D905F3}"/>
    <cellStyle name="常规 2 3" xfId="6" xr:uid="{DF84A887-BAEE-4FE4-8086-199F8FC454B5}"/>
    <cellStyle name="常规 3" xfId="2" xr:uid="{32533DBE-0C02-4F72-9EDD-C5450A68F7A7}"/>
    <cellStyle name="常规 3 2" xfId="4" xr:uid="{18387914-E26A-4EB6-B403-76E938FB5454}"/>
    <cellStyle name="常规 3 3" xfId="7" xr:uid="{9A2738BF-BA90-4C53-AC84-7144F4FFB5C5}"/>
    <cellStyle name="常规 4" xfId="3" xr:uid="{E35BDFF5-1194-4CEE-9612-CB886B99F0F6}"/>
  </cellStyles>
  <dxfs count="4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9" tint="0.79995117038483843"/>
        </patternFill>
      </fill>
    </dxf>
    <dxf>
      <font>
        <b/>
        <i val="0"/>
        <color rgb="FFC00000"/>
      </font>
    </dxf>
    <dxf>
      <font>
        <b/>
        <i val="0"/>
        <color rgb="FF0070C0"/>
      </font>
    </dxf>
    <dxf>
      <font>
        <b/>
        <i val="0"/>
        <color rgb="FFBD4A03"/>
      </font>
    </dxf>
    <dxf>
      <font>
        <b/>
        <i val="0"/>
        <color theme="7" tint="-0.24994659260841701"/>
      </font>
    </dxf>
    <dxf>
      <font>
        <b/>
        <i val="0"/>
        <color theme="1" tint="0.499984740745262"/>
      </font>
    </dxf>
    <dxf>
      <fill>
        <patternFill patternType="solid">
          <bgColor theme="9" tint="0.79995117038483843"/>
        </patternFill>
      </fill>
    </dxf>
    <dxf>
      <fill>
        <patternFill patternType="solid">
          <bgColor theme="9" tint="0.79995117038483843"/>
        </patternFill>
      </fill>
    </dxf>
    <dxf>
      <font>
        <b/>
        <sz val="11"/>
        <color rgb="FF2F75B6"/>
      </font>
    </dxf>
    <dxf>
      <font>
        <b/>
        <sz val="11"/>
        <color rgb="FFFF0000"/>
      </font>
    </dxf>
    <dxf>
      <font>
        <b/>
        <i val="0"/>
        <sz val="11"/>
        <color rgb="FFED8E1B"/>
      </font>
    </dxf>
    <dxf>
      <font>
        <b/>
        <i val="0"/>
        <color rgb="FF7C5F18"/>
      </font>
    </dxf>
    <dxf>
      <font>
        <b/>
        <i val="0"/>
        <sz val="11"/>
        <color rgb="FF7030A0"/>
      </font>
      <fill>
        <patternFill patternType="none">
          <bgColor auto="1"/>
        </patternFill>
      </fill>
    </dxf>
    <dxf>
      <font>
        <b/>
        <sz val="11"/>
        <color rgb="FF2F75B6"/>
      </font>
    </dxf>
    <dxf>
      <font>
        <b/>
        <i val="0"/>
        <sz val="11"/>
        <color rgb="FFDD7401"/>
      </font>
      <fill>
        <patternFill patternType="none">
          <bgColor auto="1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  <strike val="0"/>
      </font>
      <fill>
        <patternFill>
          <bgColor theme="7" tint="0.79998168889431442"/>
        </patternFill>
      </fill>
    </dxf>
    <dxf>
      <font>
        <b/>
        <i val="0"/>
        <color rgb="FFC00000"/>
      </font>
    </dxf>
    <dxf>
      <font>
        <b/>
        <i val="0"/>
        <color rgb="FF0070C0"/>
      </font>
    </dxf>
    <dxf>
      <font>
        <b/>
        <i val="0"/>
        <color rgb="FFBD4A03"/>
      </font>
    </dxf>
    <dxf>
      <font>
        <b/>
        <i val="0"/>
        <color theme="7" tint="-0.24994659260841701"/>
      </font>
    </dxf>
    <dxf>
      <font>
        <b/>
        <i val="0"/>
        <color theme="1" tint="0.499984740745262"/>
      </font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sz val="11"/>
        <color rgb="FF2F75B6"/>
      </font>
    </dxf>
    <dxf>
      <font>
        <b/>
        <sz val="11"/>
        <color rgb="FFFF0000"/>
      </font>
    </dxf>
    <dxf>
      <font>
        <b/>
        <i val="0"/>
        <sz val="11"/>
        <color rgb="FFED8E1B"/>
      </font>
    </dxf>
    <dxf>
      <font>
        <b/>
        <i val="0"/>
        <color rgb="FF7C5F18"/>
      </font>
    </dxf>
    <dxf>
      <font>
        <b/>
        <i val="0"/>
        <sz val="11"/>
        <color rgb="FF7030A0"/>
      </font>
      <fill>
        <patternFill patternType="none">
          <bgColor auto="1"/>
        </patternFill>
      </fill>
    </dxf>
    <dxf>
      <font>
        <b/>
        <sz val="11"/>
        <color rgb="FF2F75B6"/>
      </font>
    </dxf>
    <dxf>
      <font>
        <b/>
        <i val="0"/>
        <sz val="11"/>
        <color rgb="FFDD7401"/>
      </font>
      <fill>
        <patternFill patternType="none">
          <bgColor auto="1"/>
        </patternFill>
      </fill>
    </dxf>
    <dxf>
      <font>
        <b/>
        <sz val="11"/>
        <color rgb="FF2F75B6"/>
      </font>
    </dxf>
    <dxf>
      <font>
        <b/>
        <sz val="11"/>
        <color rgb="FFFF0000"/>
      </font>
    </dxf>
    <dxf>
      <font>
        <b/>
        <i val="0"/>
        <sz val="11"/>
        <color rgb="FFED8E1B"/>
      </font>
    </dxf>
    <dxf>
      <font>
        <b/>
        <i val="0"/>
        <color rgb="FF7C5F18"/>
      </font>
    </dxf>
    <dxf>
      <font>
        <b/>
        <i val="0"/>
        <sz val="11"/>
        <color rgb="FF7030A0"/>
      </font>
      <fill>
        <patternFill patternType="none">
          <bgColor auto="1"/>
        </patternFill>
      </fill>
    </dxf>
    <dxf>
      <font>
        <b/>
        <sz val="11"/>
        <color rgb="FF2F75B6"/>
      </font>
    </dxf>
    <dxf>
      <font>
        <b/>
        <i val="0"/>
        <sz val="11"/>
        <color rgb="FFDD7401"/>
      </font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</dxfs>
  <tableStyles count="136" defaultTableStyle="TableStyleMedium2" defaultPivotStyle="PivotStyleLight16">
    <tableStyle name="Motion Values-style" pivot="0" count="3" xr9:uid="{00000000-0011-0000-FFFF-FFFF00000000}">
      <tableStyleElement type="headerRow" dxfId="450"/>
      <tableStyleElement type="firstRowStripe" dxfId="449"/>
      <tableStyleElement type="secondRowStripe" dxfId="448"/>
    </tableStyle>
    <tableStyle name="Motion Values-style 2" pivot="0" count="3" xr9:uid="{00000000-0011-0000-FFFF-FFFF01000000}">
      <tableStyleElement type="headerRow" dxfId="447"/>
      <tableStyleElement type="firstRowStripe" dxfId="446"/>
      <tableStyleElement type="secondRowStripe" dxfId="445"/>
    </tableStyle>
    <tableStyle name="Motion Values-style 3" pivot="0" count="3" xr9:uid="{00000000-0011-0000-FFFF-FFFF02000000}">
      <tableStyleElement type="headerRow" dxfId="444"/>
      <tableStyleElement type="firstRowStripe" dxfId="443"/>
      <tableStyleElement type="secondRowStripe" dxfId="442"/>
    </tableStyle>
    <tableStyle name="Motion Values-style 4" pivot="0" count="3" xr9:uid="{00000000-0011-0000-FFFF-FFFF03000000}">
      <tableStyleElement type="headerRow" dxfId="441"/>
      <tableStyleElement type="firstRowStripe" dxfId="440"/>
      <tableStyleElement type="secondRowStripe" dxfId="439"/>
    </tableStyle>
    <tableStyle name="Motion Values-style 5" pivot="0" count="3" xr9:uid="{00000000-0011-0000-FFFF-FFFF04000000}">
      <tableStyleElement type="headerRow" dxfId="438"/>
      <tableStyleElement type="firstRowStripe" dxfId="437"/>
      <tableStyleElement type="secondRowStripe" dxfId="436"/>
    </tableStyle>
    <tableStyle name="Motion Values-style 6" pivot="0" count="3" xr9:uid="{00000000-0011-0000-FFFF-FFFF05000000}">
      <tableStyleElement type="headerRow" dxfId="435"/>
      <tableStyleElement type="firstRowStripe" dxfId="434"/>
      <tableStyleElement type="secondRowStripe" dxfId="433"/>
    </tableStyle>
    <tableStyle name="Motion Values-style 7" pivot="0" count="3" xr9:uid="{00000000-0011-0000-FFFF-FFFF06000000}">
      <tableStyleElement type="headerRow" dxfId="432"/>
      <tableStyleElement type="firstRowStripe" dxfId="431"/>
      <tableStyleElement type="secondRowStripe" dxfId="430"/>
    </tableStyle>
    <tableStyle name="Motion Values-style 8" pivot="0" count="3" xr9:uid="{00000000-0011-0000-FFFF-FFFF07000000}">
      <tableStyleElement type="headerRow" dxfId="429"/>
      <tableStyleElement type="firstRowStripe" dxfId="428"/>
      <tableStyleElement type="secondRowStripe" dxfId="427"/>
    </tableStyle>
    <tableStyle name="Motion Values-style 9" pivot="0" count="3" xr9:uid="{00000000-0011-0000-FFFF-FFFF08000000}">
      <tableStyleElement type="headerRow" dxfId="426"/>
      <tableStyleElement type="firstRowStripe" dxfId="425"/>
      <tableStyleElement type="secondRowStripe" dxfId="424"/>
    </tableStyle>
    <tableStyle name="Motion Values-style 10" pivot="0" count="3" xr9:uid="{00000000-0011-0000-FFFF-FFFF09000000}">
      <tableStyleElement type="headerRow" dxfId="423"/>
      <tableStyleElement type="firstRowStripe" dxfId="422"/>
      <tableStyleElement type="secondRowStripe" dxfId="421"/>
    </tableStyle>
    <tableStyle name="Motion Values-style 11" pivot="0" count="3" xr9:uid="{00000000-0011-0000-FFFF-FFFF0A000000}">
      <tableStyleElement type="headerRow" dxfId="420"/>
      <tableStyleElement type="firstRowStripe" dxfId="419"/>
      <tableStyleElement type="secondRowStripe" dxfId="418"/>
    </tableStyle>
    <tableStyle name="Motion Values-style 12" pivot="0" count="3" xr9:uid="{00000000-0011-0000-FFFF-FFFF0B000000}">
      <tableStyleElement type="headerRow" dxfId="417"/>
      <tableStyleElement type="firstRowStripe" dxfId="416"/>
      <tableStyleElement type="secondRowStripe" dxfId="415"/>
    </tableStyle>
    <tableStyle name="Motion Values-style 13" pivot="0" count="3" xr9:uid="{00000000-0011-0000-FFFF-FFFF0C000000}">
      <tableStyleElement type="headerRow" dxfId="414"/>
      <tableStyleElement type="firstRowStripe" dxfId="413"/>
      <tableStyleElement type="secondRowStripe" dxfId="412"/>
    </tableStyle>
    <tableStyle name="Motion Values-style 14" pivot="0" count="3" xr9:uid="{00000000-0011-0000-FFFF-FFFF0D000000}">
      <tableStyleElement type="headerRow" dxfId="411"/>
      <tableStyleElement type="firstRowStripe" dxfId="410"/>
      <tableStyleElement type="secondRowStripe" dxfId="409"/>
    </tableStyle>
    <tableStyle name="Motion Values-style 15" pivot="0" count="3" xr9:uid="{00000000-0011-0000-FFFF-FFFF0E000000}">
      <tableStyleElement type="headerRow" dxfId="408"/>
      <tableStyleElement type="firstRowStripe" dxfId="407"/>
      <tableStyleElement type="secondRowStripe" dxfId="406"/>
    </tableStyle>
    <tableStyle name="Motion Values-style 16" pivot="0" count="3" xr9:uid="{00000000-0011-0000-FFFF-FFFF0F000000}">
      <tableStyleElement type="headerRow" dxfId="405"/>
      <tableStyleElement type="firstRowStripe" dxfId="404"/>
      <tableStyleElement type="secondRowStripe" dxfId="403"/>
    </tableStyle>
    <tableStyle name="Motion Values-style 17" pivot="0" count="3" xr9:uid="{00000000-0011-0000-FFFF-FFFF10000000}">
      <tableStyleElement type="headerRow" dxfId="402"/>
      <tableStyleElement type="firstRowStripe" dxfId="401"/>
      <tableStyleElement type="secondRowStripe" dxfId="400"/>
    </tableStyle>
    <tableStyle name="Motion Values-style 18" pivot="0" count="3" xr9:uid="{00000000-0011-0000-FFFF-FFFF11000000}">
      <tableStyleElement type="headerRow" dxfId="399"/>
      <tableStyleElement type="firstRowStripe" dxfId="398"/>
      <tableStyleElement type="secondRowStripe" dxfId="397"/>
    </tableStyle>
    <tableStyle name="Motion Values-style 19" pivot="0" count="3" xr9:uid="{00000000-0011-0000-FFFF-FFFF12000000}">
      <tableStyleElement type="headerRow" dxfId="396"/>
      <tableStyleElement type="firstRowStripe" dxfId="395"/>
      <tableStyleElement type="secondRowStripe" dxfId="394"/>
    </tableStyle>
    <tableStyle name="Motion Values-style 20" pivot="0" count="3" xr9:uid="{00000000-0011-0000-FFFF-FFFF13000000}">
      <tableStyleElement type="headerRow" dxfId="393"/>
      <tableStyleElement type="firstRowStripe" dxfId="392"/>
      <tableStyleElement type="secondRowStripe" dxfId="391"/>
    </tableStyle>
    <tableStyle name="Motion Values-style 21" pivot="0" count="3" xr9:uid="{00000000-0011-0000-FFFF-FFFF14000000}">
      <tableStyleElement type="headerRow" dxfId="390"/>
      <tableStyleElement type="firstRowStripe" dxfId="389"/>
      <tableStyleElement type="secondRowStripe" dxfId="388"/>
    </tableStyle>
    <tableStyle name="Motion Values-style 22" pivot="0" count="3" xr9:uid="{00000000-0011-0000-FFFF-FFFF15000000}">
      <tableStyleElement type="headerRow" dxfId="387"/>
      <tableStyleElement type="firstRowStripe" dxfId="386"/>
      <tableStyleElement type="secondRowStripe" dxfId="385"/>
    </tableStyle>
    <tableStyle name="Motion Values-style 23" pivot="0" count="3" xr9:uid="{00000000-0011-0000-FFFF-FFFF16000000}">
      <tableStyleElement type="headerRow" dxfId="384"/>
      <tableStyleElement type="firstRowStripe" dxfId="383"/>
      <tableStyleElement type="secondRowStripe" dxfId="382"/>
    </tableStyle>
    <tableStyle name="Motion Values-style 24" pivot="0" count="3" xr9:uid="{00000000-0011-0000-FFFF-FFFF17000000}">
      <tableStyleElement type="headerRow" dxfId="381"/>
      <tableStyleElement type="firstRowStripe" dxfId="380"/>
      <tableStyleElement type="secondRowStripe" dxfId="379"/>
    </tableStyle>
    <tableStyle name="Motion Values-style 25" pivot="0" count="3" xr9:uid="{00000000-0011-0000-FFFF-FFFF18000000}">
      <tableStyleElement type="headerRow" dxfId="378"/>
      <tableStyleElement type="firstRowStripe" dxfId="377"/>
      <tableStyleElement type="secondRowStripe" dxfId="376"/>
    </tableStyle>
    <tableStyle name="Motion Values-style 26" pivot="0" count="3" xr9:uid="{00000000-0011-0000-FFFF-FFFF19000000}">
      <tableStyleElement type="headerRow" dxfId="375"/>
      <tableStyleElement type="firstRowStripe" dxfId="374"/>
      <tableStyleElement type="secondRowStripe" dxfId="373"/>
    </tableStyle>
    <tableStyle name="Motion Values-style 27" pivot="0" count="3" xr9:uid="{00000000-0011-0000-FFFF-FFFF1A000000}">
      <tableStyleElement type="headerRow" dxfId="372"/>
      <tableStyleElement type="firstRowStripe" dxfId="371"/>
      <tableStyleElement type="secondRowStripe" dxfId="370"/>
    </tableStyle>
    <tableStyle name="Motion Values-style 28" pivot="0" count="3" xr9:uid="{00000000-0011-0000-FFFF-FFFF1B000000}">
      <tableStyleElement type="headerRow" dxfId="369"/>
      <tableStyleElement type="firstRowStripe" dxfId="368"/>
      <tableStyleElement type="secondRowStripe" dxfId="367"/>
    </tableStyle>
    <tableStyle name="Motion Values-style 29" pivot="0" count="3" xr9:uid="{00000000-0011-0000-FFFF-FFFF1C000000}">
      <tableStyleElement type="headerRow" dxfId="366"/>
      <tableStyleElement type="firstRowStripe" dxfId="365"/>
      <tableStyleElement type="secondRowStripe" dxfId="364"/>
    </tableStyle>
    <tableStyle name="Motion Values-style 30" pivot="0" count="3" xr9:uid="{00000000-0011-0000-FFFF-FFFF1D000000}">
      <tableStyleElement type="headerRow" dxfId="363"/>
      <tableStyleElement type="firstRowStripe" dxfId="362"/>
      <tableStyleElement type="secondRowStripe" dxfId="361"/>
    </tableStyle>
    <tableStyle name="Motion Values-style 31" pivot="0" count="3" xr9:uid="{00000000-0011-0000-FFFF-FFFF1E000000}">
      <tableStyleElement type="headerRow" dxfId="360"/>
      <tableStyleElement type="firstRowStripe" dxfId="359"/>
      <tableStyleElement type="secondRowStripe" dxfId="358"/>
    </tableStyle>
    <tableStyle name="Motion Values-style 32" pivot="0" count="3" xr9:uid="{00000000-0011-0000-FFFF-FFFF1F000000}">
      <tableStyleElement type="headerRow" dxfId="357"/>
      <tableStyleElement type="firstRowStripe" dxfId="356"/>
      <tableStyleElement type="secondRowStripe" dxfId="355"/>
    </tableStyle>
    <tableStyle name="Motion Values-style 33" pivot="0" count="3" xr9:uid="{00000000-0011-0000-FFFF-FFFF20000000}">
      <tableStyleElement type="headerRow" dxfId="354"/>
      <tableStyleElement type="firstRowStripe" dxfId="353"/>
      <tableStyleElement type="secondRowStripe" dxfId="352"/>
    </tableStyle>
    <tableStyle name="Motion Values-style 34" pivot="0" count="3" xr9:uid="{00000000-0011-0000-FFFF-FFFF21000000}">
      <tableStyleElement type="headerRow" dxfId="351"/>
      <tableStyleElement type="firstRowStripe" dxfId="350"/>
      <tableStyleElement type="secondRowStripe" dxfId="349"/>
    </tableStyle>
    <tableStyle name="Status MVs-style" pivot="0" count="3" xr9:uid="{00000000-0011-0000-FFFF-FFFF22000000}">
      <tableStyleElement type="headerRow" dxfId="348"/>
      <tableStyleElement type="firstRowStripe" dxfId="347"/>
      <tableStyleElement type="secondRowStripe" dxfId="346"/>
    </tableStyle>
    <tableStyle name="Status MVs-style 2" pivot="0" count="3" xr9:uid="{00000000-0011-0000-FFFF-FFFF23000000}">
      <tableStyleElement type="headerRow" dxfId="345"/>
      <tableStyleElement type="firstRowStripe" dxfId="344"/>
      <tableStyleElement type="secondRowStripe" dxfId="343"/>
    </tableStyle>
    <tableStyle name="Status MVs-style 3" pivot="0" count="3" xr9:uid="{00000000-0011-0000-FFFF-FFFF24000000}">
      <tableStyleElement type="headerRow" dxfId="342"/>
      <tableStyleElement type="firstRowStripe" dxfId="341"/>
      <tableStyleElement type="secondRowStripe" dxfId="340"/>
    </tableStyle>
    <tableStyle name="Status MVs-style 4" pivot="0" count="3" xr9:uid="{00000000-0011-0000-FFFF-FFFF25000000}">
      <tableStyleElement type="headerRow" dxfId="339"/>
      <tableStyleElement type="firstRowStripe" dxfId="338"/>
      <tableStyleElement type="secondRowStripe" dxfId="337"/>
    </tableStyle>
    <tableStyle name="Status MVs-style 5" pivot="0" count="3" xr9:uid="{00000000-0011-0000-FFFF-FFFF26000000}">
      <tableStyleElement type="headerRow" dxfId="336"/>
      <tableStyleElement type="firstRowStripe" dxfId="335"/>
      <tableStyleElement type="secondRowStripe" dxfId="334"/>
    </tableStyle>
    <tableStyle name="Status MVs-style 6" pivot="0" count="3" xr9:uid="{00000000-0011-0000-FFFF-FFFF27000000}">
      <tableStyleElement type="headerRow" dxfId="333"/>
      <tableStyleElement type="firstRowStripe" dxfId="332"/>
      <tableStyleElement type="secondRowStripe" dxfId="331"/>
    </tableStyle>
    <tableStyle name="Status MVs-style 7" pivot="0" count="3" xr9:uid="{00000000-0011-0000-FFFF-FFFF28000000}">
      <tableStyleElement type="headerRow" dxfId="330"/>
      <tableStyleElement type="firstRowStripe" dxfId="329"/>
      <tableStyleElement type="secondRowStripe" dxfId="328"/>
    </tableStyle>
    <tableStyle name="Status MVs-style 8" pivot="0" count="3" xr9:uid="{00000000-0011-0000-FFFF-FFFF29000000}">
      <tableStyleElement type="headerRow" dxfId="327"/>
      <tableStyleElement type="firstRowStripe" dxfId="326"/>
      <tableStyleElement type="secondRowStripe" dxfId="325"/>
    </tableStyle>
    <tableStyle name="Status MVs-style 9" pivot="0" count="3" xr9:uid="{00000000-0011-0000-FFFF-FFFF2A000000}">
      <tableStyleElement type="headerRow" dxfId="324"/>
      <tableStyleElement type="firstRowStripe" dxfId="323"/>
      <tableStyleElement type="secondRowStripe" dxfId="322"/>
    </tableStyle>
    <tableStyle name="Status MVs-style 10" pivot="0" count="3" xr9:uid="{00000000-0011-0000-FFFF-FFFF2B000000}">
      <tableStyleElement type="headerRow" dxfId="321"/>
      <tableStyleElement type="firstRowStripe" dxfId="320"/>
      <tableStyleElement type="secondRowStripe" dxfId="319"/>
    </tableStyle>
    <tableStyle name="Status MVs-style 11" pivot="0" count="3" xr9:uid="{00000000-0011-0000-FFFF-FFFF2C000000}">
      <tableStyleElement type="headerRow" dxfId="318"/>
      <tableStyleElement type="firstRowStripe" dxfId="317"/>
      <tableStyleElement type="secondRowStripe" dxfId="316"/>
    </tableStyle>
    <tableStyle name="Status MVs-style 12" pivot="0" count="3" xr9:uid="{00000000-0011-0000-FFFF-FFFF2D000000}">
      <tableStyleElement type="headerRow" dxfId="315"/>
      <tableStyleElement type="firstRowStripe" dxfId="314"/>
      <tableStyleElement type="secondRowStripe" dxfId="313"/>
    </tableStyle>
    <tableStyle name="Status MVs-style 13" pivot="0" count="3" xr9:uid="{00000000-0011-0000-FFFF-FFFF2E000000}">
      <tableStyleElement type="headerRow" dxfId="312"/>
      <tableStyleElement type="firstRowStripe" dxfId="311"/>
      <tableStyleElement type="secondRowStripe" dxfId="310"/>
    </tableStyle>
    <tableStyle name="Status MVs-style 14" pivot="0" count="3" xr9:uid="{00000000-0011-0000-FFFF-FFFF2F000000}">
      <tableStyleElement type="headerRow" dxfId="309"/>
      <tableStyleElement type="firstRowStripe" dxfId="308"/>
      <tableStyleElement type="secondRowStripe" dxfId="307"/>
    </tableStyle>
    <tableStyle name="Status MVs-style 15" pivot="0" count="3" xr9:uid="{00000000-0011-0000-FFFF-FFFF30000000}">
      <tableStyleElement type="headerRow" dxfId="306"/>
      <tableStyleElement type="firstRowStripe" dxfId="305"/>
      <tableStyleElement type="secondRowStripe" dxfId="304"/>
    </tableStyle>
    <tableStyle name="Status MVs-style 16" pivot="0" count="3" xr9:uid="{00000000-0011-0000-FFFF-FFFF31000000}">
      <tableStyleElement type="headerRow" dxfId="303"/>
      <tableStyleElement type="firstRowStripe" dxfId="302"/>
      <tableStyleElement type="secondRowStripe" dxfId="301"/>
    </tableStyle>
    <tableStyle name="Status MVs-style 17" pivot="0" count="3" xr9:uid="{00000000-0011-0000-FFFF-FFFF32000000}">
      <tableStyleElement type="headerRow" dxfId="300"/>
      <tableStyleElement type="firstRowStripe" dxfId="299"/>
      <tableStyleElement type="secondRowStripe" dxfId="298"/>
    </tableStyle>
    <tableStyle name="Status MVs-style 18" pivot="0" count="3" xr9:uid="{00000000-0011-0000-FFFF-FFFF33000000}">
      <tableStyleElement type="headerRow" dxfId="297"/>
      <tableStyleElement type="firstRowStripe" dxfId="296"/>
      <tableStyleElement type="secondRowStripe" dxfId="295"/>
    </tableStyle>
    <tableStyle name="Status MVs-style 19" pivot="0" count="3" xr9:uid="{00000000-0011-0000-FFFF-FFFF34000000}">
      <tableStyleElement type="headerRow" dxfId="294"/>
      <tableStyleElement type="firstRowStripe" dxfId="293"/>
      <tableStyleElement type="secondRowStripe" dxfId="292"/>
    </tableStyle>
    <tableStyle name="Status MVs-style 20" pivot="0" count="3" xr9:uid="{00000000-0011-0000-FFFF-FFFF35000000}">
      <tableStyleElement type="headerRow" dxfId="291"/>
      <tableStyleElement type="firstRowStripe" dxfId="290"/>
      <tableStyleElement type="secondRowStripe" dxfId="289"/>
    </tableStyle>
    <tableStyle name="Status MVs-style 21" pivot="0" count="3" xr9:uid="{00000000-0011-0000-FFFF-FFFF36000000}">
      <tableStyleElement type="headerRow" dxfId="288"/>
      <tableStyleElement type="firstRowStripe" dxfId="287"/>
      <tableStyleElement type="secondRowStripe" dxfId="286"/>
    </tableStyle>
    <tableStyle name="Status MVs-style 22" pivot="0" count="3" xr9:uid="{00000000-0011-0000-FFFF-FFFF37000000}">
      <tableStyleElement type="headerRow" dxfId="285"/>
      <tableStyleElement type="firstRowStripe" dxfId="284"/>
      <tableStyleElement type="secondRowStripe" dxfId="283"/>
    </tableStyle>
    <tableStyle name="Status MVs-style 23" pivot="0" count="3" xr9:uid="{00000000-0011-0000-FFFF-FFFF38000000}">
      <tableStyleElement type="headerRow" dxfId="282"/>
      <tableStyleElement type="firstRowStripe" dxfId="281"/>
      <tableStyleElement type="secondRowStripe" dxfId="280"/>
    </tableStyle>
    <tableStyle name="Status MVs-style 24" pivot="0" count="3" xr9:uid="{00000000-0011-0000-FFFF-FFFF39000000}">
      <tableStyleElement type="headerRow" dxfId="279"/>
      <tableStyleElement type="firstRowStripe" dxfId="278"/>
      <tableStyleElement type="secondRowStripe" dxfId="277"/>
    </tableStyle>
    <tableStyle name="Status MVs-style 25" pivot="0" count="3" xr9:uid="{00000000-0011-0000-FFFF-FFFF3A000000}">
      <tableStyleElement type="headerRow" dxfId="276"/>
      <tableStyleElement type="firstRowStripe" dxfId="275"/>
      <tableStyleElement type="secondRowStripe" dxfId="274"/>
    </tableStyle>
    <tableStyle name="Status MVs-style 26" pivot="0" count="3" xr9:uid="{00000000-0011-0000-FFFF-FFFF3B000000}">
      <tableStyleElement type="headerRow" dxfId="273"/>
      <tableStyleElement type="firstRowStripe" dxfId="272"/>
      <tableStyleElement type="secondRowStripe" dxfId="271"/>
    </tableStyle>
    <tableStyle name="Status MVs-style 27" pivot="0" count="3" xr9:uid="{00000000-0011-0000-FFFF-FFFF3C000000}">
      <tableStyleElement type="headerRow" dxfId="270"/>
      <tableStyleElement type="firstRowStripe" dxfId="269"/>
      <tableStyleElement type="secondRowStripe" dxfId="268"/>
    </tableStyle>
    <tableStyle name="Status MVs-style 28" pivot="0" count="3" xr9:uid="{00000000-0011-0000-FFFF-FFFF3D000000}">
      <tableStyleElement type="headerRow" dxfId="267"/>
      <tableStyleElement type="firstRowStripe" dxfId="266"/>
      <tableStyleElement type="secondRowStripe" dxfId="265"/>
    </tableStyle>
    <tableStyle name="Status MVs-style 29" pivot="0" count="3" xr9:uid="{00000000-0011-0000-FFFF-FFFF3E000000}">
      <tableStyleElement type="headerRow" dxfId="264"/>
      <tableStyleElement type="firstRowStripe" dxfId="263"/>
      <tableStyleElement type="secondRowStripe" dxfId="262"/>
    </tableStyle>
    <tableStyle name="Status MVs-style 30" pivot="0" count="3" xr9:uid="{00000000-0011-0000-FFFF-FFFF3F000000}">
      <tableStyleElement type="headerRow" dxfId="261"/>
      <tableStyleElement type="firstRowStripe" dxfId="260"/>
      <tableStyleElement type="secondRowStripe" dxfId="259"/>
    </tableStyle>
    <tableStyle name="Status MVs-style 31" pivot="0" count="3" xr9:uid="{00000000-0011-0000-FFFF-FFFF40000000}">
      <tableStyleElement type="headerRow" dxfId="258"/>
      <tableStyleElement type="firstRowStripe" dxfId="257"/>
      <tableStyleElement type="secondRowStripe" dxfId="256"/>
    </tableStyle>
    <tableStyle name="Status MVs-style 32" pivot="0" count="3" xr9:uid="{00000000-0011-0000-FFFF-FFFF41000000}">
      <tableStyleElement type="headerRow" dxfId="255"/>
      <tableStyleElement type="firstRowStripe" dxfId="254"/>
      <tableStyleElement type="secondRowStripe" dxfId="253"/>
    </tableStyle>
    <tableStyle name="Status MVs-style 33" pivot="0" count="3" xr9:uid="{00000000-0011-0000-FFFF-FFFF42000000}">
      <tableStyleElement type="headerRow" dxfId="252"/>
      <tableStyleElement type="firstRowStripe" dxfId="251"/>
      <tableStyleElement type="secondRowStripe" dxfId="250"/>
    </tableStyle>
    <tableStyle name="Status MVs-style 34" pivot="0" count="3" xr9:uid="{00000000-0011-0000-FFFF-FFFF43000000}">
      <tableStyleElement type="headerRow" dxfId="249"/>
      <tableStyleElement type="firstRowStripe" dxfId="248"/>
      <tableStyleElement type="secondRowStripe" dxfId="247"/>
    </tableStyle>
    <tableStyle name="Weapon Buff MVs-style" pivot="0" count="3" xr9:uid="{00000000-0011-0000-FFFF-FFFF44000000}">
      <tableStyleElement type="headerRow" dxfId="246"/>
      <tableStyleElement type="firstRowStripe" dxfId="245"/>
      <tableStyleElement type="secondRowStripe" dxfId="244"/>
    </tableStyle>
    <tableStyle name="Weapon Buff MVs-style 2" pivot="0" count="3" xr9:uid="{00000000-0011-0000-FFFF-FFFF45000000}">
      <tableStyleElement type="headerRow" dxfId="243"/>
      <tableStyleElement type="firstRowStripe" dxfId="242"/>
      <tableStyleElement type="secondRowStripe" dxfId="241"/>
    </tableStyle>
    <tableStyle name="Weapon Buff MVs-style 3" pivot="0" count="3" xr9:uid="{00000000-0011-0000-FFFF-FFFF46000000}">
      <tableStyleElement type="headerRow" dxfId="240"/>
      <tableStyleElement type="firstRowStripe" dxfId="239"/>
      <tableStyleElement type="secondRowStripe" dxfId="238"/>
    </tableStyle>
    <tableStyle name="Weapon Buff MVs-style 4" pivot="0" count="3" xr9:uid="{00000000-0011-0000-FFFF-FFFF47000000}">
      <tableStyleElement type="headerRow" dxfId="237"/>
      <tableStyleElement type="firstRowStripe" dxfId="236"/>
      <tableStyleElement type="secondRowStripe" dxfId="235"/>
    </tableStyle>
    <tableStyle name="Weapon Buff MVs-style 5" pivot="0" count="3" xr9:uid="{00000000-0011-0000-FFFF-FFFF48000000}">
      <tableStyleElement type="headerRow" dxfId="234"/>
      <tableStyleElement type="firstRowStripe" dxfId="233"/>
      <tableStyleElement type="secondRowStripe" dxfId="232"/>
    </tableStyle>
    <tableStyle name="Weapon Buff MVs-style 6" pivot="0" count="3" xr9:uid="{00000000-0011-0000-FFFF-FFFF49000000}">
      <tableStyleElement type="headerRow" dxfId="231"/>
      <tableStyleElement type="firstRowStripe" dxfId="230"/>
      <tableStyleElement type="secondRowStripe" dxfId="229"/>
    </tableStyle>
    <tableStyle name="Weapon Buff MVs-style 7" pivot="0" count="3" xr9:uid="{00000000-0011-0000-FFFF-FFFF4A000000}">
      <tableStyleElement type="headerRow" dxfId="228"/>
      <tableStyleElement type="firstRowStripe" dxfId="227"/>
      <tableStyleElement type="secondRowStripe" dxfId="226"/>
    </tableStyle>
    <tableStyle name="Weapon Buff MVs-style 8" pivot="0" count="3" xr9:uid="{00000000-0011-0000-FFFF-FFFF4B000000}">
      <tableStyleElement type="headerRow" dxfId="225"/>
      <tableStyleElement type="firstRowStripe" dxfId="224"/>
      <tableStyleElement type="secondRowStripe" dxfId="223"/>
    </tableStyle>
    <tableStyle name="Weapon Buff MVs-style 9" pivot="0" count="3" xr9:uid="{00000000-0011-0000-FFFF-FFFF4C000000}">
      <tableStyleElement type="headerRow" dxfId="222"/>
      <tableStyleElement type="firstRowStripe" dxfId="221"/>
      <tableStyleElement type="secondRowStripe" dxfId="220"/>
    </tableStyle>
    <tableStyle name="Weapon Buff MVs-style 10" pivot="0" count="3" xr9:uid="{00000000-0011-0000-FFFF-FFFF4D000000}">
      <tableStyleElement type="headerRow" dxfId="219"/>
      <tableStyleElement type="firstRowStripe" dxfId="218"/>
      <tableStyleElement type="secondRowStripe" dxfId="217"/>
    </tableStyle>
    <tableStyle name="Weapon Buff MVs-style 11" pivot="0" count="3" xr9:uid="{00000000-0011-0000-FFFF-FFFF4E000000}">
      <tableStyleElement type="headerRow" dxfId="216"/>
      <tableStyleElement type="firstRowStripe" dxfId="215"/>
      <tableStyleElement type="secondRowStripe" dxfId="214"/>
    </tableStyle>
    <tableStyle name="Weapon Buff MVs-style 12" pivot="0" count="3" xr9:uid="{00000000-0011-0000-FFFF-FFFF4F000000}">
      <tableStyleElement type="headerRow" dxfId="213"/>
      <tableStyleElement type="firstRowStripe" dxfId="212"/>
      <tableStyleElement type="secondRowStripe" dxfId="211"/>
    </tableStyle>
    <tableStyle name="Weapon Buff MVs-style 13" pivot="0" count="3" xr9:uid="{00000000-0011-0000-FFFF-FFFF50000000}">
      <tableStyleElement type="headerRow" dxfId="210"/>
      <tableStyleElement type="firstRowStripe" dxfId="209"/>
      <tableStyleElement type="secondRowStripe" dxfId="208"/>
    </tableStyle>
    <tableStyle name="Weapon Buff MVs-style 14" pivot="0" count="3" xr9:uid="{00000000-0011-0000-FFFF-FFFF51000000}">
      <tableStyleElement type="headerRow" dxfId="207"/>
      <tableStyleElement type="firstRowStripe" dxfId="206"/>
      <tableStyleElement type="secondRowStripe" dxfId="205"/>
    </tableStyle>
    <tableStyle name="Weapon Buff MVs-style 15" pivot="0" count="3" xr9:uid="{00000000-0011-0000-FFFF-FFFF52000000}">
      <tableStyleElement type="headerRow" dxfId="204"/>
      <tableStyleElement type="firstRowStripe" dxfId="203"/>
      <tableStyleElement type="secondRowStripe" dxfId="202"/>
    </tableStyle>
    <tableStyle name="Weapon Buff MVs-style 16" pivot="0" count="3" xr9:uid="{00000000-0011-0000-FFFF-FFFF53000000}">
      <tableStyleElement type="headerRow" dxfId="201"/>
      <tableStyleElement type="firstRowStripe" dxfId="200"/>
      <tableStyleElement type="secondRowStripe" dxfId="199"/>
    </tableStyle>
    <tableStyle name="Weapon Buff MVs-style 17" pivot="0" count="3" xr9:uid="{00000000-0011-0000-FFFF-FFFF54000000}">
      <tableStyleElement type="headerRow" dxfId="198"/>
      <tableStyleElement type="firstRowStripe" dxfId="197"/>
      <tableStyleElement type="secondRowStripe" dxfId="196"/>
    </tableStyle>
    <tableStyle name="Weapon Buff MVs-style 18" pivot="0" count="3" xr9:uid="{00000000-0011-0000-FFFF-FFFF55000000}">
      <tableStyleElement type="headerRow" dxfId="195"/>
      <tableStyleElement type="firstRowStripe" dxfId="194"/>
      <tableStyleElement type="secondRowStripe" dxfId="193"/>
    </tableStyle>
    <tableStyle name="Weapon Buff MVs-style 19" pivot="0" count="3" xr9:uid="{00000000-0011-0000-FFFF-FFFF56000000}">
      <tableStyleElement type="headerRow" dxfId="192"/>
      <tableStyleElement type="firstRowStripe" dxfId="191"/>
      <tableStyleElement type="secondRowStripe" dxfId="190"/>
    </tableStyle>
    <tableStyle name="Weapon Buff MVs-style 20" pivot="0" count="3" xr9:uid="{00000000-0011-0000-FFFF-FFFF57000000}">
      <tableStyleElement type="headerRow" dxfId="189"/>
      <tableStyleElement type="firstRowStripe" dxfId="188"/>
      <tableStyleElement type="secondRowStripe" dxfId="187"/>
    </tableStyle>
    <tableStyle name="Weapon Buff MVs-style 21" pivot="0" count="3" xr9:uid="{00000000-0011-0000-FFFF-FFFF58000000}">
      <tableStyleElement type="headerRow" dxfId="186"/>
      <tableStyleElement type="firstRowStripe" dxfId="185"/>
      <tableStyleElement type="secondRowStripe" dxfId="184"/>
    </tableStyle>
    <tableStyle name="Weapon Buff MVs-style 22" pivot="0" count="3" xr9:uid="{00000000-0011-0000-FFFF-FFFF59000000}">
      <tableStyleElement type="headerRow" dxfId="183"/>
      <tableStyleElement type="firstRowStripe" dxfId="182"/>
      <tableStyleElement type="secondRowStripe" dxfId="181"/>
    </tableStyle>
    <tableStyle name="Weapon Buff MVs-style 23" pivot="0" count="3" xr9:uid="{00000000-0011-0000-FFFF-FFFF5A000000}">
      <tableStyleElement type="headerRow" dxfId="180"/>
      <tableStyleElement type="firstRowStripe" dxfId="179"/>
      <tableStyleElement type="secondRowStripe" dxfId="178"/>
    </tableStyle>
    <tableStyle name="Weapon Buff MVs-style 24" pivot="0" count="3" xr9:uid="{00000000-0011-0000-FFFF-FFFF5B000000}">
      <tableStyleElement type="headerRow" dxfId="177"/>
      <tableStyleElement type="firstRowStripe" dxfId="176"/>
      <tableStyleElement type="secondRowStripe" dxfId="175"/>
    </tableStyle>
    <tableStyle name="Weapon Buff MVs-style 25" pivot="0" count="3" xr9:uid="{00000000-0011-0000-FFFF-FFFF5C000000}">
      <tableStyleElement type="headerRow" dxfId="174"/>
      <tableStyleElement type="firstRowStripe" dxfId="173"/>
      <tableStyleElement type="secondRowStripe" dxfId="172"/>
    </tableStyle>
    <tableStyle name="Weapon Buff MVs-style 26" pivot="0" count="3" xr9:uid="{00000000-0011-0000-FFFF-FFFF5D000000}">
      <tableStyleElement type="headerRow" dxfId="171"/>
      <tableStyleElement type="firstRowStripe" dxfId="170"/>
      <tableStyleElement type="secondRowStripe" dxfId="169"/>
    </tableStyle>
    <tableStyle name="Weapon Buff MVs-style 27" pivot="0" count="3" xr9:uid="{00000000-0011-0000-FFFF-FFFF5E000000}">
      <tableStyleElement type="headerRow" dxfId="168"/>
      <tableStyleElement type="firstRowStripe" dxfId="167"/>
      <tableStyleElement type="secondRowStripe" dxfId="166"/>
    </tableStyle>
    <tableStyle name="Weapon Buff MVs-style 28" pivot="0" count="3" xr9:uid="{00000000-0011-0000-FFFF-FFFF5F000000}">
      <tableStyleElement type="headerRow" dxfId="165"/>
      <tableStyleElement type="firstRowStripe" dxfId="164"/>
      <tableStyleElement type="secondRowStripe" dxfId="163"/>
    </tableStyle>
    <tableStyle name="Weapon Buff MVs-style 29" pivot="0" count="3" xr9:uid="{00000000-0011-0000-FFFF-FFFF60000000}">
      <tableStyleElement type="headerRow" dxfId="162"/>
      <tableStyleElement type="firstRowStripe" dxfId="161"/>
      <tableStyleElement type="secondRowStripe" dxfId="160"/>
    </tableStyle>
    <tableStyle name="Weapon Buff MVs-style 30" pivot="0" count="3" xr9:uid="{00000000-0011-0000-FFFF-FFFF61000000}">
      <tableStyleElement type="headerRow" dxfId="159"/>
      <tableStyleElement type="firstRowStripe" dxfId="158"/>
      <tableStyleElement type="secondRowStripe" dxfId="157"/>
    </tableStyle>
    <tableStyle name="Weapon Buff MVs-style 31" pivot="0" count="3" xr9:uid="{00000000-0011-0000-FFFF-FFFF62000000}">
      <tableStyleElement type="headerRow" dxfId="156"/>
      <tableStyleElement type="firstRowStripe" dxfId="155"/>
      <tableStyleElement type="secondRowStripe" dxfId="154"/>
    </tableStyle>
    <tableStyle name="Weapon Buff MVs-style 32" pivot="0" count="3" xr9:uid="{00000000-0011-0000-FFFF-FFFF63000000}">
      <tableStyleElement type="headerRow" dxfId="153"/>
      <tableStyleElement type="firstRowStripe" dxfId="152"/>
      <tableStyleElement type="secondRowStripe" dxfId="151"/>
    </tableStyle>
    <tableStyle name="Weapon Buff MVs-style 33" pivot="0" count="3" xr9:uid="{00000000-0011-0000-FFFF-FFFF64000000}">
      <tableStyleElement type="headerRow" dxfId="150"/>
      <tableStyleElement type="firstRowStripe" dxfId="149"/>
      <tableStyleElement type="secondRowStripe" dxfId="148"/>
    </tableStyle>
    <tableStyle name="Weapon Buff MVs-style 34" pivot="0" count="3" xr9:uid="{00000000-0011-0000-FFFF-FFFF65000000}">
      <tableStyleElement type="headerRow" dxfId="147"/>
      <tableStyleElement type="firstRowStripe" dxfId="146"/>
      <tableStyleElement type="secondRowStripe" dxfId="145"/>
    </tableStyle>
    <tableStyle name="Physical AtkAttribute-style" pivot="0" count="3" xr9:uid="{00000000-0011-0000-FFFF-FFFF66000000}">
      <tableStyleElement type="headerRow" dxfId="144"/>
      <tableStyleElement type="firstRowStripe" dxfId="143"/>
      <tableStyleElement type="secondRowStripe" dxfId="142"/>
    </tableStyle>
    <tableStyle name="Physical AtkAttribute-style 2" pivot="0" count="3" xr9:uid="{00000000-0011-0000-FFFF-FFFF67000000}">
      <tableStyleElement type="headerRow" dxfId="141"/>
      <tableStyleElement type="firstRowStripe" dxfId="140"/>
      <tableStyleElement type="secondRowStripe" dxfId="139"/>
    </tableStyle>
    <tableStyle name="Physical AtkAttribute-style 3" pivot="0" count="3" xr9:uid="{00000000-0011-0000-FFFF-FFFF68000000}">
      <tableStyleElement type="headerRow" dxfId="138"/>
      <tableStyleElement type="firstRowStripe" dxfId="137"/>
      <tableStyleElement type="secondRowStripe" dxfId="136"/>
    </tableStyle>
    <tableStyle name="Physical AtkAttribute-style 4" pivot="0" count="3" xr9:uid="{00000000-0011-0000-FFFF-FFFF69000000}">
      <tableStyleElement type="headerRow" dxfId="135"/>
      <tableStyleElement type="firstRowStripe" dxfId="134"/>
      <tableStyleElement type="secondRowStripe" dxfId="133"/>
    </tableStyle>
    <tableStyle name="Physical AtkAttribute-style 5" pivot="0" count="3" xr9:uid="{00000000-0011-0000-FFFF-FFFF6A000000}">
      <tableStyleElement type="headerRow" dxfId="132"/>
      <tableStyleElement type="firstRowStripe" dxfId="131"/>
      <tableStyleElement type="secondRowStripe" dxfId="130"/>
    </tableStyle>
    <tableStyle name="Physical AtkAttribute-style 6" pivot="0" count="3" xr9:uid="{00000000-0011-0000-FFFF-FFFF6B000000}">
      <tableStyleElement type="headerRow" dxfId="129"/>
      <tableStyleElement type="firstRowStripe" dxfId="128"/>
      <tableStyleElement type="secondRowStripe" dxfId="127"/>
    </tableStyle>
    <tableStyle name="Physical AtkAttribute-style 7" pivot="0" count="3" xr9:uid="{00000000-0011-0000-FFFF-FFFF6C000000}">
      <tableStyleElement type="headerRow" dxfId="126"/>
      <tableStyleElement type="firstRowStripe" dxfId="125"/>
      <tableStyleElement type="secondRowStripe" dxfId="124"/>
    </tableStyle>
    <tableStyle name="Physical AtkAttribute-style 8" pivot="0" count="3" xr9:uid="{00000000-0011-0000-FFFF-FFFF6D000000}">
      <tableStyleElement type="headerRow" dxfId="123"/>
      <tableStyleElement type="firstRowStripe" dxfId="122"/>
      <tableStyleElement type="secondRowStripe" dxfId="121"/>
    </tableStyle>
    <tableStyle name="Physical AtkAttribute-style 9" pivot="0" count="3" xr9:uid="{00000000-0011-0000-FFFF-FFFF6E000000}">
      <tableStyleElement type="headerRow" dxfId="120"/>
      <tableStyleElement type="firstRowStripe" dxfId="119"/>
      <tableStyleElement type="secondRowStripe" dxfId="118"/>
    </tableStyle>
    <tableStyle name="Physical AtkAttribute-style 10" pivot="0" count="3" xr9:uid="{00000000-0011-0000-FFFF-FFFF6F000000}">
      <tableStyleElement type="headerRow" dxfId="117"/>
      <tableStyleElement type="firstRowStripe" dxfId="116"/>
      <tableStyleElement type="secondRowStripe" dxfId="115"/>
    </tableStyle>
    <tableStyle name="Physical AtkAttribute-style 11" pivot="0" count="3" xr9:uid="{00000000-0011-0000-FFFF-FFFF70000000}">
      <tableStyleElement type="headerRow" dxfId="114"/>
      <tableStyleElement type="firstRowStripe" dxfId="113"/>
      <tableStyleElement type="secondRowStripe" dxfId="112"/>
    </tableStyle>
    <tableStyle name="Physical AtkAttribute-style 12" pivot="0" count="3" xr9:uid="{00000000-0011-0000-FFFF-FFFF71000000}">
      <tableStyleElement type="headerRow" dxfId="111"/>
      <tableStyleElement type="firstRowStripe" dxfId="110"/>
      <tableStyleElement type="secondRowStripe" dxfId="109"/>
    </tableStyle>
    <tableStyle name="Physical AtkAttribute-style 13" pivot="0" count="3" xr9:uid="{00000000-0011-0000-FFFF-FFFF72000000}">
      <tableStyleElement type="headerRow" dxfId="108"/>
      <tableStyleElement type="firstRowStripe" dxfId="107"/>
      <tableStyleElement type="secondRowStripe" dxfId="106"/>
    </tableStyle>
    <tableStyle name="Physical AtkAttribute-style 14" pivot="0" count="3" xr9:uid="{00000000-0011-0000-FFFF-FFFF73000000}">
      <tableStyleElement type="headerRow" dxfId="105"/>
      <tableStyleElement type="firstRowStripe" dxfId="104"/>
      <tableStyleElement type="secondRowStripe" dxfId="103"/>
    </tableStyle>
    <tableStyle name="Physical AtkAttribute-style 15" pivot="0" count="3" xr9:uid="{00000000-0011-0000-FFFF-FFFF74000000}">
      <tableStyleElement type="headerRow" dxfId="102"/>
      <tableStyleElement type="firstRowStripe" dxfId="101"/>
      <tableStyleElement type="secondRowStripe" dxfId="100"/>
    </tableStyle>
    <tableStyle name="Physical AtkAttribute-style 16" pivot="0" count="3" xr9:uid="{00000000-0011-0000-FFFF-FFFF75000000}">
      <tableStyleElement type="headerRow" dxfId="99"/>
      <tableStyleElement type="firstRowStripe" dxfId="98"/>
      <tableStyleElement type="secondRowStripe" dxfId="97"/>
    </tableStyle>
    <tableStyle name="Physical AtkAttribute-style 17" pivot="0" count="3" xr9:uid="{00000000-0011-0000-FFFF-FFFF76000000}">
      <tableStyleElement type="headerRow" dxfId="96"/>
      <tableStyleElement type="firstRowStripe" dxfId="95"/>
      <tableStyleElement type="secondRowStripe" dxfId="94"/>
    </tableStyle>
    <tableStyle name="Physical AtkAttribute-style 18" pivot="0" count="3" xr9:uid="{00000000-0011-0000-FFFF-FFFF77000000}">
      <tableStyleElement type="headerRow" dxfId="93"/>
      <tableStyleElement type="firstRowStripe" dxfId="92"/>
      <tableStyleElement type="secondRowStripe" dxfId="91"/>
    </tableStyle>
    <tableStyle name="Physical AtkAttribute-style 19" pivot="0" count="3" xr9:uid="{00000000-0011-0000-FFFF-FFFF78000000}">
      <tableStyleElement type="headerRow" dxfId="90"/>
      <tableStyleElement type="firstRowStripe" dxfId="89"/>
      <tableStyleElement type="secondRowStripe" dxfId="88"/>
    </tableStyle>
    <tableStyle name="Physical AtkAttribute-style 20" pivot="0" count="3" xr9:uid="{00000000-0011-0000-FFFF-FFFF79000000}">
      <tableStyleElement type="headerRow" dxfId="87"/>
      <tableStyleElement type="firstRowStripe" dxfId="86"/>
      <tableStyleElement type="secondRowStripe" dxfId="85"/>
    </tableStyle>
    <tableStyle name="Physical AtkAttribute-style 21" pivot="0" count="3" xr9:uid="{00000000-0011-0000-FFFF-FFFF7A000000}">
      <tableStyleElement type="headerRow" dxfId="84"/>
      <tableStyleElement type="firstRowStripe" dxfId="83"/>
      <tableStyleElement type="secondRowStripe" dxfId="82"/>
    </tableStyle>
    <tableStyle name="Physical AtkAttribute-style 22" pivot="0" count="3" xr9:uid="{00000000-0011-0000-FFFF-FFFF7B000000}">
      <tableStyleElement type="headerRow" dxfId="81"/>
      <tableStyleElement type="firstRowStripe" dxfId="80"/>
      <tableStyleElement type="secondRowStripe" dxfId="79"/>
    </tableStyle>
    <tableStyle name="Physical AtkAttribute-style 23" pivot="0" count="3" xr9:uid="{00000000-0011-0000-FFFF-FFFF7C000000}">
      <tableStyleElement type="headerRow" dxfId="78"/>
      <tableStyleElement type="firstRowStripe" dxfId="77"/>
      <tableStyleElement type="secondRowStripe" dxfId="76"/>
    </tableStyle>
    <tableStyle name="Physical AtkAttribute-style 24" pivot="0" count="3" xr9:uid="{00000000-0011-0000-FFFF-FFFF7D000000}">
      <tableStyleElement type="headerRow" dxfId="75"/>
      <tableStyleElement type="firstRowStripe" dxfId="74"/>
      <tableStyleElement type="secondRowStripe" dxfId="73"/>
    </tableStyle>
    <tableStyle name="Physical AtkAttribute-style 25" pivot="0" count="3" xr9:uid="{00000000-0011-0000-FFFF-FFFF7E000000}">
      <tableStyleElement type="headerRow" dxfId="72"/>
      <tableStyleElement type="firstRowStripe" dxfId="71"/>
      <tableStyleElement type="secondRowStripe" dxfId="70"/>
    </tableStyle>
    <tableStyle name="Physical AtkAttribute-style 26" pivot="0" count="3" xr9:uid="{00000000-0011-0000-FFFF-FFFF7F000000}">
      <tableStyleElement type="headerRow" dxfId="69"/>
      <tableStyleElement type="firstRowStripe" dxfId="68"/>
      <tableStyleElement type="secondRowStripe" dxfId="67"/>
    </tableStyle>
    <tableStyle name="Physical AtkAttribute-style 27" pivot="0" count="3" xr9:uid="{00000000-0011-0000-FFFF-FFFF80000000}">
      <tableStyleElement type="headerRow" dxfId="66"/>
      <tableStyleElement type="firstRowStripe" dxfId="65"/>
      <tableStyleElement type="secondRowStripe" dxfId="64"/>
    </tableStyle>
    <tableStyle name="Physical AtkAttribute-style 28" pivot="0" count="3" xr9:uid="{00000000-0011-0000-FFFF-FFFF81000000}">
      <tableStyleElement type="headerRow" dxfId="63"/>
      <tableStyleElement type="firstRowStripe" dxfId="62"/>
      <tableStyleElement type="secondRowStripe" dxfId="61"/>
    </tableStyle>
    <tableStyle name="Physical AtkAttribute-style 29" pivot="0" count="3" xr9:uid="{00000000-0011-0000-FFFF-FFFF82000000}">
      <tableStyleElement type="headerRow" dxfId="60"/>
      <tableStyleElement type="firstRowStripe" dxfId="59"/>
      <tableStyleElement type="secondRowStripe" dxfId="58"/>
    </tableStyle>
    <tableStyle name="Physical AtkAttribute-style 30" pivot="0" count="3" xr9:uid="{00000000-0011-0000-FFFF-FFFF83000000}">
      <tableStyleElement type="headerRow" dxfId="57"/>
      <tableStyleElement type="firstRowStripe" dxfId="56"/>
      <tableStyleElement type="secondRowStripe" dxfId="55"/>
    </tableStyle>
    <tableStyle name="Physical AtkAttribute-style 31" pivot="0" count="3" xr9:uid="{00000000-0011-0000-FFFF-FFFF84000000}">
      <tableStyleElement type="headerRow" dxfId="54"/>
      <tableStyleElement type="firstRowStripe" dxfId="53"/>
      <tableStyleElement type="secondRowStripe" dxfId="52"/>
    </tableStyle>
    <tableStyle name="Physical AtkAttribute-style 32" pivot="0" count="3" xr9:uid="{00000000-0011-0000-FFFF-FFFF85000000}">
      <tableStyleElement type="headerRow" dxfId="51"/>
      <tableStyleElement type="firstRowStripe" dxfId="50"/>
      <tableStyleElement type="secondRowStripe" dxfId="49"/>
    </tableStyle>
    <tableStyle name="Physical AtkAttribute-style 33" pivot="0" count="3" xr9:uid="{00000000-0011-0000-FFFF-FFFF86000000}">
      <tableStyleElement type="headerRow" dxfId="48"/>
      <tableStyleElement type="firstRowStripe" dxfId="47"/>
      <tableStyleElement type="secondRowStripe" dxfId="46"/>
    </tableStyle>
    <tableStyle name="Physical AtkAttribute-style 34" pivot="0" count="3" xr9:uid="{00000000-0011-0000-FFFF-FFFF87000000}">
      <tableStyleElement type="headerRow" dxfId="45"/>
      <tableStyleElement type="firstRowStripe" dxfId="44"/>
      <tableStyleElement type="secondRowStripe" dxfId="43"/>
    </tableStyle>
  </tableStyles>
  <colors>
    <mruColors>
      <color rgb="FFBD4A03"/>
      <color rgb="FFED8E1B"/>
      <color rgb="FF7C5F18"/>
      <color rgb="FFDD74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www.wps.cn/officeDocument/2020/cellImage" Target="NUL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0C0"/>
  </sheetPr>
  <dimension ref="A1:CM42"/>
  <sheetViews>
    <sheetView tabSelected="1" zoomScale="70" zoomScaleNormal="70" workbookViewId="0">
      <selection activeCell="K17" sqref="K17"/>
    </sheetView>
  </sheetViews>
  <sheetFormatPr defaultColWidth="14.765625" defaultRowHeight="17.399999999999999" customHeight="1" x14ac:dyDescent="0.3"/>
  <cols>
    <col min="1" max="1" width="25.23046875" style="1" customWidth="1"/>
    <col min="2" max="2" width="27" style="1" customWidth="1"/>
    <col min="3" max="3" width="18.765625" style="1" customWidth="1"/>
    <col min="4" max="6" width="19.07421875" style="1" customWidth="1"/>
    <col min="7" max="7" width="18.07421875" style="1" customWidth="1"/>
    <col min="8" max="11" width="19.07421875" style="1" customWidth="1"/>
    <col min="12" max="13" width="19.07421875" style="1" hidden="1" customWidth="1"/>
    <col min="14" max="91" width="14.53515625" style="1" hidden="1" customWidth="1"/>
    <col min="92" max="16384" width="14.765625" style="1"/>
  </cols>
  <sheetData>
    <row r="1" spans="1:91" ht="33.9" customHeight="1" x14ac:dyDescent="0.3">
      <c r="A1" s="123" t="s">
        <v>546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</row>
    <row r="2" spans="1:91" ht="25.2" customHeight="1" x14ac:dyDescent="0.3">
      <c r="A2" s="125" t="s">
        <v>705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</row>
    <row r="3" spans="1:91" ht="21.45" customHeight="1" x14ac:dyDescent="0.3">
      <c r="A3" s="120" t="s">
        <v>0</v>
      </c>
      <c r="B3" s="121"/>
      <c r="C3" s="121"/>
      <c r="D3" s="121"/>
      <c r="E3" s="121"/>
      <c r="F3" s="121"/>
      <c r="G3" s="122"/>
      <c r="H3" s="117" t="s">
        <v>493</v>
      </c>
      <c r="I3" s="118"/>
      <c r="J3" s="119"/>
      <c r="K3" s="30" t="s">
        <v>929</v>
      </c>
      <c r="L3" s="83"/>
      <c r="M3" s="83"/>
    </row>
    <row r="4" spans="1:91" ht="19.649999999999999" customHeight="1" x14ac:dyDescent="0.3">
      <c r="A4" s="27" t="s">
        <v>1</v>
      </c>
      <c r="B4" s="27" t="s">
        <v>2</v>
      </c>
      <c r="C4" s="27" t="s">
        <v>3</v>
      </c>
      <c r="D4" s="27" t="s">
        <v>4</v>
      </c>
      <c r="E4" s="27" t="s">
        <v>5</v>
      </c>
      <c r="F4" s="27" t="s">
        <v>547</v>
      </c>
      <c r="G4" s="27" t="s">
        <v>548</v>
      </c>
      <c r="H4" s="28" t="s">
        <v>490</v>
      </c>
      <c r="I4" s="28" t="s">
        <v>497</v>
      </c>
      <c r="J4" s="28" t="s">
        <v>498</v>
      </c>
      <c r="K4" s="32" t="s">
        <v>695</v>
      </c>
    </row>
    <row r="5" spans="1:91" ht="19.399999999999999" customHeight="1" x14ac:dyDescent="0.3">
      <c r="A5" s="47">
        <v>99</v>
      </c>
      <c r="B5" s="47">
        <v>99</v>
      </c>
      <c r="C5" s="47">
        <v>99</v>
      </c>
      <c r="D5" s="47">
        <v>99</v>
      </c>
      <c r="E5" s="47">
        <v>99</v>
      </c>
      <c r="F5" s="47">
        <v>25</v>
      </c>
      <c r="G5" s="47">
        <v>10</v>
      </c>
      <c r="H5" s="47">
        <v>20</v>
      </c>
      <c r="I5" s="48">
        <f>HLOOKUP(H5,Curve!B19:V20,2, )-1</f>
        <v>1.0499999999999998</v>
      </c>
      <c r="J5" s="48">
        <f>1-HLOOKUP(H5,Curve!B19:V21,3, )</f>
        <v>0.51219510000000001</v>
      </c>
      <c r="K5" s="48" t="str">
        <f>_xlfn.XLOOKUP(A8,敌人数据!A:A,敌人数据!S:S)</f>
        <v>否</v>
      </c>
    </row>
    <row r="6" spans="1:91" ht="21.45" customHeight="1" x14ac:dyDescent="0.3">
      <c r="A6" s="114" t="s">
        <v>929</v>
      </c>
      <c r="B6" s="115"/>
      <c r="C6" s="116"/>
      <c r="D6" s="30" t="s">
        <v>432</v>
      </c>
      <c r="E6" s="30" t="s">
        <v>433</v>
      </c>
      <c r="F6" s="30" t="s">
        <v>434</v>
      </c>
      <c r="G6" s="30" t="s">
        <v>435</v>
      </c>
      <c r="H6" s="30" t="s">
        <v>8</v>
      </c>
      <c r="I6" s="30" t="s">
        <v>9</v>
      </c>
      <c r="J6" s="30" t="s">
        <v>10</v>
      </c>
      <c r="K6" s="30" t="s">
        <v>11</v>
      </c>
      <c r="M6"/>
    </row>
    <row r="7" spans="1:91" ht="22.65" customHeight="1" x14ac:dyDescent="0.3">
      <c r="A7" s="63" t="s">
        <v>12</v>
      </c>
      <c r="B7" s="32" t="s">
        <v>694</v>
      </c>
      <c r="C7" s="32" t="s">
        <v>13</v>
      </c>
      <c r="D7" s="57" cm="1">
        <f t="array" ref="D7:K7">IF(LEN(D6:K6),INDEX(敌人数据!C1:J51,MATCH(A8,敌人数据!A1:A51,),MATCH(B8,敌人数据!C1:J1,)))</f>
        <v>84</v>
      </c>
      <c r="E7" s="57">
        <v>84</v>
      </c>
      <c r="F7" s="57">
        <v>84</v>
      </c>
      <c r="G7" s="57">
        <v>84</v>
      </c>
      <c r="H7" s="57">
        <v>84</v>
      </c>
      <c r="I7" s="57">
        <v>84</v>
      </c>
      <c r="J7" s="57">
        <v>84</v>
      </c>
      <c r="K7" s="57">
        <v>84</v>
      </c>
      <c r="M7"/>
    </row>
    <row r="8" spans="1:91" ht="22.65" customHeight="1" x14ac:dyDescent="0.3">
      <c r="A8" s="70" t="s">
        <v>488</v>
      </c>
      <c r="B8" s="31">
        <v>1</v>
      </c>
      <c r="C8" s="32" t="s">
        <v>14</v>
      </c>
      <c r="D8" s="29" cm="1">
        <f t="array" ref="D8:K8">INDEX(敌人数据!K1:R51,MATCH(A8,敌人数据!A1:A51,),)%</f>
        <v>0.78</v>
      </c>
      <c r="E8" s="29">
        <v>1.2</v>
      </c>
      <c r="F8" s="29">
        <v>0.78</v>
      </c>
      <c r="G8" s="29">
        <v>1.2</v>
      </c>
      <c r="H8" s="29">
        <v>1.68</v>
      </c>
      <c r="I8" s="29">
        <v>2.4</v>
      </c>
      <c r="J8" s="29">
        <v>1.68</v>
      </c>
      <c r="K8" s="29">
        <v>1.68</v>
      </c>
    </row>
    <row r="9" spans="1:91" ht="24.9" customHeight="1" x14ac:dyDescent="0.3">
      <c r="A9" s="34"/>
      <c r="B9" s="34" t="s">
        <v>15</v>
      </c>
      <c r="C9" s="34" t="s">
        <v>16</v>
      </c>
      <c r="D9" s="34" t="s">
        <v>598</v>
      </c>
      <c r="E9" s="34" t="s">
        <v>17</v>
      </c>
      <c r="F9" s="34" t="s">
        <v>703</v>
      </c>
      <c r="G9" s="34" t="s">
        <v>18</v>
      </c>
      <c r="H9" s="34" t="s">
        <v>18</v>
      </c>
      <c r="I9" s="34" t="s">
        <v>18</v>
      </c>
      <c r="J9" s="34" t="s">
        <v>18</v>
      </c>
      <c r="K9" s="34" t="s">
        <v>18</v>
      </c>
      <c r="N9"/>
    </row>
    <row r="10" spans="1:91" ht="35.15" customHeight="1" x14ac:dyDescent="0.3">
      <c r="A10" s="34" t="s">
        <v>19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91" ht="22.2" customHeight="1" x14ac:dyDescent="0.3">
      <c r="A11" s="35" t="s">
        <v>599</v>
      </c>
      <c r="B11" s="3" cm="1">
        <f t="array" ref="B11:K11">IF(B10:K10="",1,_xlfn.XLOOKUP(B10:K10,Buff!A:A,Buff!B:B)+1)</f>
        <v>1</v>
      </c>
      <c r="C11" s="3">
        <v>1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</row>
    <row r="12" spans="1:91" ht="19.2" customHeight="1" x14ac:dyDescent="0.3">
      <c r="A12" s="35" t="s">
        <v>21</v>
      </c>
      <c r="B12" s="4" t="str" cm="1">
        <f t="array" ref="B12:K12">IF(B10:K10="","",_xlfn.XLOOKUP(B10:K10,Buff!A:A,Buff!C:C))</f>
        <v/>
      </c>
      <c r="C12" s="4" t="str">
        <v/>
      </c>
      <c r="D12" s="4" t="str">
        <v/>
      </c>
      <c r="E12" s="4" t="str">
        <v/>
      </c>
      <c r="F12" s="4" t="str">
        <v/>
      </c>
      <c r="G12" s="4" t="str">
        <v/>
      </c>
      <c r="H12" s="4" t="str">
        <v/>
      </c>
      <c r="I12" s="4" t="str">
        <v/>
      </c>
      <c r="J12" s="4" t="str">
        <v/>
      </c>
      <c r="K12" s="4" t="str">
        <v/>
      </c>
    </row>
    <row r="13" spans="1:91" ht="19.2" customHeight="1" x14ac:dyDescent="0.3">
      <c r="A13" s="35" t="s">
        <v>600</v>
      </c>
      <c r="B13" s="4" cm="1">
        <f t="array" ref="B13:K13">IF(B10:K10="",1,_xlfn.XLOOKUP(B10:K10,Buff!A:A,Buff!D:D)+1)</f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</row>
    <row r="14" spans="1:91" ht="18" customHeight="1" x14ac:dyDescent="0.3">
      <c r="A14" s="35" t="s">
        <v>22</v>
      </c>
      <c r="B14" s="4" t="str" cm="1">
        <f t="array" ref="B14:K14">IF(B10:K10="","",_xlfn.XLOOKUP(B10:K10,Buff!A:A,Buff!E:E))</f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</row>
    <row r="15" spans="1:91" ht="16.75" customHeight="1" x14ac:dyDescent="0.3">
      <c r="A15" s="5"/>
      <c r="B15" s="6"/>
      <c r="C15" s="6"/>
      <c r="D15" s="6"/>
      <c r="E15" s="6"/>
      <c r="F15" s="6"/>
      <c r="G15" s="6"/>
      <c r="H15" s="6"/>
      <c r="I15" s="7"/>
    </row>
    <row r="16" spans="1:91" ht="33" customHeight="1" x14ac:dyDescent="0.3">
      <c r="A16" s="64" t="s">
        <v>23</v>
      </c>
      <c r="B16" s="65" t="s">
        <v>24</v>
      </c>
      <c r="C16" s="65" t="s">
        <v>545</v>
      </c>
      <c r="D16" s="66" t="s">
        <v>689</v>
      </c>
      <c r="E16" s="66" t="s">
        <v>927</v>
      </c>
      <c r="F16" s="66" t="s">
        <v>697</v>
      </c>
      <c r="G16" s="66" t="s">
        <v>696</v>
      </c>
      <c r="H16" s="66" t="s">
        <v>708</v>
      </c>
      <c r="I16" s="68" t="str">
        <f>"当前周目"&amp;CHAR(10)&amp;TEXT(B8,"[DBNum1]")&amp;"周目削韧"</f>
        <v>当前周目
一周目削韧</v>
      </c>
      <c r="J16" s="66" t="s">
        <v>624</v>
      </c>
      <c r="K16" s="66" t="s">
        <v>551</v>
      </c>
      <c r="L16" s="67" t="s">
        <v>707</v>
      </c>
      <c r="M16" s="67" t="s">
        <v>706</v>
      </c>
      <c r="N16" s="67" t="s">
        <v>645</v>
      </c>
      <c r="O16" s="67" t="s">
        <v>657</v>
      </c>
      <c r="P16" s="67" t="s">
        <v>669</v>
      </c>
      <c r="Q16" s="67" t="s">
        <v>561</v>
      </c>
      <c r="R16" s="67" t="s">
        <v>562</v>
      </c>
      <c r="S16" s="67" t="s">
        <v>563</v>
      </c>
      <c r="T16" s="67" t="s">
        <v>564</v>
      </c>
      <c r="U16" s="67" t="s">
        <v>565</v>
      </c>
      <c r="V16" s="67" t="s">
        <v>640</v>
      </c>
      <c r="W16" s="67" t="s">
        <v>641</v>
      </c>
      <c r="X16" s="67" t="s">
        <v>642</v>
      </c>
      <c r="Y16" s="67" t="s">
        <v>643</v>
      </c>
      <c r="Z16" s="67" t="s">
        <v>644</v>
      </c>
      <c r="AA16" s="67" t="s">
        <v>663</v>
      </c>
      <c r="AB16" s="67" t="s">
        <v>664</v>
      </c>
      <c r="AC16" s="67" t="s">
        <v>665</v>
      </c>
      <c r="AD16" s="67" t="s">
        <v>666</v>
      </c>
      <c r="AE16" s="67" t="s">
        <v>667</v>
      </c>
      <c r="AF16" s="67" t="s">
        <v>670</v>
      </c>
      <c r="AG16" s="67" t="s">
        <v>671</v>
      </c>
      <c r="AH16" s="67" t="s">
        <v>674</v>
      </c>
      <c r="AI16" s="67" t="s">
        <v>673</v>
      </c>
      <c r="AJ16" s="67" t="s">
        <v>672</v>
      </c>
      <c r="AK16" s="67" t="s">
        <v>559</v>
      </c>
      <c r="AL16" s="67" t="s">
        <v>566</v>
      </c>
      <c r="AM16" s="67" t="s">
        <v>567</v>
      </c>
      <c r="AN16" s="67" t="s">
        <v>568</v>
      </c>
      <c r="AO16" s="67" t="s">
        <v>569</v>
      </c>
      <c r="AP16" s="67" t="s">
        <v>570</v>
      </c>
      <c r="AQ16" s="67" t="s">
        <v>571</v>
      </c>
      <c r="AR16" s="67" t="s">
        <v>572</v>
      </c>
      <c r="AS16" s="67" t="s">
        <v>573</v>
      </c>
      <c r="AT16" s="67" t="s">
        <v>574</v>
      </c>
      <c r="AU16" s="67" t="s">
        <v>575</v>
      </c>
      <c r="AV16" s="67" t="s">
        <v>576</v>
      </c>
      <c r="AW16" s="67" t="s">
        <v>577</v>
      </c>
      <c r="AX16" s="67" t="s">
        <v>578</v>
      </c>
      <c r="AY16" s="67" t="s">
        <v>579</v>
      </c>
      <c r="AZ16" s="67" t="s">
        <v>580</v>
      </c>
      <c r="BA16" s="67" t="s">
        <v>581</v>
      </c>
      <c r="BB16" s="67" t="s">
        <v>582</v>
      </c>
      <c r="BC16" s="67" t="s">
        <v>583</v>
      </c>
      <c r="BD16" s="67" t="s">
        <v>584</v>
      </c>
      <c r="BE16" s="67" t="s">
        <v>585</v>
      </c>
      <c r="BF16" s="67" t="s">
        <v>586</v>
      </c>
      <c r="BG16" s="67" t="s">
        <v>587</v>
      </c>
      <c r="BH16" s="67" t="s">
        <v>588</v>
      </c>
      <c r="BI16" s="67" t="s">
        <v>589</v>
      </c>
      <c r="BJ16" s="67" t="s">
        <v>590</v>
      </c>
      <c r="BK16" s="67" t="s">
        <v>652</v>
      </c>
      <c r="BL16" s="67" t="s">
        <v>653</v>
      </c>
      <c r="BM16" s="67" t="s">
        <v>654</v>
      </c>
      <c r="BN16" s="67" t="s">
        <v>655</v>
      </c>
      <c r="BO16" s="67" t="s">
        <v>656</v>
      </c>
      <c r="BP16" s="67" t="s">
        <v>560</v>
      </c>
      <c r="BQ16" s="67" t="s">
        <v>626</v>
      </c>
      <c r="BR16" s="67" t="s">
        <v>625</v>
      </c>
      <c r="BS16" s="67" t="s">
        <v>683</v>
      </c>
      <c r="BT16" s="67" t="s">
        <v>684</v>
      </c>
      <c r="BU16" s="67" t="s">
        <v>682</v>
      </c>
      <c r="BV16" s="67" t="s">
        <v>698</v>
      </c>
      <c r="BW16" s="67" t="s">
        <v>677</v>
      </c>
      <c r="BX16" s="67" t="s">
        <v>678</v>
      </c>
      <c r="BY16" s="67" t="s">
        <v>679</v>
      </c>
      <c r="BZ16" s="67" t="s">
        <v>680</v>
      </c>
      <c r="CA16" s="67" t="s">
        <v>681</v>
      </c>
      <c r="CB16" s="67" t="s">
        <v>676</v>
      </c>
      <c r="CC16" s="67" t="s">
        <v>685</v>
      </c>
      <c r="CD16" s="67" t="s">
        <v>686</v>
      </c>
      <c r="CE16" s="67" t="s">
        <v>687</v>
      </c>
      <c r="CF16" s="67" t="s">
        <v>688</v>
      </c>
      <c r="CG16" s="67" t="s">
        <v>691</v>
      </c>
      <c r="CH16" s="67" t="s">
        <v>692</v>
      </c>
      <c r="CI16" s="67" t="s">
        <v>690</v>
      </c>
      <c r="CJ16" s="67" t="s">
        <v>693</v>
      </c>
      <c r="CK16" s="67" t="s">
        <v>779</v>
      </c>
      <c r="CL16" s="67" t="s">
        <v>700</v>
      </c>
      <c r="CM16" s="67" t="s">
        <v>701</v>
      </c>
    </row>
    <row r="17" spans="1:91" ht="21" customHeight="1" x14ac:dyDescent="0.3">
      <c r="A17" s="54" t="s">
        <v>28</v>
      </c>
      <c r="B17" s="58" t="s">
        <v>32</v>
      </c>
      <c r="C17" s="55" t="s">
        <v>308</v>
      </c>
      <c r="D17" s="33" cm="1">
        <f t="array" ref="D17:D34">_xlfn.BYROW(_xlfn.ANCHORARRAY(CB17):_xlfn.ANCHORARRAY(CF17),_xlfn.LAMBDA(_xlpm.x,INT(SUM(_xlpm.x))))</f>
        <v>1898</v>
      </c>
      <c r="E17" s="36" t="str" cm="1">
        <f t="array" ref="E17:E34">_xlfn.BYROW(IF(_xlfn.ANCHORARRAY(CB17):_xlfn.ANCHORARRAY(CF17),IF({1,0,0,0,0},_xlfn.ANCHORARRAY(BP17),LEFT(CB16:CF16)),""),_xlfn.LAMBDA(_xlpm.x,_xlfn.TEXTJOIN("+",,_xlpm.x)))</f>
        <v>魔</v>
      </c>
      <c r="F17" s="33" t="str" cm="1">
        <f t="array" ref="F17:F34">_xlfn.BYROW(_xlfn.ANCHORARRAY(Q17):_xlfn.ANCHORARRAY(U17),_xlfn.LAMBDA(_xlpm.x,_xlfn.TEXTJOIN("+",,IF(_xlpm.x,_xlpm.x,""))))</f>
        <v>292</v>
      </c>
      <c r="G17" s="33" t="str" cm="1">
        <f t="array" ref="G17:G34">_xlfn.BYROW(_xlfn.ANCHORARRAY(BQ17):_xlfn.ANCHORARRAY(BS17),_xlfn.LAMBDA(_xlpm.x,_xlfn.TEXTJOIN(",",,IF(_xlpm.x="无","",_xlpm.x))))</f>
        <v>亚兹勒1</v>
      </c>
      <c r="H17" s="61" cm="1">
        <f t="array" ref="H17:H34">ROUND(_xlfn.XLOOKUP(_xlfn.ANCHORARRAY(L17),AtkParam!B:B,AtkParam!R:R),2)</f>
        <v>7</v>
      </c>
      <c r="I17" s="61" cm="1">
        <f t="array" ref="I17:I34">_xlfn.ANCHORARRAY(H17)*INDEX({1,1,0.95,0.9,0.85,0.8,0.7,0.6},B8)</f>
        <v>7</v>
      </c>
      <c r="J17" s="37" t="str" cm="1">
        <f t="array" ref="J17:J34">_xlfn.XLOOKUP(_xlfn.XLOOKUP(_xlfn.ANCHORARRAY(L17),AtkParam!B:B,AtkParam!S:S),List!A2:A13,List!B2:B13)</f>
        <v>1（小硬直）</v>
      </c>
      <c r="K17" s="31" t="str" cm="1">
        <f t="array" ref="K17:K34">_xlfn.LET(_xlpm.p,_xlfn.ANCHORARRAY(CG17)*(1+_xlfn.ANCHORARRAY(CJ17)*_xlfn.ANCHORARRAY(Z17)%*INDEX(Curve!B2:EU18,_xlfn.ANCHORARRAY(CI17)+1,E5)%*_xlfn.ANCHORARRAY(AJ17)),_xlfn.IFS(_xlfn.ANCHORARRAY(CK17),_xlfn.ANCHORARRAY(CK17)&amp;"出血值",_xlpm.p,INT(_xlpm.p)&amp;_xlfn.ANCHORARRAY(CH17),1,"无"))</f>
        <v>无</v>
      </c>
      <c r="L17" s="62" t="str" cm="1">
        <f t="array" ref="L17:L34">_xlfn.TOCOL(B17:B99,3)</f>
        <v>帚星</v>
      </c>
      <c r="M17" s="62" t="str" cm="1">
        <f t="array" ref="M17:M34">_xlfn.TOCOL(C17:C99,3)</f>
        <v>母亲杖</v>
      </c>
      <c r="N17" s="1" t="str" cm="1">
        <f t="array" ref="N17:N34">IF(_xlfn.XLOOKUP(_xlfn.ANCHORARRAY(M17),Weapon!B:B,Weapon!G:G),"失色石","普通石")</f>
        <v>普通石</v>
      </c>
      <c r="O17" s="1" cm="1">
        <f t="array" ref="O17:O34">_xlfn.IFS(_xlfn.ANCHORARRAY(M17)="陨石杖",,_xlfn.ANCHORARRAY(N17)="失色石",G5,1,F5)</f>
        <v>25</v>
      </c>
      <c r="P17" s="62" cm="1">
        <f t="array" ref="P17:P34">_xlfn.XLOOKUP(_xlfn.ANCHORARRAY(M17),Weapon!B:B,Weapon!H:H)+_xlfn.ANCHORARRAY(O17)</f>
        <v>1925</v>
      </c>
      <c r="Q17" s="1" cm="1">
        <f t="array" ref="Q17:Q34">_xlfn.XLOOKUP(_xlfn.TOCOL($B$17:$B$99,3),AtkParam!$B:$B,AtkParam!G:G)</f>
        <v>0</v>
      </c>
      <c r="R17" s="1" cm="1">
        <f t="array" ref="R17:R34">_xlfn.XLOOKUP(_xlfn.TOCOL($B$17:$B$99,3),AtkParam!$B:$B,AtkParam!H:H)</f>
        <v>292</v>
      </c>
      <c r="S17" s="1" cm="1">
        <f t="array" ref="S17:S34">_xlfn.XLOOKUP(_xlfn.TOCOL($B$17:$B$99,3),AtkParam!$B:$B,AtkParam!I:I)</f>
        <v>0</v>
      </c>
      <c r="T17" s="1" cm="1">
        <f t="array" ref="T17:T34">_xlfn.XLOOKUP(_xlfn.TOCOL($B$17:$B$99,3),AtkParam!$B:$B,AtkParam!J:J)</f>
        <v>0</v>
      </c>
      <c r="U17" s="1" cm="1">
        <f t="array" ref="U17:U34">_xlfn.XLOOKUP(_xlfn.TOCOL($B$17:$B$99,3),AtkParam!$B:$B,AtkParam!K:K)</f>
        <v>0</v>
      </c>
      <c r="V17" s="1" cm="1">
        <f t="array" ref="V17:V34">_xlfn.XLOOKUP(_xlfn.TOCOL($C$17:$C$99,3),Weapon!$B:$B,Weapon!I:I)</f>
        <v>12</v>
      </c>
      <c r="W17" s="1" cm="1">
        <f t="array" ref="W17:W34">_xlfn.XLOOKUP(_xlfn.TOCOL($C$17:$C$99,3),Weapon!$B:$B,Weapon!J:J)</f>
        <v>0</v>
      </c>
      <c r="X17" s="1" cm="1">
        <f t="array" ref="X17:X34">_xlfn.XLOOKUP(_xlfn.TOCOL($C$17:$C$99,3),Weapon!$B:$B,Weapon!K:K)</f>
        <v>55</v>
      </c>
      <c r="Y17" s="1" cm="1">
        <f t="array" ref="Y17:Y34">_xlfn.XLOOKUP(_xlfn.TOCOL($C$17:$C$99,3),Weapon!$B:$B,Weapon!L:L)</f>
        <v>0</v>
      </c>
      <c r="Z17" s="1" cm="1">
        <f t="array" ref="Z17:Z34">_xlfn.XLOOKUP(_xlfn.TOCOL($C$17:$C$99,3),Weapon!$B:$B,Weapon!M:M)</f>
        <v>55</v>
      </c>
      <c r="AA17" s="1" cm="1">
        <f t="array" ref="AA17:AA34">_xlfn.XLOOKUP(_xlfn.ANCHORARRAY($M$17),Weapon!$B:$B,Weapon!N:N)</f>
        <v>15</v>
      </c>
      <c r="AB17" s="1" cm="1">
        <f t="array" ref="AB17:AB34">_xlfn.XLOOKUP(_xlfn.ANCHORARRAY($M$17),Weapon!$B:$B,Weapon!O:O)</f>
        <v>15</v>
      </c>
      <c r="AC17" s="1" cm="1">
        <f t="array" ref="AC17:AC34">_xlfn.XLOOKUP(_xlfn.ANCHORARRAY($M$17),Weapon!$B:$B,Weapon!P:P)</f>
        <v>15</v>
      </c>
      <c r="AD17" s="1" cm="1">
        <f t="array" ref="AD17:AD34">_xlfn.XLOOKUP(_xlfn.ANCHORARRAY($M$17),Weapon!$B:$B,Weapon!Q:Q)</f>
        <v>15</v>
      </c>
      <c r="AE17" s="1" cm="1">
        <f t="array" ref="AE17:AE34">_xlfn.XLOOKUP(_xlfn.ANCHORARRAY($M$17),Weapon!$B:$B,Weapon!R:R)</f>
        <v>15</v>
      </c>
      <c r="AF17" s="1" cm="1">
        <f t="array" ref="AF17:AF34">_xlfn.XLOOKUP(_xlfn.ANCHORARRAY($P$17),WeaponUP!$A:$A,WeaponUP!B:B)</f>
        <v>3</v>
      </c>
      <c r="AG17" s="1" cm="1">
        <f t="array" ref="AG17:AG34">_xlfn.XLOOKUP(_xlfn.ANCHORARRAY($P$17),WeaponUP!$A:$A,WeaponUP!C:C)</f>
        <v>3</v>
      </c>
      <c r="AH17" s="1" cm="1">
        <f t="array" ref="AH17:AH34">_xlfn.XLOOKUP(_xlfn.ANCHORARRAY($P$17),WeaponUP!$A:$A,WeaponUP!D:D)</f>
        <v>3</v>
      </c>
      <c r="AI17" s="1" cm="1">
        <f t="array" ref="AI17:AI34">_xlfn.XLOOKUP(_xlfn.ANCHORARRAY($P$17),WeaponUP!$A:$A,WeaponUP!E:E)</f>
        <v>3</v>
      </c>
      <c r="AJ17" s="1" cm="1">
        <f t="array" ref="AJ17:AJ34">_xlfn.XLOOKUP(_xlfn.ANCHORARRAY($P$17),WeaponUP!$A:$A,WeaponUP!F:F)</f>
        <v>3</v>
      </c>
      <c r="AK17" s="1" cm="1">
        <f t="array" ref="AK17:AK34">_xlfn.XLOOKUP(_xlfn.TOCOL($C$17:$C$99,3),Weapon!$B:$B,Weapon!T:T)</f>
        <v>20030</v>
      </c>
      <c r="AL17" s="1" cm="1">
        <f t="array" ref="AL17:AL34">_xlfn.XLOOKUP(_xlfn.ANCHORARRAY($AK$17),AtkCorrect!$A:$A,AtkCorrect!B:B)*INDEX(Curve!$B$2:$EU$18,_xlfn.ANCHORARRAY($AA$17)+1,A5)%*_xlfn.ANCHORARRAY(V17)%*_xlfn.ANCHORARRAY(AF17)</f>
        <v>0</v>
      </c>
      <c r="AM17" s="1" cm="1">
        <f t="array" ref="AM17:AM34">_xlfn.XLOOKUP(_xlfn.ANCHORARRAY($AK$17),AtkCorrect!$A:$A,AtkCorrect!C:C)*INDEX(Curve!$B$2:$EU$18,_xlfn.ANCHORARRAY($AA$17)+1,B5)%*_xlfn.ANCHORARRAY(W17)%*_xlfn.ANCHORARRAY(AG17)</f>
        <v>0</v>
      </c>
      <c r="AN17" s="1" cm="1">
        <f t="array" ref="AN17:AN34">_xlfn.XLOOKUP(_xlfn.ANCHORARRAY($AK$17),AtkCorrect!$A:$A,AtkCorrect!D:D)*INDEX(Curve!$B$2:$EU$18,_xlfn.ANCHORARRAY($AA$17)+1,C5)%*_xlfn.ANCHORARRAY(X17)%*_xlfn.ANCHORARRAY(AH17)</f>
        <v>1.6500000000000001</v>
      </c>
      <c r="AO17" s="1" cm="1">
        <f t="array" ref="AO17:AO34">_xlfn.XLOOKUP(_xlfn.ANCHORARRAY($AK$17),AtkCorrect!$A:$A,AtkCorrect!E:E)*INDEX(Curve!$B$2:$EU$18,_xlfn.ANCHORARRAY($AA$17)+1,D5)%*_xlfn.ANCHORARRAY(Y17)%*_xlfn.ANCHORARRAY(AI17)</f>
        <v>0</v>
      </c>
      <c r="AP17" s="1" cm="1">
        <f t="array" ref="AP17:AP34">_xlfn.XLOOKUP(_xlfn.ANCHORARRAY($AK$17),AtkCorrect!$A:$A,AtkCorrect!F:F)*INDEX(Curve!$B$2:$EU$18,_xlfn.ANCHORARRAY($AA$17)+1,E5)%*_xlfn.ANCHORARRAY(Z17)%*_xlfn.ANCHORARRAY(AJ17)</f>
        <v>1.6500000000000001</v>
      </c>
      <c r="AQ17" s="1" cm="1">
        <f t="array" ref="AQ17:AQ34">_xlfn.XLOOKUP(_xlfn.ANCHORARRAY($AK$17),AtkCorrect!$A:$A,AtkCorrect!G:G)*INDEX(Curve!$B$2:$EU$18,_xlfn.ANCHORARRAY($AB$17)+1,A5)%*_xlfn.ANCHORARRAY(V17)%*_xlfn.ANCHORARRAY(AF17)</f>
        <v>0</v>
      </c>
      <c r="AR17" s="1" cm="1">
        <f t="array" ref="AR17:AR34">_xlfn.XLOOKUP(_xlfn.ANCHORARRAY($AK$17),AtkCorrect!$A:$A,AtkCorrect!H:H)*INDEX(Curve!$B$2:$EU$18,_xlfn.ANCHORARRAY($AB$17)+1,B5)%*_xlfn.ANCHORARRAY(W17)%*_xlfn.ANCHORARRAY(AG17)</f>
        <v>0</v>
      </c>
      <c r="AS17" s="1" cm="1">
        <f t="array" ref="AS17:AS34">_xlfn.XLOOKUP(_xlfn.ANCHORARRAY($AK$17),AtkCorrect!$A:$A,AtkCorrect!I:I)*INDEX(Curve!$B$2:$EU$18,_xlfn.ANCHORARRAY($AB$17)+1,C5)%*_xlfn.ANCHORARRAY(X17)%*_xlfn.ANCHORARRAY(AH17)</f>
        <v>1.6500000000000001</v>
      </c>
      <c r="AT17" s="1" cm="1">
        <f t="array" ref="AT17:AT34">_xlfn.XLOOKUP(_xlfn.ANCHORARRAY($AK$17),AtkCorrect!$A:$A,AtkCorrect!J:J)*INDEX(Curve!$B$2:$EU$18,_xlfn.ANCHORARRAY($AB$17)+1,D5)%*_xlfn.ANCHORARRAY(Y17)%*_xlfn.ANCHORARRAY(AI17)</f>
        <v>0</v>
      </c>
      <c r="AU17" s="1" cm="1">
        <f t="array" ref="AU17:AU34">_xlfn.XLOOKUP(_xlfn.ANCHORARRAY($AK$17),AtkCorrect!$A:$A,AtkCorrect!K:K)*INDEX(Curve!$B$2:$EU$18,_xlfn.ANCHORARRAY($AB$17)+1,E5)%*_xlfn.ANCHORARRAY(Z17)%*_xlfn.ANCHORARRAY(AJ17)</f>
        <v>1.6500000000000001</v>
      </c>
      <c r="AV17" s="1" cm="1">
        <f t="array" ref="AV17:AV34">_xlfn.XLOOKUP(_xlfn.ANCHORARRAY($AK$17),AtkCorrect!$A:$A,AtkCorrect!L:L)*INDEX(Curve!$B$2:$EU$18,_xlfn.ANCHORARRAY($AC$17)+1,A5)%*_xlfn.ANCHORARRAY(V17)%*_xlfn.ANCHORARRAY(AF17)</f>
        <v>0</v>
      </c>
      <c r="AW17" s="1" cm="1">
        <f t="array" ref="AW17:AW34">_xlfn.XLOOKUP(_xlfn.ANCHORARRAY($AK$17),AtkCorrect!$A:$A,AtkCorrect!M:M)*INDEX(Curve!$B$2:$EU$18,_xlfn.ANCHORARRAY($AC$17)+1,B5)%*_xlfn.ANCHORARRAY(W17)%*_xlfn.ANCHORARRAY(AG17)</f>
        <v>0</v>
      </c>
      <c r="AX17" s="1" cm="1">
        <f t="array" ref="AX17:AX34">_xlfn.XLOOKUP(_xlfn.ANCHORARRAY($AK$17),AtkCorrect!$A:$A,AtkCorrect!N:N)*INDEX(Curve!$B$2:$EU$18,_xlfn.ANCHORARRAY($AC$17)+1,C5)%*_xlfn.ANCHORARRAY(X17)%*_xlfn.ANCHORARRAY(AH17)</f>
        <v>1.6500000000000001</v>
      </c>
      <c r="AY17" s="1" cm="1">
        <f t="array" ref="AY17:AY34">_xlfn.XLOOKUP(_xlfn.ANCHORARRAY($AK$17),AtkCorrect!$A:$A,AtkCorrect!O:O)*INDEX(Curve!$B$2:$EU$18,_xlfn.ANCHORARRAY($AC$17)+1,D5)%*_xlfn.ANCHORARRAY(Y17)%*_xlfn.ANCHORARRAY(AI17)</f>
        <v>0</v>
      </c>
      <c r="AZ17" s="1" cm="1">
        <f t="array" ref="AZ17:AZ34">_xlfn.XLOOKUP(_xlfn.ANCHORARRAY($AK$17),AtkCorrect!$A:$A,AtkCorrect!P:P)*INDEX(Curve!$B$2:$EU$18,_xlfn.ANCHORARRAY($AC$17)+1,E5)%*_xlfn.ANCHORARRAY(Z17)%*_xlfn.ANCHORARRAY(AJ17)</f>
        <v>1.6500000000000001</v>
      </c>
      <c r="BA17" s="1" cm="1">
        <f t="array" ref="BA17:BA34">_xlfn.XLOOKUP(_xlfn.ANCHORARRAY($AK$17),AtkCorrect!$A:$A,AtkCorrect!Q:Q)*INDEX(Curve!$B$2:$EU$18,_xlfn.ANCHORARRAY($AD$17)+1,A5)%*_xlfn.ANCHORARRAY(V17)%*_xlfn.ANCHORARRAY(AF17)</f>
        <v>0</v>
      </c>
      <c r="BB17" s="1" cm="1">
        <f t="array" ref="BB17:BB34">_xlfn.XLOOKUP(_xlfn.ANCHORARRAY($AK$17),AtkCorrect!$A:$A,AtkCorrect!R:R)*INDEX(Curve!$B$2:$EU$18,_xlfn.ANCHORARRAY($AD$17)+1,B5)%*_xlfn.ANCHORARRAY(W17)%*_xlfn.ANCHORARRAY(AG17)</f>
        <v>0</v>
      </c>
      <c r="BC17" s="1" cm="1">
        <f t="array" ref="BC17:BC34">_xlfn.XLOOKUP(_xlfn.ANCHORARRAY($AK$17),AtkCorrect!$A:$A,AtkCorrect!S:S)*INDEX(Curve!$B$2:$EU$18,_xlfn.ANCHORARRAY($AD$17)+1,C5)%*_xlfn.ANCHORARRAY(X17)%*_xlfn.ANCHORARRAY(AH17)</f>
        <v>1.6500000000000001</v>
      </c>
      <c r="BD17" s="1" cm="1">
        <f t="array" ref="BD17:BD34">_xlfn.XLOOKUP(_xlfn.ANCHORARRAY($AK$17),AtkCorrect!$A:$A,AtkCorrect!T:T)*INDEX(Curve!$B$2:$EU$18,_xlfn.ANCHORARRAY($AD$17)+1,D5)%*_xlfn.ANCHORARRAY(Y17)%*_xlfn.ANCHORARRAY(AI17)</f>
        <v>0</v>
      </c>
      <c r="BE17" s="1" cm="1">
        <f t="array" ref="BE17:BE34">_xlfn.XLOOKUP(_xlfn.ANCHORARRAY($AK$17),AtkCorrect!$A:$A,AtkCorrect!U:U)*INDEX(Curve!$B$2:$EU$18,_xlfn.ANCHORARRAY($AD$17)+1,E5)%*_xlfn.ANCHORARRAY(Z17)%*_xlfn.ANCHORARRAY(AJ17)</f>
        <v>1.6500000000000001</v>
      </c>
      <c r="BF17" s="1" cm="1">
        <f t="array" ref="BF17:BF34">_xlfn.XLOOKUP(_xlfn.ANCHORARRAY($AK$17),AtkCorrect!$A:$A,AtkCorrect!V:V)*INDEX(Curve!$B$2:$EU$18,_xlfn.ANCHORARRAY($AE$17)+1,A5)%*_xlfn.ANCHORARRAY(V17)%*_xlfn.ANCHORARRAY(AF17)</f>
        <v>0</v>
      </c>
      <c r="BG17" s="1" cm="1">
        <f t="array" ref="BG17:BG34">_xlfn.XLOOKUP(_xlfn.ANCHORARRAY($AK$17),AtkCorrect!$A:$A,AtkCorrect!W:W)*INDEX(Curve!$B$2:$EU$18,_xlfn.ANCHORARRAY($AE$17)+1,B5)%*_xlfn.ANCHORARRAY(W17)%*_xlfn.ANCHORARRAY(AG17)</f>
        <v>0</v>
      </c>
      <c r="BH17" s="1" cm="1">
        <f t="array" ref="BH17:BH34">_xlfn.XLOOKUP(_xlfn.ANCHORARRAY($AK$17),AtkCorrect!$A:$A,AtkCorrect!X:X)*INDEX(Curve!$B$2:$EU$18,_xlfn.ANCHORARRAY($AE$17)+1,C5)%*_xlfn.ANCHORARRAY(X17)%*_xlfn.ANCHORARRAY(AH17)</f>
        <v>1.6500000000000001</v>
      </c>
      <c r="BI17" s="1" cm="1">
        <f t="array" ref="BI17:BI34">_xlfn.XLOOKUP(_xlfn.ANCHORARRAY($AK$17),AtkCorrect!$A:$A,AtkCorrect!Y:Y)*INDEX(Curve!$B$2:$EU$18,_xlfn.ANCHORARRAY($AE$17)+1,D5)%*_xlfn.ANCHORARRAY(Y17)%*_xlfn.ANCHORARRAY(AI17)</f>
        <v>0</v>
      </c>
      <c r="BJ17" s="1" cm="1">
        <f t="array" ref="BJ17:BJ34">_xlfn.XLOOKUP(_xlfn.ANCHORARRAY($AK$17),AtkCorrect!$A:$A,AtkCorrect!Z:Z)*INDEX(Curve!$B$2:$EU$18,_xlfn.ANCHORARRAY($AE$17)+1,E5)%*_xlfn.ANCHORARRAY(Z17)%*_xlfn.ANCHORARRAY(AJ17)</f>
        <v>1.6500000000000001</v>
      </c>
      <c r="BK17" s="1" cm="1">
        <f t="array" ref="BK17:BK34">_xlfn.ANCHORARRAY(Q17)*(1+_xlfn.BYROW(_xlfn.ANCHORARRAY(AL17):_xlfn.ANCHORARRAY(AP17),_xleta.SUM))</f>
        <v>0</v>
      </c>
      <c r="BL17" s="1" cm="1">
        <f t="array" ref="BL17:BL34">_xlfn.ANCHORARRAY(R17)*(1+_xlfn.BYROW(_xlfn.ANCHORARRAY(AQ17):_xlfn.ANCHORARRAY(AU17),_xleta.SUM))</f>
        <v>1255.6000000000001</v>
      </c>
      <c r="BM17" s="1" cm="1">
        <f t="array" ref="BM17:BM34">_xlfn.ANCHORARRAY(S17)*(1+_xlfn.BYROW(_xlfn.ANCHORARRAY(AV17):_xlfn.ANCHORARRAY(AZ17),_xleta.SUM))</f>
        <v>0</v>
      </c>
      <c r="BN17" s="1" cm="1">
        <f t="array" ref="BN17:BN34">_xlfn.ANCHORARRAY(T17)*(1+_xlfn.BYROW(_xlfn.ANCHORARRAY(BA17):_xlfn.ANCHORARRAY(BE17),_xleta.SUM))</f>
        <v>0</v>
      </c>
      <c r="BO17" s="1" cm="1">
        <f t="array" ref="BO17:BO34">_xlfn.ANCHORARRAY(U17)*(1+_xlfn.BYROW(_xlfn.ANCHORARRAY(BF17):_xlfn.ANCHORARRAY(BJ17),_xleta.SUM))</f>
        <v>0</v>
      </c>
      <c r="BP17" s="1" t="str" cm="1">
        <f t="array" ref="BP17:BP34">_xlfn.XLOOKUP(_xlfn.TOCOL($B$17:$B$99,3),AtkParam!$B:$B,AtkParam!L:L)</f>
        <v>无</v>
      </c>
      <c r="BQ17" s="1" t="str" cm="1">
        <f t="array" ref="BQ17:BQ34">_xlfn.XLOOKUP(_xlfn.TOCOL($B$17:$B$99,3),AtkParam!$B:$B,AtkParam!M:M)</f>
        <v>亚兹勒1</v>
      </c>
      <c r="BR17" s="1" t="str" cm="1">
        <f t="array" ref="BR17:BR34">_xlfn.XLOOKUP(_xlfn.TOCOL($B$17:$B$99,3),AtkParam!$B:$B,AtkParam!N:N)</f>
        <v>无</v>
      </c>
      <c r="BS17" s="1" t="str" cm="1">
        <f t="array" ref="BS17:BS34">_xlfn.XLOOKUP(_xlfn.TOCOL($B$17:$B$99,3),AtkParam!$B:$B,AtkParam!O:O)</f>
        <v>无</v>
      </c>
      <c r="BT17" s="1" cm="1">
        <f t="array" ref="BT17:BT34">IF((_xlfn.ANCHORARRAY(BU17)=_xlfn.ANCHORARRAY(BQ17))+(_xlfn.ANCHORARRAY(BU17)=_xlfn.ANCHORARRAY(BR17))+(_xlfn.ANCHORARRAY(BU17)=_xlfn.ANCHORARRAY(BS17)),_xlfn.XLOOKUP(_xlfn.ANCHORARRAY(M17),Weapon!$B:$B,Weapon!V:V),1)</f>
        <v>1</v>
      </c>
      <c r="BU17" s="1" t="str" cm="1">
        <f t="array" ref="BU17:BU34">_xlfn.XLOOKUP(_xlfn.TOCOL($C$17:$C$99,3),Weapon!$B:$B,Weapon!W:W)</f>
        <v>指头</v>
      </c>
      <c r="BV17" s="1" cm="1">
        <f t="array" ref="BV17:BV34">_xlfn.BYROW(IF(_xlfn.ANCHORARRAY(B12)="全",_xlfn.ANCHORARRAY(B11),1)*IF(_xlfn.ANCHORARRAY(BQ17)=_xlfn.ANCHORARRAY(B12),_xlfn.ANCHORARRAY(B11),1)*IF(_xlfn.ANCHORARRAY(BQ17)=_xlfn.ANCHORARRAY(B14),_xlfn.ANCHORARRAY(B13),1)*IF(_xlfn.ANCHORARRAY(BR17)=_xlfn.ANCHORARRAY(B12),_xlfn.ANCHORARRAY(B11),1)*IF(_xlfn.ANCHORARRAY(BS17)=_xlfn.ANCHORARRAY(B12),_xlfn.ANCHORARRAY(B11),1),_xlfn.LAMBDA(_xlpm.x,PRODUCT(_xlpm.x)))*IF(K5="是",I5+1,1)*IF(_xlfn.BYROW(N(_xlfn.ANCHORARRAY(BQ17):_xlfn.ANCHORARRAY(BS17)=_xlfn.ANCHORARRAY(BU17)),_xleta.SUM),_xlfn.ANCHORARRAY(BT17),1)</f>
        <v>1</v>
      </c>
      <c r="BW17" s="1" cm="1">
        <f t="array" ref="BW17:BW34">IF(_xlfn.ANCHORARRAY($BV$17),PRODUCT(IF(_xlfn.ANCHORARRAY($B$12)="物",_xlfn.ANCHORARRAY($B$11),1)*IF(_xlfn.ANCHORARRAY($B$14)="物",_xlfn.ANCHORARRAY($B$13),1)))</f>
        <v>1</v>
      </c>
      <c r="BX17" s="1" cm="1">
        <f t="array" ref="BX17:BX34">IF(_xlfn.ANCHORARRAY($BV$17),PRODUCT(IF(_xlfn.ANCHORARRAY($B$12)="魔",_xlfn.ANCHORARRAY($B$11),1)*IF(_xlfn.ANCHORARRAY($B$14)="魔",_xlfn.ANCHORARRAY($B$13),1)))</f>
        <v>1</v>
      </c>
      <c r="BY17" s="1" cm="1">
        <f t="array" ref="BY17:BY34">IF(_xlfn.ANCHORARRAY($BV$17),PRODUCT(IF(_xlfn.ANCHORARRAY($B$12)="火",_xlfn.ANCHORARRAY($B$11),1)*IF(_xlfn.ANCHORARRAY($B$14)="火",_xlfn.ANCHORARRAY($B$13),1)))</f>
        <v>1</v>
      </c>
      <c r="BZ17" s="1" cm="1">
        <f t="array" ref="BZ17:BZ34">IF(_xlfn.ANCHORARRAY($BV$17),PRODUCT(IF(_xlfn.ANCHORARRAY($B$12)="雷",_xlfn.ANCHORARRAY($B$11),1)*IF(_xlfn.ANCHORARRAY($B$14)="雷",_xlfn.ANCHORARRAY($B$13),1)))</f>
        <v>1</v>
      </c>
      <c r="CA17" s="1" cm="1">
        <f t="array" ref="CA17:CA34">IF(_xlfn.ANCHORARRAY($BV$17),PRODUCT(IF(_xlfn.ANCHORARRAY($B$12)="圣",_xlfn.ANCHORARRAY($B$11),1)*IF(_xlfn.ANCHORARRAY($B$14)="圣",_xlfn.ANCHORARRAY($B$13),1)))</f>
        <v>1</v>
      </c>
      <c r="CB17" s="1" cm="1">
        <f t="array" ref="CB17:CB34">_xlfn.LET(_xlpm.r,_xlfn.XLOOKUP(_xlfn.ANCHORARRAY(BP17),D6:G6,D8:G8,0),_xlpm.p,_xlfn.ANCHORARRAY(BK17)/G7,_xlpm.q,MATCH(_xlpm.p,List!$C$2:$C$6),_xlpm.a,INDEX(List!$D$2:$D$6,_xlpm.q),_xlpm.b,INDEX(List!$E$2:$E$6,_xlpm.q),_xlpm.c,INDEX(List!$F$2:$F$6,_xlpm.q),(_xlpm.a*(_xlpm.p-_xlpm.b)^2+_xlpm.c)*_xlfn.ANCHORARRAY(BK17)*_xlfn.ANCHORARRAY($BV$17)*_xlfn.ANCHORARRAY(BW17)*_xlpm.r)</f>
        <v>0</v>
      </c>
      <c r="CC17" s="1" cm="1">
        <f t="array" ref="CC17:CC34">_xlfn.LET(_xlpm.r,H8,_xlpm.p,_xlfn.ANCHORARRAY(BL17)/H7,_xlpm.q,MATCH(_xlpm.p,List!$C$2:$C$6),_xlpm.a,INDEX(List!$D$2:$D$6,_xlpm.q),_xlpm.b,INDEX(List!$E$2:$E$6,_xlpm.q),_xlpm.c,INDEX(List!$F$2:$F$6,_xlpm.q),(_xlpm.a*(_xlpm.p-_xlpm.b)^2+_xlpm.c)*_xlfn.ANCHORARRAY(BL17)*_xlfn.ANCHORARRAY($BV$17)*_xlfn.ANCHORARRAY(BX17)*_xlpm.r)</f>
        <v>1898.4672000000003</v>
      </c>
      <c r="CD17" s="1" cm="1">
        <f t="array" ref="CD17:CD34">_xlfn.LET(_xlpm.r,I8,_xlpm.p,_xlfn.ANCHORARRAY(BM17)/I7,_xlpm.q,MATCH(_xlpm.p,List!$C$2:$C$6),_xlpm.a,INDEX(List!$D$2:$D$6,_xlpm.q),_xlpm.b,INDEX(List!$E$2:$E$6,_xlpm.q),_xlpm.c,INDEX(List!$F$2:$F$6,_xlpm.q),(_xlpm.a*(_xlpm.p-_xlpm.b)^2+_xlpm.c)*_xlfn.ANCHORARRAY(BM17)*_xlfn.ANCHORARRAY($BV$17)*_xlfn.ANCHORARRAY(BY17)*_xlpm.r)</f>
        <v>0</v>
      </c>
      <c r="CE17" s="1" cm="1">
        <f t="array" ref="CE17:CE34">_xlfn.LET(_xlpm.r,J8,_xlpm.p,_xlfn.ANCHORARRAY(BN17)/J7,_xlpm.q,MATCH(_xlpm.p,List!$C$2:$C$6),_xlpm.a,INDEX(List!$D$2:$D$6,_xlpm.q),_xlpm.b,INDEX(List!$E$2:$E$6,_xlpm.q),_xlpm.c,INDEX(List!$F$2:$F$6,_xlpm.q),(_xlpm.a*(_xlpm.p-_xlpm.b)^2+_xlpm.c)*_xlfn.ANCHORARRAY(BN17)*_xlfn.ANCHORARRAY($BV$17)*_xlfn.ANCHORARRAY(BZ17)*_xlpm.r)</f>
        <v>0</v>
      </c>
      <c r="CF17" s="1" cm="1">
        <f t="array" ref="CF17:CF34">_xlfn.LET(_xlpm.r,K8,_xlpm.p,_xlfn.ANCHORARRAY(BO17)/K7,_xlpm.q,MATCH(_xlpm.p,List!$C$2:$C$6),_xlpm.a,INDEX(List!$D$2:$D$6,_xlpm.q),_xlpm.b,INDEX(List!$E$2:$E$6,_xlpm.q),_xlpm.c,INDEX(List!$F$2:$F$6,_xlpm.q),(_xlpm.a*(_xlpm.p-_xlpm.b)^2+_xlpm.c)*_xlfn.ANCHORARRAY(BO17)*_xlfn.ANCHORARRAY($BV$17)*_xlfn.ANCHORARRAY(CA17)*_xlpm.r)</f>
        <v>0</v>
      </c>
      <c r="CG17" s="1" cm="1">
        <f t="array" ref="CG17:CG34">_xlfn.XLOOKUP(_xlfn.TOCOL($B$17:$B$99,3),AtkParam!$B:$B,AtkParam!T:T)</f>
        <v>0</v>
      </c>
      <c r="CH17" s="1" t="str" cm="1">
        <f t="array" ref="CH17:CH34">_xlfn.XLOOKUP(_xlfn.TOCOL($B$17:$B$99,3),AtkParam!$B:$B,AtkParam!U:U)&amp;""</f>
        <v/>
      </c>
      <c r="CI17" s="1" cm="1">
        <f t="array" ref="CI17:CI34">_xlfn.XLOOKUP(_xlfn.ANCHORARRAY(M17),Weapon!B:B,Weapon!S:S)</f>
        <v>6</v>
      </c>
      <c r="CJ17" s="1" cm="1">
        <f t="array" ref="CJ17:CJ34">_xlfn.XLOOKUP(_xlfn.ANCHORARRAY(L17),AtkParam!B:B,AtkParam!V:V)</f>
        <v>0</v>
      </c>
      <c r="CK17" s="1" cm="1">
        <f t="array" ref="CK17:CK34">_xlfn.XLOOKUP(_xlfn.ANCHORARRAY(L17),AtkParam!B:B,AtkParam!W:W)</f>
        <v>0</v>
      </c>
      <c r="CL17" s="1" cm="1">
        <f t="array" ref="CL17:CL34">_xlfn.XLOOKUP(_xlfn.ANCHORARRAY(L17),AtkParam!B:B,AtkParam!Q:Q)</f>
        <v>24</v>
      </c>
      <c r="CM17" s="1" cm="1">
        <f t="array" ref="CM17:CM34">_xlfn.XLOOKUP(_xlfn.ANCHORARRAY(M17),Weapon!B:B,Weapon!U:U)</f>
        <v>1.03</v>
      </c>
    </row>
    <row r="18" spans="1:91" ht="21" customHeight="1" x14ac:dyDescent="0.3">
      <c r="A18" s="54" t="s">
        <v>28</v>
      </c>
      <c r="B18" s="58" t="s">
        <v>134</v>
      </c>
      <c r="C18" s="55" t="s">
        <v>308</v>
      </c>
      <c r="D18" s="33">
        <v>1392</v>
      </c>
      <c r="E18" s="36" t="str">
        <v>火</v>
      </c>
      <c r="F18" s="33" t="str">
        <v>150</v>
      </c>
      <c r="G18" s="33" t="str">
        <v>格密尔</v>
      </c>
      <c r="H18" s="61">
        <v>5</v>
      </c>
      <c r="I18" s="61">
        <v>5</v>
      </c>
      <c r="J18" s="37" t="str">
        <v>2（中硬直）</v>
      </c>
      <c r="K18" s="31" t="str">
        <v>无</v>
      </c>
      <c r="L18" s="1" t="str">
        <v>拉卡德的怨魂</v>
      </c>
      <c r="M18" s="1" t="str">
        <v>母亲杖</v>
      </c>
      <c r="N18" s="1" t="str">
        <v>普通石</v>
      </c>
      <c r="O18" s="1">
        <v>25</v>
      </c>
      <c r="P18" s="1">
        <v>1925</v>
      </c>
      <c r="Q18" s="1">
        <v>0</v>
      </c>
      <c r="R18" s="1">
        <v>0</v>
      </c>
      <c r="S18" s="1">
        <v>150</v>
      </c>
      <c r="T18" s="1">
        <v>0</v>
      </c>
      <c r="U18" s="1">
        <v>0</v>
      </c>
      <c r="V18" s="1">
        <v>12</v>
      </c>
      <c r="W18" s="1">
        <v>0</v>
      </c>
      <c r="X18" s="1">
        <v>55</v>
      </c>
      <c r="Y18" s="1">
        <v>0</v>
      </c>
      <c r="Z18" s="1">
        <v>55</v>
      </c>
      <c r="AA18" s="1">
        <v>15</v>
      </c>
      <c r="AB18" s="1">
        <v>15</v>
      </c>
      <c r="AC18" s="1">
        <v>15</v>
      </c>
      <c r="AD18" s="1">
        <v>15</v>
      </c>
      <c r="AE18" s="1">
        <v>15</v>
      </c>
      <c r="AF18" s="1">
        <v>3</v>
      </c>
      <c r="AG18" s="1">
        <v>3</v>
      </c>
      <c r="AH18" s="1">
        <v>3</v>
      </c>
      <c r="AI18" s="1">
        <v>3</v>
      </c>
      <c r="AJ18" s="1">
        <v>3</v>
      </c>
      <c r="AK18" s="1">
        <v>20030</v>
      </c>
      <c r="AL18" s="1">
        <v>0</v>
      </c>
      <c r="AM18" s="1">
        <v>0</v>
      </c>
      <c r="AN18" s="1">
        <v>1.6500000000000001</v>
      </c>
      <c r="AO18" s="1">
        <v>0</v>
      </c>
      <c r="AP18" s="1">
        <v>1.6500000000000001</v>
      </c>
      <c r="AQ18" s="1">
        <v>0</v>
      </c>
      <c r="AR18" s="1">
        <v>0</v>
      </c>
      <c r="AS18" s="1">
        <v>1.6500000000000001</v>
      </c>
      <c r="AT18" s="1">
        <v>0</v>
      </c>
      <c r="AU18" s="1">
        <v>1.6500000000000001</v>
      </c>
      <c r="AV18" s="1">
        <v>0</v>
      </c>
      <c r="AW18" s="1">
        <v>0</v>
      </c>
      <c r="AX18" s="1">
        <v>1.6500000000000001</v>
      </c>
      <c r="AY18" s="1">
        <v>0</v>
      </c>
      <c r="AZ18" s="1">
        <v>1.6500000000000001</v>
      </c>
      <c r="BA18" s="1">
        <v>0</v>
      </c>
      <c r="BB18" s="1">
        <v>0</v>
      </c>
      <c r="BC18" s="1">
        <v>1.6500000000000001</v>
      </c>
      <c r="BD18" s="1">
        <v>0</v>
      </c>
      <c r="BE18" s="1">
        <v>1.6500000000000001</v>
      </c>
      <c r="BF18" s="1">
        <v>0</v>
      </c>
      <c r="BG18" s="1">
        <v>0</v>
      </c>
      <c r="BH18" s="1">
        <v>1.6500000000000001</v>
      </c>
      <c r="BI18" s="1">
        <v>0</v>
      </c>
      <c r="BJ18" s="1">
        <v>1.6500000000000001</v>
      </c>
      <c r="BK18" s="1">
        <v>0</v>
      </c>
      <c r="BL18" s="1">
        <v>0</v>
      </c>
      <c r="BM18" s="1">
        <v>645.00000000000011</v>
      </c>
      <c r="BN18" s="1">
        <v>0</v>
      </c>
      <c r="BO18" s="1">
        <v>0</v>
      </c>
      <c r="BP18" s="1" t="str">
        <v>无</v>
      </c>
      <c r="BQ18" s="1" t="str">
        <v>格密尔</v>
      </c>
      <c r="BR18" s="1" t="str">
        <v>无</v>
      </c>
      <c r="BS18" s="1" t="str">
        <v>无</v>
      </c>
      <c r="BT18" s="1">
        <v>1</v>
      </c>
      <c r="BU18" s="1" t="str">
        <v>指头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0</v>
      </c>
      <c r="CC18" s="1">
        <v>0</v>
      </c>
      <c r="CD18" s="1">
        <v>1392.1425872828472</v>
      </c>
      <c r="CE18" s="1">
        <v>0</v>
      </c>
      <c r="CF18" s="1">
        <v>0</v>
      </c>
      <c r="CG18" s="1">
        <v>0</v>
      </c>
      <c r="CH18" s="1" t="str">
        <v/>
      </c>
      <c r="CI18" s="1">
        <v>6</v>
      </c>
      <c r="CJ18" s="1">
        <v>0</v>
      </c>
      <c r="CK18" s="1">
        <v>0</v>
      </c>
      <c r="CL18" s="1">
        <v>23</v>
      </c>
      <c r="CM18" s="1">
        <v>1.03</v>
      </c>
    </row>
    <row r="19" spans="1:91" ht="21" customHeight="1" x14ac:dyDescent="0.3">
      <c r="A19" s="54" t="s">
        <v>28</v>
      </c>
      <c r="B19" s="58" t="s">
        <v>609</v>
      </c>
      <c r="C19" s="55" t="s">
        <v>308</v>
      </c>
      <c r="D19" s="33">
        <v>1206</v>
      </c>
      <c r="E19" s="36" t="str">
        <v>普通+魔</v>
      </c>
      <c r="F19" s="33" t="str">
        <v>185+105</v>
      </c>
      <c r="G19" s="33" t="str">
        <v>重力</v>
      </c>
      <c r="H19" s="61">
        <v>10.18</v>
      </c>
      <c r="I19" s="61">
        <v>10.18</v>
      </c>
      <c r="J19" s="37" t="str">
        <v>7（击退）</v>
      </c>
      <c r="K19" s="31" t="str">
        <v>无</v>
      </c>
      <c r="L19" s="1" t="str">
        <v>艾丝缇陨石</v>
      </c>
      <c r="M19" s="1" t="str">
        <v>母亲杖</v>
      </c>
      <c r="N19" s="1" t="str">
        <v>普通石</v>
      </c>
      <c r="O19" s="1">
        <v>25</v>
      </c>
      <c r="P19" s="1">
        <v>1925</v>
      </c>
      <c r="Q19" s="1">
        <v>185</v>
      </c>
      <c r="R19" s="1">
        <v>105</v>
      </c>
      <c r="S19" s="1">
        <v>0</v>
      </c>
      <c r="T19" s="1">
        <v>0</v>
      </c>
      <c r="U19" s="1">
        <v>0</v>
      </c>
      <c r="V19" s="1">
        <v>12</v>
      </c>
      <c r="W19" s="1">
        <v>0</v>
      </c>
      <c r="X19" s="1">
        <v>55</v>
      </c>
      <c r="Y19" s="1">
        <v>0</v>
      </c>
      <c r="Z19" s="1">
        <v>55</v>
      </c>
      <c r="AA19" s="1">
        <v>15</v>
      </c>
      <c r="AB19" s="1">
        <v>15</v>
      </c>
      <c r="AC19" s="1">
        <v>15</v>
      </c>
      <c r="AD19" s="1">
        <v>15</v>
      </c>
      <c r="AE19" s="1">
        <v>15</v>
      </c>
      <c r="AF19" s="1">
        <v>3</v>
      </c>
      <c r="AG19" s="1">
        <v>3</v>
      </c>
      <c r="AH19" s="1">
        <v>3</v>
      </c>
      <c r="AI19" s="1">
        <v>3</v>
      </c>
      <c r="AJ19" s="1">
        <v>3</v>
      </c>
      <c r="AK19" s="1">
        <v>20030</v>
      </c>
      <c r="AL19" s="1">
        <v>0</v>
      </c>
      <c r="AM19" s="1">
        <v>0</v>
      </c>
      <c r="AN19" s="1">
        <v>1.6500000000000001</v>
      </c>
      <c r="AO19" s="1">
        <v>0</v>
      </c>
      <c r="AP19" s="1">
        <v>1.6500000000000001</v>
      </c>
      <c r="AQ19" s="1">
        <v>0</v>
      </c>
      <c r="AR19" s="1">
        <v>0</v>
      </c>
      <c r="AS19" s="1">
        <v>1.6500000000000001</v>
      </c>
      <c r="AT19" s="1">
        <v>0</v>
      </c>
      <c r="AU19" s="1">
        <v>1.6500000000000001</v>
      </c>
      <c r="AV19" s="1">
        <v>0</v>
      </c>
      <c r="AW19" s="1">
        <v>0</v>
      </c>
      <c r="AX19" s="1">
        <v>1.6500000000000001</v>
      </c>
      <c r="AY19" s="1">
        <v>0</v>
      </c>
      <c r="AZ19" s="1">
        <v>1.6500000000000001</v>
      </c>
      <c r="BA19" s="1">
        <v>0</v>
      </c>
      <c r="BB19" s="1">
        <v>0</v>
      </c>
      <c r="BC19" s="1">
        <v>1.6500000000000001</v>
      </c>
      <c r="BD19" s="1">
        <v>0</v>
      </c>
      <c r="BE19" s="1">
        <v>1.6500000000000001</v>
      </c>
      <c r="BF19" s="1">
        <v>0</v>
      </c>
      <c r="BG19" s="1">
        <v>0</v>
      </c>
      <c r="BH19" s="1">
        <v>1.6500000000000001</v>
      </c>
      <c r="BI19" s="1">
        <v>0</v>
      </c>
      <c r="BJ19" s="1">
        <v>1.6500000000000001</v>
      </c>
      <c r="BK19" s="1">
        <v>795.50000000000011</v>
      </c>
      <c r="BL19" s="1">
        <v>451.50000000000006</v>
      </c>
      <c r="BM19" s="1">
        <v>0</v>
      </c>
      <c r="BN19" s="1">
        <v>0</v>
      </c>
      <c r="BO19" s="1">
        <v>0</v>
      </c>
      <c r="BP19" s="1" t="str">
        <v>普通</v>
      </c>
      <c r="BQ19" s="1" t="str">
        <v>重力</v>
      </c>
      <c r="BR19" s="1" t="str">
        <v>无</v>
      </c>
      <c r="BS19" s="1" t="str">
        <v>无</v>
      </c>
      <c r="BT19" s="1">
        <v>1</v>
      </c>
      <c r="BU19" s="1" t="str">
        <v>指头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558.44100000000014</v>
      </c>
      <c r="CC19" s="1">
        <v>648.11145867768607</v>
      </c>
      <c r="CD19" s="1">
        <v>0</v>
      </c>
      <c r="CE19" s="1">
        <v>0</v>
      </c>
      <c r="CF19" s="1">
        <v>0</v>
      </c>
      <c r="CG19" s="1">
        <v>0</v>
      </c>
      <c r="CH19" s="1" t="str">
        <v/>
      </c>
      <c r="CI19" s="1">
        <v>6</v>
      </c>
      <c r="CJ19" s="1">
        <v>0</v>
      </c>
      <c r="CK19" s="1">
        <v>0</v>
      </c>
      <c r="CL19" s="1">
        <v>60</v>
      </c>
      <c r="CM19" s="1">
        <v>1.03</v>
      </c>
    </row>
    <row r="20" spans="1:91" ht="21" customHeight="1" x14ac:dyDescent="0.3">
      <c r="A20" s="54" t="s">
        <v>28</v>
      </c>
      <c r="B20" s="58" t="s">
        <v>124</v>
      </c>
      <c r="C20" s="55" t="s">
        <v>308</v>
      </c>
      <c r="D20" s="33">
        <v>1950</v>
      </c>
      <c r="E20" s="36" t="str">
        <v>火</v>
      </c>
      <c r="F20" s="33" t="str">
        <v>210</v>
      </c>
      <c r="G20" s="33" t="str">
        <v>格密尔,熔岩</v>
      </c>
      <c r="H20" s="61">
        <v>5</v>
      </c>
      <c r="I20" s="61">
        <v>5</v>
      </c>
      <c r="J20" s="37" t="str">
        <v>3（大硬直）</v>
      </c>
      <c r="K20" s="31" t="str">
        <v>无</v>
      </c>
      <c r="L20" s="1" t="str">
        <v>熔岩球</v>
      </c>
      <c r="M20" s="1" t="str">
        <v>母亲杖</v>
      </c>
      <c r="N20" s="1" t="str">
        <v>普通石</v>
      </c>
      <c r="O20" s="1">
        <v>25</v>
      </c>
      <c r="P20" s="1">
        <v>1925</v>
      </c>
      <c r="Q20" s="1">
        <v>0</v>
      </c>
      <c r="R20" s="1">
        <v>0</v>
      </c>
      <c r="S20" s="1">
        <v>210</v>
      </c>
      <c r="T20" s="1">
        <v>0</v>
      </c>
      <c r="U20" s="1">
        <v>0</v>
      </c>
      <c r="V20" s="1">
        <v>12</v>
      </c>
      <c r="W20" s="1">
        <v>0</v>
      </c>
      <c r="X20" s="1">
        <v>55</v>
      </c>
      <c r="Y20" s="1">
        <v>0</v>
      </c>
      <c r="Z20" s="1">
        <v>55</v>
      </c>
      <c r="AA20" s="1">
        <v>15</v>
      </c>
      <c r="AB20" s="1">
        <v>15</v>
      </c>
      <c r="AC20" s="1">
        <v>15</v>
      </c>
      <c r="AD20" s="1">
        <v>15</v>
      </c>
      <c r="AE20" s="1">
        <v>15</v>
      </c>
      <c r="AF20" s="1">
        <v>3</v>
      </c>
      <c r="AG20" s="1">
        <v>3</v>
      </c>
      <c r="AH20" s="1">
        <v>3</v>
      </c>
      <c r="AI20" s="1">
        <v>3</v>
      </c>
      <c r="AJ20" s="1">
        <v>3</v>
      </c>
      <c r="AK20" s="1">
        <v>20030</v>
      </c>
      <c r="AL20" s="1">
        <v>0</v>
      </c>
      <c r="AM20" s="1">
        <v>0</v>
      </c>
      <c r="AN20" s="1">
        <v>1.6500000000000001</v>
      </c>
      <c r="AO20" s="1">
        <v>0</v>
      </c>
      <c r="AP20" s="1">
        <v>1.6500000000000001</v>
      </c>
      <c r="AQ20" s="1">
        <v>0</v>
      </c>
      <c r="AR20" s="1">
        <v>0</v>
      </c>
      <c r="AS20" s="1">
        <v>1.6500000000000001</v>
      </c>
      <c r="AT20" s="1">
        <v>0</v>
      </c>
      <c r="AU20" s="1">
        <v>1.6500000000000001</v>
      </c>
      <c r="AV20" s="1">
        <v>0</v>
      </c>
      <c r="AW20" s="1">
        <v>0</v>
      </c>
      <c r="AX20" s="1">
        <v>1.6500000000000001</v>
      </c>
      <c r="AY20" s="1">
        <v>0</v>
      </c>
      <c r="AZ20" s="1">
        <v>1.6500000000000001</v>
      </c>
      <c r="BA20" s="1">
        <v>0</v>
      </c>
      <c r="BB20" s="1">
        <v>0</v>
      </c>
      <c r="BC20" s="1">
        <v>1.6500000000000001</v>
      </c>
      <c r="BD20" s="1">
        <v>0</v>
      </c>
      <c r="BE20" s="1">
        <v>1.6500000000000001</v>
      </c>
      <c r="BF20" s="1">
        <v>0</v>
      </c>
      <c r="BG20" s="1">
        <v>0</v>
      </c>
      <c r="BH20" s="1">
        <v>1.6500000000000001</v>
      </c>
      <c r="BI20" s="1">
        <v>0</v>
      </c>
      <c r="BJ20" s="1">
        <v>1.6500000000000001</v>
      </c>
      <c r="BK20" s="1">
        <v>0</v>
      </c>
      <c r="BL20" s="1">
        <v>0</v>
      </c>
      <c r="BM20" s="1">
        <v>903.00000000000011</v>
      </c>
      <c r="BN20" s="1">
        <v>0</v>
      </c>
      <c r="BO20" s="1">
        <v>0</v>
      </c>
      <c r="BP20" s="1" t="str">
        <v>无</v>
      </c>
      <c r="BQ20" s="1" t="str">
        <v>格密尔</v>
      </c>
      <c r="BR20" s="1" t="str">
        <v>无</v>
      </c>
      <c r="BS20" s="1" t="str">
        <v>熔岩</v>
      </c>
      <c r="BT20" s="1">
        <v>1</v>
      </c>
      <c r="BU20" s="1" t="str">
        <v>指头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0</v>
      </c>
      <c r="CC20" s="1">
        <v>0</v>
      </c>
      <c r="CD20" s="1">
        <v>1950.4800000000002</v>
      </c>
      <c r="CE20" s="1">
        <v>0</v>
      </c>
      <c r="CF20" s="1">
        <v>0</v>
      </c>
      <c r="CG20" s="1">
        <v>0</v>
      </c>
      <c r="CH20" s="1" t="str">
        <v/>
      </c>
      <c r="CI20" s="1">
        <v>6</v>
      </c>
      <c r="CJ20" s="1">
        <v>0</v>
      </c>
      <c r="CK20" s="1">
        <v>0</v>
      </c>
      <c r="CL20" s="1">
        <v>16</v>
      </c>
      <c r="CM20" s="1">
        <v>1.03</v>
      </c>
    </row>
    <row r="21" spans="1:91" ht="21" customHeight="1" x14ac:dyDescent="0.3">
      <c r="A21" s="54" t="s">
        <v>28</v>
      </c>
      <c r="B21" s="58" t="s">
        <v>119</v>
      </c>
      <c r="C21" s="55" t="s">
        <v>308</v>
      </c>
      <c r="D21" s="33">
        <v>290</v>
      </c>
      <c r="E21" s="36" t="str">
        <v>普通</v>
      </c>
      <c r="F21" s="33" t="str">
        <v>102</v>
      </c>
      <c r="G21" s="33" t="str">
        <v>重力</v>
      </c>
      <c r="H21" s="61">
        <v>9.5</v>
      </c>
      <c r="I21" s="61">
        <v>9.5</v>
      </c>
      <c r="J21" s="37" t="str">
        <v>2（中硬直）</v>
      </c>
      <c r="K21" s="31" t="str">
        <v>无</v>
      </c>
      <c r="L21" s="1" t="str">
        <v>岩石球</v>
      </c>
      <c r="M21" s="1" t="str">
        <v>母亲杖</v>
      </c>
      <c r="N21" s="1" t="str">
        <v>普通石</v>
      </c>
      <c r="O21" s="1">
        <v>25</v>
      </c>
      <c r="P21" s="1">
        <v>1925</v>
      </c>
      <c r="Q21" s="1">
        <v>102</v>
      </c>
      <c r="R21" s="1">
        <v>0</v>
      </c>
      <c r="S21" s="1">
        <v>0</v>
      </c>
      <c r="T21" s="1">
        <v>0</v>
      </c>
      <c r="U21" s="1">
        <v>0</v>
      </c>
      <c r="V21" s="1">
        <v>12</v>
      </c>
      <c r="W21" s="1">
        <v>0</v>
      </c>
      <c r="X21" s="1">
        <v>55</v>
      </c>
      <c r="Y21" s="1">
        <v>0</v>
      </c>
      <c r="Z21" s="1">
        <v>55</v>
      </c>
      <c r="AA21" s="1">
        <v>15</v>
      </c>
      <c r="AB21" s="1">
        <v>15</v>
      </c>
      <c r="AC21" s="1">
        <v>15</v>
      </c>
      <c r="AD21" s="1">
        <v>15</v>
      </c>
      <c r="AE21" s="1">
        <v>15</v>
      </c>
      <c r="AF21" s="1">
        <v>3</v>
      </c>
      <c r="AG21" s="1">
        <v>3</v>
      </c>
      <c r="AH21" s="1">
        <v>3</v>
      </c>
      <c r="AI21" s="1">
        <v>3</v>
      </c>
      <c r="AJ21" s="1">
        <v>3</v>
      </c>
      <c r="AK21" s="1">
        <v>20030</v>
      </c>
      <c r="AL21" s="1">
        <v>0</v>
      </c>
      <c r="AM21" s="1">
        <v>0</v>
      </c>
      <c r="AN21" s="1">
        <v>1.6500000000000001</v>
      </c>
      <c r="AO21" s="1">
        <v>0</v>
      </c>
      <c r="AP21" s="1">
        <v>1.6500000000000001</v>
      </c>
      <c r="AQ21" s="1">
        <v>0</v>
      </c>
      <c r="AR21" s="1">
        <v>0</v>
      </c>
      <c r="AS21" s="1">
        <v>1.6500000000000001</v>
      </c>
      <c r="AT21" s="1">
        <v>0</v>
      </c>
      <c r="AU21" s="1">
        <v>1.6500000000000001</v>
      </c>
      <c r="AV21" s="1">
        <v>0</v>
      </c>
      <c r="AW21" s="1">
        <v>0</v>
      </c>
      <c r="AX21" s="1">
        <v>1.6500000000000001</v>
      </c>
      <c r="AY21" s="1">
        <v>0</v>
      </c>
      <c r="AZ21" s="1">
        <v>1.6500000000000001</v>
      </c>
      <c r="BA21" s="1">
        <v>0</v>
      </c>
      <c r="BB21" s="1">
        <v>0</v>
      </c>
      <c r="BC21" s="1">
        <v>1.6500000000000001</v>
      </c>
      <c r="BD21" s="1">
        <v>0</v>
      </c>
      <c r="BE21" s="1">
        <v>1.6500000000000001</v>
      </c>
      <c r="BF21" s="1">
        <v>0</v>
      </c>
      <c r="BG21" s="1">
        <v>0</v>
      </c>
      <c r="BH21" s="1">
        <v>1.6500000000000001</v>
      </c>
      <c r="BI21" s="1">
        <v>0</v>
      </c>
      <c r="BJ21" s="1">
        <v>1.6500000000000001</v>
      </c>
      <c r="BK21" s="1">
        <v>438.60000000000008</v>
      </c>
      <c r="BL21" s="1">
        <v>0</v>
      </c>
      <c r="BM21" s="1">
        <v>0</v>
      </c>
      <c r="BN21" s="1">
        <v>0</v>
      </c>
      <c r="BO21" s="1">
        <v>0</v>
      </c>
      <c r="BP21" s="1" t="str">
        <v>普通</v>
      </c>
      <c r="BQ21" s="1" t="str">
        <v>重力</v>
      </c>
      <c r="BR21" s="1" t="str">
        <v>无</v>
      </c>
      <c r="BS21" s="1" t="str">
        <v>无</v>
      </c>
      <c r="BT21" s="1">
        <v>1</v>
      </c>
      <c r="BU21" s="1" t="str">
        <v>指头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290.43451669151636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 t="str">
        <v/>
      </c>
      <c r="CI21" s="1">
        <v>6</v>
      </c>
      <c r="CJ21" s="1">
        <v>0</v>
      </c>
      <c r="CK21" s="1">
        <v>0</v>
      </c>
      <c r="CL21" s="1">
        <v>18</v>
      </c>
      <c r="CM21" s="1">
        <v>1.03</v>
      </c>
    </row>
    <row r="22" spans="1:91" ht="21" customHeight="1" x14ac:dyDescent="0.3">
      <c r="A22" s="54" t="s">
        <v>28</v>
      </c>
      <c r="B22" s="58" t="s">
        <v>32</v>
      </c>
      <c r="C22" s="55" t="s">
        <v>308</v>
      </c>
      <c r="D22" s="33">
        <v>1898</v>
      </c>
      <c r="E22" s="36" t="str">
        <v>魔</v>
      </c>
      <c r="F22" s="33" t="str">
        <v>292</v>
      </c>
      <c r="G22" s="33" t="str">
        <v>亚兹勒1</v>
      </c>
      <c r="H22" s="61">
        <v>7</v>
      </c>
      <c r="I22" s="61">
        <v>7</v>
      </c>
      <c r="J22" s="37" t="str">
        <v>1（小硬直）</v>
      </c>
      <c r="K22" s="31" t="str">
        <v>无</v>
      </c>
      <c r="L22" s="1" t="str">
        <v>帚星</v>
      </c>
      <c r="M22" s="1" t="str">
        <v>母亲杖</v>
      </c>
      <c r="N22" s="1" t="str">
        <v>普通石</v>
      </c>
      <c r="O22" s="1">
        <v>25</v>
      </c>
      <c r="P22" s="1">
        <v>1925</v>
      </c>
      <c r="Q22" s="1">
        <v>0</v>
      </c>
      <c r="R22" s="1">
        <v>292</v>
      </c>
      <c r="S22" s="1">
        <v>0</v>
      </c>
      <c r="T22" s="1">
        <v>0</v>
      </c>
      <c r="U22" s="1">
        <v>0</v>
      </c>
      <c r="V22" s="1">
        <v>12</v>
      </c>
      <c r="W22" s="1">
        <v>0</v>
      </c>
      <c r="X22" s="1">
        <v>55</v>
      </c>
      <c r="Y22" s="1">
        <v>0</v>
      </c>
      <c r="Z22" s="1">
        <v>55</v>
      </c>
      <c r="AA22" s="1">
        <v>15</v>
      </c>
      <c r="AB22" s="1">
        <v>15</v>
      </c>
      <c r="AC22" s="1">
        <v>15</v>
      </c>
      <c r="AD22" s="1">
        <v>15</v>
      </c>
      <c r="AE22" s="1">
        <v>15</v>
      </c>
      <c r="AF22" s="1">
        <v>3</v>
      </c>
      <c r="AG22" s="1">
        <v>3</v>
      </c>
      <c r="AH22" s="1">
        <v>3</v>
      </c>
      <c r="AI22" s="1">
        <v>3</v>
      </c>
      <c r="AJ22" s="1">
        <v>3</v>
      </c>
      <c r="AK22" s="1">
        <v>20030</v>
      </c>
      <c r="AL22" s="1">
        <v>0</v>
      </c>
      <c r="AM22" s="1">
        <v>0</v>
      </c>
      <c r="AN22" s="1">
        <v>1.6500000000000001</v>
      </c>
      <c r="AO22" s="1">
        <v>0</v>
      </c>
      <c r="AP22" s="1">
        <v>1.6500000000000001</v>
      </c>
      <c r="AQ22" s="1">
        <v>0</v>
      </c>
      <c r="AR22" s="1">
        <v>0</v>
      </c>
      <c r="AS22" s="1">
        <v>1.6500000000000001</v>
      </c>
      <c r="AT22" s="1">
        <v>0</v>
      </c>
      <c r="AU22" s="1">
        <v>1.6500000000000001</v>
      </c>
      <c r="AV22" s="1">
        <v>0</v>
      </c>
      <c r="AW22" s="1">
        <v>0</v>
      </c>
      <c r="AX22" s="1">
        <v>1.6500000000000001</v>
      </c>
      <c r="AY22" s="1">
        <v>0</v>
      </c>
      <c r="AZ22" s="1">
        <v>1.6500000000000001</v>
      </c>
      <c r="BA22" s="1">
        <v>0</v>
      </c>
      <c r="BB22" s="1">
        <v>0</v>
      </c>
      <c r="BC22" s="1">
        <v>1.6500000000000001</v>
      </c>
      <c r="BD22" s="1">
        <v>0</v>
      </c>
      <c r="BE22" s="1">
        <v>1.6500000000000001</v>
      </c>
      <c r="BF22" s="1">
        <v>0</v>
      </c>
      <c r="BG22" s="1">
        <v>0</v>
      </c>
      <c r="BH22" s="1">
        <v>1.6500000000000001</v>
      </c>
      <c r="BI22" s="1">
        <v>0</v>
      </c>
      <c r="BJ22" s="1">
        <v>1.6500000000000001</v>
      </c>
      <c r="BK22" s="1">
        <v>0</v>
      </c>
      <c r="BL22" s="1">
        <v>1255.6000000000001</v>
      </c>
      <c r="BM22" s="1">
        <v>0</v>
      </c>
      <c r="BN22" s="1">
        <v>0</v>
      </c>
      <c r="BO22" s="1">
        <v>0</v>
      </c>
      <c r="BP22" s="1" t="str">
        <v>无</v>
      </c>
      <c r="BQ22" s="1" t="str">
        <v>亚兹勒1</v>
      </c>
      <c r="BR22" s="1" t="str">
        <v>无</v>
      </c>
      <c r="BS22" s="1" t="str">
        <v>无</v>
      </c>
      <c r="BT22" s="1">
        <v>1</v>
      </c>
      <c r="BU22" s="1" t="str">
        <v>指头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0</v>
      </c>
      <c r="CC22" s="1">
        <v>1898.4672000000003</v>
      </c>
      <c r="CD22" s="1">
        <v>0</v>
      </c>
      <c r="CE22" s="1">
        <v>0</v>
      </c>
      <c r="CF22" s="1">
        <v>0</v>
      </c>
      <c r="CG22" s="1">
        <v>0</v>
      </c>
      <c r="CH22" s="1" t="str">
        <v/>
      </c>
      <c r="CI22" s="1">
        <v>6</v>
      </c>
      <c r="CJ22" s="1">
        <v>0</v>
      </c>
      <c r="CK22" s="1">
        <v>0</v>
      </c>
      <c r="CL22" s="1">
        <v>24</v>
      </c>
      <c r="CM22" s="1">
        <v>1.03</v>
      </c>
    </row>
    <row r="23" spans="1:91" ht="21" customHeight="1" x14ac:dyDescent="0.3">
      <c r="A23" s="54" t="s">
        <v>28</v>
      </c>
      <c r="B23" s="58" t="s">
        <v>33</v>
      </c>
      <c r="C23" s="55" t="s">
        <v>308</v>
      </c>
      <c r="D23" s="33">
        <v>2373</v>
      </c>
      <c r="E23" s="36" t="str">
        <v>魔</v>
      </c>
      <c r="F23" s="33" t="str">
        <v>365</v>
      </c>
      <c r="G23" s="33" t="str">
        <v>亚兹勒1,蓄力</v>
      </c>
      <c r="H23" s="61">
        <v>12.95</v>
      </c>
      <c r="I23" s="61">
        <v>12.95</v>
      </c>
      <c r="J23" s="37" t="str">
        <v>2（中硬直）</v>
      </c>
      <c r="K23" s="31" t="str">
        <v>无</v>
      </c>
      <c r="L23" s="1" t="str">
        <v>帚星-蓄力</v>
      </c>
      <c r="M23" s="1" t="str">
        <v>母亲杖</v>
      </c>
      <c r="N23" s="1" t="str">
        <v>普通石</v>
      </c>
      <c r="O23" s="1">
        <v>25</v>
      </c>
      <c r="P23" s="1">
        <v>1925</v>
      </c>
      <c r="Q23" s="1">
        <v>0</v>
      </c>
      <c r="R23" s="1">
        <v>365</v>
      </c>
      <c r="S23" s="1">
        <v>0</v>
      </c>
      <c r="T23" s="1">
        <v>0</v>
      </c>
      <c r="U23" s="1">
        <v>0</v>
      </c>
      <c r="V23" s="1">
        <v>12</v>
      </c>
      <c r="W23" s="1">
        <v>0</v>
      </c>
      <c r="X23" s="1">
        <v>55</v>
      </c>
      <c r="Y23" s="1">
        <v>0</v>
      </c>
      <c r="Z23" s="1">
        <v>55</v>
      </c>
      <c r="AA23" s="1">
        <v>15</v>
      </c>
      <c r="AB23" s="1">
        <v>15</v>
      </c>
      <c r="AC23" s="1">
        <v>15</v>
      </c>
      <c r="AD23" s="1">
        <v>15</v>
      </c>
      <c r="AE23" s="1">
        <v>15</v>
      </c>
      <c r="AF23" s="1">
        <v>3</v>
      </c>
      <c r="AG23" s="1">
        <v>3</v>
      </c>
      <c r="AH23" s="1">
        <v>3</v>
      </c>
      <c r="AI23" s="1">
        <v>3</v>
      </c>
      <c r="AJ23" s="1">
        <v>3</v>
      </c>
      <c r="AK23" s="1">
        <v>20030</v>
      </c>
      <c r="AL23" s="1">
        <v>0</v>
      </c>
      <c r="AM23" s="1">
        <v>0</v>
      </c>
      <c r="AN23" s="1">
        <v>1.6500000000000001</v>
      </c>
      <c r="AO23" s="1">
        <v>0</v>
      </c>
      <c r="AP23" s="1">
        <v>1.6500000000000001</v>
      </c>
      <c r="AQ23" s="1">
        <v>0</v>
      </c>
      <c r="AR23" s="1">
        <v>0</v>
      </c>
      <c r="AS23" s="1">
        <v>1.6500000000000001</v>
      </c>
      <c r="AT23" s="1">
        <v>0</v>
      </c>
      <c r="AU23" s="1">
        <v>1.6500000000000001</v>
      </c>
      <c r="AV23" s="1">
        <v>0</v>
      </c>
      <c r="AW23" s="1">
        <v>0</v>
      </c>
      <c r="AX23" s="1">
        <v>1.6500000000000001</v>
      </c>
      <c r="AY23" s="1">
        <v>0</v>
      </c>
      <c r="AZ23" s="1">
        <v>1.6500000000000001</v>
      </c>
      <c r="BA23" s="1">
        <v>0</v>
      </c>
      <c r="BB23" s="1">
        <v>0</v>
      </c>
      <c r="BC23" s="1">
        <v>1.6500000000000001</v>
      </c>
      <c r="BD23" s="1">
        <v>0</v>
      </c>
      <c r="BE23" s="1">
        <v>1.6500000000000001</v>
      </c>
      <c r="BF23" s="1">
        <v>0</v>
      </c>
      <c r="BG23" s="1">
        <v>0</v>
      </c>
      <c r="BH23" s="1">
        <v>1.6500000000000001</v>
      </c>
      <c r="BI23" s="1">
        <v>0</v>
      </c>
      <c r="BJ23" s="1">
        <v>1.6500000000000001</v>
      </c>
      <c r="BK23" s="1">
        <v>0</v>
      </c>
      <c r="BL23" s="1">
        <v>1569.5000000000002</v>
      </c>
      <c r="BM23" s="1">
        <v>0</v>
      </c>
      <c r="BN23" s="1">
        <v>0</v>
      </c>
      <c r="BO23" s="1">
        <v>0</v>
      </c>
      <c r="BP23" s="1" t="str">
        <v>无</v>
      </c>
      <c r="BQ23" s="1" t="str">
        <v>亚兹勒1</v>
      </c>
      <c r="BR23" s="1" t="str">
        <v>蓄力</v>
      </c>
      <c r="BS23" s="1" t="str">
        <v>无</v>
      </c>
      <c r="BT23" s="1">
        <v>1</v>
      </c>
      <c r="BU23" s="1" t="str">
        <v>指头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0</v>
      </c>
      <c r="CC23" s="1">
        <v>2373.0840000000003</v>
      </c>
      <c r="CD23" s="1">
        <v>0</v>
      </c>
      <c r="CE23" s="1">
        <v>0</v>
      </c>
      <c r="CF23" s="1">
        <v>0</v>
      </c>
      <c r="CG23" s="1">
        <v>0</v>
      </c>
      <c r="CH23" s="1" t="str">
        <v/>
      </c>
      <c r="CI23" s="1">
        <v>6</v>
      </c>
      <c r="CJ23" s="1">
        <v>0</v>
      </c>
      <c r="CK23" s="1">
        <v>0</v>
      </c>
      <c r="CL23" s="1">
        <v>24</v>
      </c>
      <c r="CM23" s="1">
        <v>1.03</v>
      </c>
    </row>
    <row r="24" spans="1:91" ht="21" customHeight="1" x14ac:dyDescent="0.3">
      <c r="A24" s="54" t="s">
        <v>28</v>
      </c>
      <c r="B24" s="58" t="s">
        <v>95</v>
      </c>
      <c r="C24" s="55" t="s">
        <v>308</v>
      </c>
      <c r="D24" s="33">
        <v>640</v>
      </c>
      <c r="E24" s="36" t="str">
        <v>魔</v>
      </c>
      <c r="F24" s="33" t="str">
        <v>104</v>
      </c>
      <c r="G24" s="33" t="str">
        <v>冰魔法,蓄力,风暴</v>
      </c>
      <c r="H24" s="61">
        <v>10.18</v>
      </c>
      <c r="I24" s="61">
        <v>10.18</v>
      </c>
      <c r="J24" s="37" t="str">
        <v>8（微小硬直）</v>
      </c>
      <c r="K24" s="31" t="str">
        <v>80冰冻值</v>
      </c>
      <c r="L24" s="1" t="str">
        <v>萨米尔冰风暴-蓄力第一下</v>
      </c>
      <c r="M24" s="1" t="str">
        <v>母亲杖</v>
      </c>
      <c r="N24" s="1" t="str">
        <v>普通石</v>
      </c>
      <c r="O24" s="1">
        <v>25</v>
      </c>
      <c r="P24" s="1">
        <v>1925</v>
      </c>
      <c r="Q24" s="1">
        <v>0</v>
      </c>
      <c r="R24" s="1">
        <v>104</v>
      </c>
      <c r="S24" s="1">
        <v>0</v>
      </c>
      <c r="T24" s="1">
        <v>0</v>
      </c>
      <c r="U24" s="1">
        <v>0</v>
      </c>
      <c r="V24" s="1">
        <v>12</v>
      </c>
      <c r="W24" s="1">
        <v>0</v>
      </c>
      <c r="X24" s="1">
        <v>55</v>
      </c>
      <c r="Y24" s="1">
        <v>0</v>
      </c>
      <c r="Z24" s="1">
        <v>55</v>
      </c>
      <c r="AA24" s="1">
        <v>15</v>
      </c>
      <c r="AB24" s="1">
        <v>15</v>
      </c>
      <c r="AC24" s="1">
        <v>15</v>
      </c>
      <c r="AD24" s="1">
        <v>15</v>
      </c>
      <c r="AE24" s="1">
        <v>15</v>
      </c>
      <c r="AF24" s="1">
        <v>3</v>
      </c>
      <c r="AG24" s="1">
        <v>3</v>
      </c>
      <c r="AH24" s="1">
        <v>3</v>
      </c>
      <c r="AI24" s="1">
        <v>3</v>
      </c>
      <c r="AJ24" s="1">
        <v>3</v>
      </c>
      <c r="AK24" s="1">
        <v>20030</v>
      </c>
      <c r="AL24" s="1">
        <v>0</v>
      </c>
      <c r="AM24" s="1">
        <v>0</v>
      </c>
      <c r="AN24" s="1">
        <v>1.6500000000000001</v>
      </c>
      <c r="AO24" s="1">
        <v>0</v>
      </c>
      <c r="AP24" s="1">
        <v>1.6500000000000001</v>
      </c>
      <c r="AQ24" s="1">
        <v>0</v>
      </c>
      <c r="AR24" s="1">
        <v>0</v>
      </c>
      <c r="AS24" s="1">
        <v>1.6500000000000001</v>
      </c>
      <c r="AT24" s="1">
        <v>0</v>
      </c>
      <c r="AU24" s="1">
        <v>1.6500000000000001</v>
      </c>
      <c r="AV24" s="1">
        <v>0</v>
      </c>
      <c r="AW24" s="1">
        <v>0</v>
      </c>
      <c r="AX24" s="1">
        <v>1.6500000000000001</v>
      </c>
      <c r="AY24" s="1">
        <v>0</v>
      </c>
      <c r="AZ24" s="1">
        <v>1.6500000000000001</v>
      </c>
      <c r="BA24" s="1">
        <v>0</v>
      </c>
      <c r="BB24" s="1">
        <v>0</v>
      </c>
      <c r="BC24" s="1">
        <v>1.6500000000000001</v>
      </c>
      <c r="BD24" s="1">
        <v>0</v>
      </c>
      <c r="BE24" s="1">
        <v>1.6500000000000001</v>
      </c>
      <c r="BF24" s="1">
        <v>0</v>
      </c>
      <c r="BG24" s="1">
        <v>0</v>
      </c>
      <c r="BH24" s="1">
        <v>1.6500000000000001</v>
      </c>
      <c r="BI24" s="1">
        <v>0</v>
      </c>
      <c r="BJ24" s="1">
        <v>1.6500000000000001</v>
      </c>
      <c r="BK24" s="1">
        <v>0</v>
      </c>
      <c r="BL24" s="1">
        <v>447.20000000000005</v>
      </c>
      <c r="BM24" s="1">
        <v>0</v>
      </c>
      <c r="BN24" s="1">
        <v>0</v>
      </c>
      <c r="BO24" s="1">
        <v>0</v>
      </c>
      <c r="BP24" s="1" t="str">
        <v>无</v>
      </c>
      <c r="BQ24" s="1" t="str">
        <v>冰魔法</v>
      </c>
      <c r="BR24" s="1" t="str">
        <v>蓄力</v>
      </c>
      <c r="BS24" s="1" t="str">
        <v>风暴</v>
      </c>
      <c r="BT24" s="1">
        <v>1</v>
      </c>
      <c r="BU24" s="1" t="str">
        <v>指头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0</v>
      </c>
      <c r="CC24" s="1">
        <v>640.59100466273128</v>
      </c>
      <c r="CD24" s="1">
        <v>0</v>
      </c>
      <c r="CE24" s="1">
        <v>0</v>
      </c>
      <c r="CF24" s="1">
        <v>0</v>
      </c>
      <c r="CG24" s="1">
        <v>80</v>
      </c>
      <c r="CH24" s="1" t="str">
        <v>冰冻值</v>
      </c>
      <c r="CI24" s="1">
        <v>6</v>
      </c>
      <c r="CJ24" s="1">
        <v>0</v>
      </c>
      <c r="CK24" s="1">
        <v>0</v>
      </c>
      <c r="CL24" s="1">
        <v>17</v>
      </c>
      <c r="CM24" s="1">
        <v>1.03</v>
      </c>
    </row>
    <row r="25" spans="1:91" ht="21" customHeight="1" x14ac:dyDescent="0.3">
      <c r="A25" s="54" t="s">
        <v>35</v>
      </c>
      <c r="B25" s="58" t="s">
        <v>169</v>
      </c>
      <c r="C25" s="55" t="s">
        <v>540</v>
      </c>
      <c r="D25" s="33">
        <v>2115</v>
      </c>
      <c r="E25" s="36" t="str">
        <v>火</v>
      </c>
      <c r="F25" s="33" t="str">
        <v>236</v>
      </c>
      <c r="G25" s="33" t="str">
        <v/>
      </c>
      <c r="H25" s="61">
        <v>10.18</v>
      </c>
      <c r="I25" s="61">
        <v>10.18</v>
      </c>
      <c r="J25" s="37" t="str">
        <v>2（中硬直）</v>
      </c>
      <c r="K25" s="31" t="str">
        <v>100出血值</v>
      </c>
      <c r="L25" s="1" t="str">
        <v>血焰爪痕</v>
      </c>
      <c r="M25" s="1" t="str">
        <v>龙飨印记</v>
      </c>
      <c r="N25" s="1" t="str">
        <v>失色石</v>
      </c>
      <c r="O25" s="1">
        <v>10</v>
      </c>
      <c r="P25" s="1">
        <v>2410</v>
      </c>
      <c r="Q25" s="1">
        <v>0</v>
      </c>
      <c r="R25" s="1">
        <v>0</v>
      </c>
      <c r="S25" s="1">
        <v>236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30</v>
      </c>
      <c r="Z25" s="1">
        <v>75</v>
      </c>
      <c r="AA25" s="1">
        <v>12</v>
      </c>
      <c r="AB25" s="1">
        <v>12</v>
      </c>
      <c r="AC25" s="1">
        <v>12</v>
      </c>
      <c r="AD25" s="1">
        <v>12</v>
      </c>
      <c r="AE25" s="1">
        <v>12</v>
      </c>
      <c r="AF25" s="1">
        <v>3</v>
      </c>
      <c r="AG25" s="1">
        <v>3</v>
      </c>
      <c r="AH25" s="1">
        <v>3</v>
      </c>
      <c r="AI25" s="1">
        <v>3</v>
      </c>
      <c r="AJ25" s="1">
        <v>3</v>
      </c>
      <c r="AK25" s="1">
        <v>30030</v>
      </c>
      <c r="AL25" s="1">
        <v>0</v>
      </c>
      <c r="AM25" s="1">
        <v>0</v>
      </c>
      <c r="AN25" s="1">
        <v>0</v>
      </c>
      <c r="AO25" s="1">
        <v>0.89999999999999991</v>
      </c>
      <c r="AP25" s="1">
        <v>2.25</v>
      </c>
      <c r="AQ25" s="1">
        <v>0</v>
      </c>
      <c r="AR25" s="1">
        <v>0</v>
      </c>
      <c r="AS25" s="1">
        <v>0</v>
      </c>
      <c r="AT25" s="1">
        <v>0.89999999999999991</v>
      </c>
      <c r="AU25" s="1">
        <v>2.25</v>
      </c>
      <c r="AV25" s="1">
        <v>0</v>
      </c>
      <c r="AW25" s="1">
        <v>0</v>
      </c>
      <c r="AX25" s="1">
        <v>0</v>
      </c>
      <c r="AY25" s="1">
        <v>0.89999999999999991</v>
      </c>
      <c r="AZ25" s="1">
        <v>2.25</v>
      </c>
      <c r="BA25" s="1">
        <v>0</v>
      </c>
      <c r="BB25" s="1">
        <v>0</v>
      </c>
      <c r="BC25" s="1">
        <v>0</v>
      </c>
      <c r="BD25" s="1">
        <v>0.89999999999999991</v>
      </c>
      <c r="BE25" s="1">
        <v>2.25</v>
      </c>
      <c r="BF25" s="1">
        <v>0</v>
      </c>
      <c r="BG25" s="1">
        <v>0</v>
      </c>
      <c r="BH25" s="1">
        <v>0</v>
      </c>
      <c r="BI25" s="1">
        <v>0.89999999999999991</v>
      </c>
      <c r="BJ25" s="1">
        <v>2.25</v>
      </c>
      <c r="BK25" s="1">
        <v>0</v>
      </c>
      <c r="BL25" s="1">
        <v>0</v>
      </c>
      <c r="BM25" s="1">
        <v>979.40000000000009</v>
      </c>
      <c r="BN25" s="1">
        <v>0</v>
      </c>
      <c r="BO25" s="1">
        <v>0</v>
      </c>
      <c r="BP25" s="1" t="str">
        <v>无</v>
      </c>
      <c r="BQ25" s="1" t="str">
        <v>无</v>
      </c>
      <c r="BR25" s="1" t="str">
        <v>无</v>
      </c>
      <c r="BS25" s="1" t="str">
        <v>无</v>
      </c>
      <c r="BT25" s="1">
        <v>1</v>
      </c>
      <c r="BU25" s="1" t="str">
        <v>龙飨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0</v>
      </c>
      <c r="CC25" s="1">
        <v>0</v>
      </c>
      <c r="CD25" s="1">
        <v>2115.5040000000004</v>
      </c>
      <c r="CE25" s="1">
        <v>0</v>
      </c>
      <c r="CF25" s="1">
        <v>0</v>
      </c>
      <c r="CG25" s="1">
        <v>0</v>
      </c>
      <c r="CH25" s="1" t="str">
        <v/>
      </c>
      <c r="CI25" s="1">
        <v>11</v>
      </c>
      <c r="CJ25" s="1">
        <v>0</v>
      </c>
      <c r="CK25" s="1">
        <v>100</v>
      </c>
      <c r="CL25" s="1">
        <v>12</v>
      </c>
      <c r="CM25" s="1">
        <v>1</v>
      </c>
    </row>
    <row r="26" spans="1:91" ht="21" customHeight="1" x14ac:dyDescent="0.3">
      <c r="A26" s="54" t="s">
        <v>35</v>
      </c>
      <c r="B26" s="58" t="s">
        <v>606</v>
      </c>
      <c r="C26" s="55" t="s">
        <v>540</v>
      </c>
      <c r="D26" s="33">
        <v>5226</v>
      </c>
      <c r="E26" s="36" t="str">
        <v>普通+火+雷</v>
      </c>
      <c r="F26" s="33" t="str">
        <v>280+220+280</v>
      </c>
      <c r="G26" s="33" t="str">
        <v>龙飨</v>
      </c>
      <c r="H26" s="61">
        <v>30</v>
      </c>
      <c r="I26" s="61">
        <v>30</v>
      </c>
      <c r="J26" s="37" t="str">
        <v>4（大击退）</v>
      </c>
      <c r="K26" s="31" t="str">
        <v>无</v>
      </c>
      <c r="L26" s="1" t="str">
        <v>贝勒的焰雷</v>
      </c>
      <c r="M26" s="1" t="str">
        <v>龙飨印记</v>
      </c>
      <c r="N26" s="1" t="str">
        <v>失色石</v>
      </c>
      <c r="O26" s="1">
        <v>10</v>
      </c>
      <c r="P26" s="1">
        <v>2410</v>
      </c>
      <c r="Q26" s="1">
        <v>280</v>
      </c>
      <c r="R26" s="1">
        <v>0</v>
      </c>
      <c r="S26" s="1">
        <v>220</v>
      </c>
      <c r="T26" s="1">
        <v>280</v>
      </c>
      <c r="U26" s="1">
        <v>0</v>
      </c>
      <c r="V26" s="1">
        <v>0</v>
      </c>
      <c r="W26" s="1">
        <v>0</v>
      </c>
      <c r="X26" s="1">
        <v>0</v>
      </c>
      <c r="Y26" s="1">
        <v>30</v>
      </c>
      <c r="Z26" s="1">
        <v>75</v>
      </c>
      <c r="AA26" s="1">
        <v>12</v>
      </c>
      <c r="AB26" s="1">
        <v>12</v>
      </c>
      <c r="AC26" s="1">
        <v>12</v>
      </c>
      <c r="AD26" s="1">
        <v>12</v>
      </c>
      <c r="AE26" s="1">
        <v>12</v>
      </c>
      <c r="AF26" s="1">
        <v>3</v>
      </c>
      <c r="AG26" s="1">
        <v>3</v>
      </c>
      <c r="AH26" s="1">
        <v>3</v>
      </c>
      <c r="AI26" s="1">
        <v>3</v>
      </c>
      <c r="AJ26" s="1">
        <v>3</v>
      </c>
      <c r="AK26" s="1">
        <v>30030</v>
      </c>
      <c r="AL26" s="1">
        <v>0</v>
      </c>
      <c r="AM26" s="1">
        <v>0</v>
      </c>
      <c r="AN26" s="1">
        <v>0</v>
      </c>
      <c r="AO26" s="1">
        <v>0.89999999999999991</v>
      </c>
      <c r="AP26" s="1">
        <v>2.25</v>
      </c>
      <c r="AQ26" s="1">
        <v>0</v>
      </c>
      <c r="AR26" s="1">
        <v>0</v>
      </c>
      <c r="AS26" s="1">
        <v>0</v>
      </c>
      <c r="AT26" s="1">
        <v>0.89999999999999991</v>
      </c>
      <c r="AU26" s="1">
        <v>2.25</v>
      </c>
      <c r="AV26" s="1">
        <v>0</v>
      </c>
      <c r="AW26" s="1">
        <v>0</v>
      </c>
      <c r="AX26" s="1">
        <v>0</v>
      </c>
      <c r="AY26" s="1">
        <v>0.89999999999999991</v>
      </c>
      <c r="AZ26" s="1">
        <v>2.25</v>
      </c>
      <c r="BA26" s="1">
        <v>0</v>
      </c>
      <c r="BB26" s="1">
        <v>0</v>
      </c>
      <c r="BC26" s="1">
        <v>0</v>
      </c>
      <c r="BD26" s="1">
        <v>0.89999999999999991</v>
      </c>
      <c r="BE26" s="1">
        <v>2.25</v>
      </c>
      <c r="BF26" s="1">
        <v>0</v>
      </c>
      <c r="BG26" s="1">
        <v>0</v>
      </c>
      <c r="BH26" s="1">
        <v>0</v>
      </c>
      <c r="BI26" s="1">
        <v>0.89999999999999991</v>
      </c>
      <c r="BJ26" s="1">
        <v>2.25</v>
      </c>
      <c r="BK26" s="1">
        <v>1162</v>
      </c>
      <c r="BL26" s="1">
        <v>0</v>
      </c>
      <c r="BM26" s="1">
        <v>913.00000000000011</v>
      </c>
      <c r="BN26" s="1">
        <v>1162</v>
      </c>
      <c r="BO26" s="1">
        <v>0</v>
      </c>
      <c r="BP26" s="1" t="str">
        <v>普通</v>
      </c>
      <c r="BQ26" s="1" t="str">
        <v>龙飨</v>
      </c>
      <c r="BR26" s="1" t="str">
        <v>无</v>
      </c>
      <c r="BS26" s="1" t="str">
        <v>无</v>
      </c>
      <c r="BT26" s="1">
        <v>1.1499999999999999</v>
      </c>
      <c r="BU26" s="1" t="str">
        <v>龙飨</v>
      </c>
      <c r="BV26" s="1">
        <v>1.1499999999999999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938.08259999999996</v>
      </c>
      <c r="CC26" s="1">
        <v>0</v>
      </c>
      <c r="CD26" s="1">
        <v>2267.8920000000003</v>
      </c>
      <c r="CE26" s="1">
        <v>2020.4855999999997</v>
      </c>
      <c r="CF26" s="1">
        <v>0</v>
      </c>
      <c r="CG26" s="1">
        <v>0</v>
      </c>
      <c r="CH26" s="1" t="str">
        <v/>
      </c>
      <c r="CI26" s="1">
        <v>11</v>
      </c>
      <c r="CJ26" s="1">
        <v>0</v>
      </c>
      <c r="CK26" s="1">
        <v>0</v>
      </c>
      <c r="CL26" s="1">
        <v>43</v>
      </c>
      <c r="CM26" s="1">
        <v>1</v>
      </c>
    </row>
    <row r="27" spans="1:91" ht="21" customHeight="1" x14ac:dyDescent="0.3">
      <c r="A27" s="54" t="s">
        <v>35</v>
      </c>
      <c r="B27" s="58" t="s">
        <v>220</v>
      </c>
      <c r="C27" s="55" t="s">
        <v>540</v>
      </c>
      <c r="D27" s="33">
        <v>1072</v>
      </c>
      <c r="E27" s="36" t="str">
        <v>普通</v>
      </c>
      <c r="F27" s="33" t="str">
        <v>320</v>
      </c>
      <c r="G27" s="33" t="str">
        <v>龙飨,吐息</v>
      </c>
      <c r="H27" s="61">
        <v>16.11</v>
      </c>
      <c r="I27" s="61">
        <v>16.11</v>
      </c>
      <c r="J27" s="37" t="str">
        <v>7（击退）</v>
      </c>
      <c r="K27" s="31" t="str">
        <v>无</v>
      </c>
      <c r="L27" s="1" t="str">
        <v>桂奥尔的咆哮</v>
      </c>
      <c r="M27" s="1" t="str">
        <v>龙飨印记</v>
      </c>
      <c r="N27" s="1" t="str">
        <v>失色石</v>
      </c>
      <c r="O27" s="1">
        <v>10</v>
      </c>
      <c r="P27" s="1">
        <v>2410</v>
      </c>
      <c r="Q27" s="1">
        <v>320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30</v>
      </c>
      <c r="Z27" s="1">
        <v>75</v>
      </c>
      <c r="AA27" s="1">
        <v>12</v>
      </c>
      <c r="AB27" s="1">
        <v>12</v>
      </c>
      <c r="AC27" s="1">
        <v>12</v>
      </c>
      <c r="AD27" s="1">
        <v>12</v>
      </c>
      <c r="AE27" s="1">
        <v>12</v>
      </c>
      <c r="AF27" s="1">
        <v>3</v>
      </c>
      <c r="AG27" s="1">
        <v>3</v>
      </c>
      <c r="AH27" s="1">
        <v>3</v>
      </c>
      <c r="AI27" s="1">
        <v>3</v>
      </c>
      <c r="AJ27" s="1">
        <v>3</v>
      </c>
      <c r="AK27" s="1">
        <v>30030</v>
      </c>
      <c r="AL27" s="1">
        <v>0</v>
      </c>
      <c r="AM27" s="1">
        <v>0</v>
      </c>
      <c r="AN27" s="1">
        <v>0</v>
      </c>
      <c r="AO27" s="1">
        <v>0.89999999999999991</v>
      </c>
      <c r="AP27" s="1">
        <v>2.25</v>
      </c>
      <c r="AQ27" s="1">
        <v>0</v>
      </c>
      <c r="AR27" s="1">
        <v>0</v>
      </c>
      <c r="AS27" s="1">
        <v>0</v>
      </c>
      <c r="AT27" s="1">
        <v>0.89999999999999991</v>
      </c>
      <c r="AU27" s="1">
        <v>2.25</v>
      </c>
      <c r="AV27" s="1">
        <v>0</v>
      </c>
      <c r="AW27" s="1">
        <v>0</v>
      </c>
      <c r="AX27" s="1">
        <v>0</v>
      </c>
      <c r="AY27" s="1">
        <v>0.89999999999999991</v>
      </c>
      <c r="AZ27" s="1">
        <v>2.25</v>
      </c>
      <c r="BA27" s="1">
        <v>0</v>
      </c>
      <c r="BB27" s="1">
        <v>0</v>
      </c>
      <c r="BC27" s="1">
        <v>0</v>
      </c>
      <c r="BD27" s="1">
        <v>0.89999999999999991</v>
      </c>
      <c r="BE27" s="1">
        <v>2.25</v>
      </c>
      <c r="BF27" s="1">
        <v>0</v>
      </c>
      <c r="BG27" s="1">
        <v>0</v>
      </c>
      <c r="BH27" s="1">
        <v>0</v>
      </c>
      <c r="BI27" s="1">
        <v>0.89999999999999991</v>
      </c>
      <c r="BJ27" s="1">
        <v>2.25</v>
      </c>
      <c r="BK27" s="1">
        <v>1328</v>
      </c>
      <c r="BL27" s="1">
        <v>0</v>
      </c>
      <c r="BM27" s="1">
        <v>0</v>
      </c>
      <c r="BN27" s="1">
        <v>0</v>
      </c>
      <c r="BO27" s="1">
        <v>0</v>
      </c>
      <c r="BP27" s="1" t="str">
        <v>普通</v>
      </c>
      <c r="BQ27" s="1" t="str">
        <v>龙飨</v>
      </c>
      <c r="BR27" s="1" t="str">
        <v>吐息</v>
      </c>
      <c r="BS27" s="1" t="str">
        <v>无</v>
      </c>
      <c r="BT27" s="1">
        <v>1.1499999999999999</v>
      </c>
      <c r="BU27" s="1" t="str">
        <v>龙飨</v>
      </c>
      <c r="BV27" s="1">
        <v>1.1499999999999999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1072.0944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 t="str">
        <v/>
      </c>
      <c r="CI27" s="1">
        <v>11</v>
      </c>
      <c r="CJ27" s="1">
        <v>0</v>
      </c>
      <c r="CK27" s="1">
        <v>0</v>
      </c>
      <c r="CL27" s="1">
        <v>50</v>
      </c>
      <c r="CM27" s="1">
        <v>1</v>
      </c>
    </row>
    <row r="28" spans="1:91" ht="21" customHeight="1" x14ac:dyDescent="0.3">
      <c r="A28" s="54" t="s">
        <v>35</v>
      </c>
      <c r="B28" s="58" t="s">
        <v>227</v>
      </c>
      <c r="C28" s="55" t="s">
        <v>540</v>
      </c>
      <c r="D28" s="33">
        <v>907</v>
      </c>
      <c r="E28" s="36" t="str">
        <v>火</v>
      </c>
      <c r="F28" s="33" t="str">
        <v>107</v>
      </c>
      <c r="G28" s="33" t="str">
        <v>癫火</v>
      </c>
      <c r="H28" s="61">
        <v>5</v>
      </c>
      <c r="I28" s="61">
        <v>5</v>
      </c>
      <c r="J28" s="37" t="str">
        <v>2（中硬直）</v>
      </c>
      <c r="K28" s="31" t="str">
        <v>30发狂值</v>
      </c>
      <c r="L28" s="1" t="str">
        <v>癫火</v>
      </c>
      <c r="M28" s="1" t="str">
        <v>龙飨印记</v>
      </c>
      <c r="N28" s="1" t="str">
        <v>失色石</v>
      </c>
      <c r="O28" s="1">
        <v>10</v>
      </c>
      <c r="P28" s="1">
        <v>2410</v>
      </c>
      <c r="Q28" s="1">
        <v>0</v>
      </c>
      <c r="R28" s="1">
        <v>0</v>
      </c>
      <c r="S28" s="1">
        <v>107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30</v>
      </c>
      <c r="Z28" s="1">
        <v>75</v>
      </c>
      <c r="AA28" s="1">
        <v>12</v>
      </c>
      <c r="AB28" s="1">
        <v>12</v>
      </c>
      <c r="AC28" s="1">
        <v>12</v>
      </c>
      <c r="AD28" s="1">
        <v>12</v>
      </c>
      <c r="AE28" s="1">
        <v>12</v>
      </c>
      <c r="AF28" s="1">
        <v>3</v>
      </c>
      <c r="AG28" s="1">
        <v>3</v>
      </c>
      <c r="AH28" s="1">
        <v>3</v>
      </c>
      <c r="AI28" s="1">
        <v>3</v>
      </c>
      <c r="AJ28" s="1">
        <v>3</v>
      </c>
      <c r="AK28" s="1">
        <v>30030</v>
      </c>
      <c r="AL28" s="1">
        <v>0</v>
      </c>
      <c r="AM28" s="1">
        <v>0</v>
      </c>
      <c r="AN28" s="1">
        <v>0</v>
      </c>
      <c r="AO28" s="1">
        <v>0.89999999999999991</v>
      </c>
      <c r="AP28" s="1">
        <v>2.25</v>
      </c>
      <c r="AQ28" s="1">
        <v>0</v>
      </c>
      <c r="AR28" s="1">
        <v>0</v>
      </c>
      <c r="AS28" s="1">
        <v>0</v>
      </c>
      <c r="AT28" s="1">
        <v>0.89999999999999991</v>
      </c>
      <c r="AU28" s="1">
        <v>2.25</v>
      </c>
      <c r="AV28" s="1">
        <v>0</v>
      </c>
      <c r="AW28" s="1">
        <v>0</v>
      </c>
      <c r="AX28" s="1">
        <v>0</v>
      </c>
      <c r="AY28" s="1">
        <v>0.89999999999999991</v>
      </c>
      <c r="AZ28" s="1">
        <v>2.25</v>
      </c>
      <c r="BA28" s="1">
        <v>0</v>
      </c>
      <c r="BB28" s="1">
        <v>0</v>
      </c>
      <c r="BC28" s="1">
        <v>0</v>
      </c>
      <c r="BD28" s="1">
        <v>0.89999999999999991</v>
      </c>
      <c r="BE28" s="1">
        <v>2.25</v>
      </c>
      <c r="BF28" s="1">
        <v>0</v>
      </c>
      <c r="BG28" s="1">
        <v>0</v>
      </c>
      <c r="BH28" s="1">
        <v>0</v>
      </c>
      <c r="BI28" s="1">
        <v>0.89999999999999991</v>
      </c>
      <c r="BJ28" s="1">
        <v>2.25</v>
      </c>
      <c r="BK28" s="1">
        <v>0</v>
      </c>
      <c r="BL28" s="1">
        <v>0</v>
      </c>
      <c r="BM28" s="1">
        <v>444.05</v>
      </c>
      <c r="BN28" s="1">
        <v>0</v>
      </c>
      <c r="BO28" s="1">
        <v>0</v>
      </c>
      <c r="BP28" s="1" t="str">
        <v>无</v>
      </c>
      <c r="BQ28" s="1" t="str">
        <v>癫火</v>
      </c>
      <c r="BR28" s="1" t="str">
        <v>无</v>
      </c>
      <c r="BS28" s="1" t="str">
        <v>无</v>
      </c>
      <c r="BT28" s="1">
        <v>1</v>
      </c>
      <c r="BU28" s="1" t="str">
        <v>龙飨</v>
      </c>
      <c r="BV28" s="1">
        <v>1</v>
      </c>
      <c r="BW28" s="1">
        <v>1</v>
      </c>
      <c r="BX28" s="1">
        <v>1</v>
      </c>
      <c r="BY28" s="1">
        <v>1</v>
      </c>
      <c r="BZ28" s="1">
        <v>1</v>
      </c>
      <c r="CA28" s="1">
        <v>1</v>
      </c>
      <c r="CB28" s="1">
        <v>0</v>
      </c>
      <c r="CC28" s="1">
        <v>0</v>
      </c>
      <c r="CD28" s="1">
        <v>907.25983005537751</v>
      </c>
      <c r="CE28" s="1">
        <v>0</v>
      </c>
      <c r="CF28" s="1">
        <v>0</v>
      </c>
      <c r="CG28" s="1">
        <v>21</v>
      </c>
      <c r="CH28" s="1" t="str">
        <v>发狂值</v>
      </c>
      <c r="CI28" s="1">
        <v>11</v>
      </c>
      <c r="CJ28" s="1">
        <v>1</v>
      </c>
      <c r="CK28" s="1">
        <v>0</v>
      </c>
      <c r="CL28" s="1">
        <v>16</v>
      </c>
      <c r="CM28" s="1">
        <v>1</v>
      </c>
    </row>
    <row r="29" spans="1:91" ht="21" customHeight="1" x14ac:dyDescent="0.3">
      <c r="A29" s="54" t="s">
        <v>35</v>
      </c>
      <c r="B29" s="58" t="s">
        <v>41</v>
      </c>
      <c r="C29" s="55" t="s">
        <v>540</v>
      </c>
      <c r="D29" s="33">
        <v>3451</v>
      </c>
      <c r="E29" s="36" t="str">
        <v>火</v>
      </c>
      <c r="F29" s="33" t="str">
        <v>385</v>
      </c>
      <c r="G29" s="33" t="str">
        <v>巨人,蓄力</v>
      </c>
      <c r="H29" s="61">
        <v>14.4</v>
      </c>
      <c r="I29" s="61">
        <v>14.4</v>
      </c>
      <c r="J29" s="37" t="str">
        <v>3（大硬直）</v>
      </c>
      <c r="K29" s="31" t="str">
        <v>无</v>
      </c>
      <c r="L29" s="1" t="str">
        <v>火焰啊！-蓄力</v>
      </c>
      <c r="M29" s="1" t="str">
        <v>龙飨印记</v>
      </c>
      <c r="N29" s="1" t="str">
        <v>失色石</v>
      </c>
      <c r="O29" s="1">
        <v>10</v>
      </c>
      <c r="P29" s="1">
        <v>2410</v>
      </c>
      <c r="Q29" s="1">
        <v>0</v>
      </c>
      <c r="R29" s="1">
        <v>0</v>
      </c>
      <c r="S29" s="1">
        <v>385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30</v>
      </c>
      <c r="Z29" s="1">
        <v>75</v>
      </c>
      <c r="AA29" s="1">
        <v>12</v>
      </c>
      <c r="AB29" s="1">
        <v>12</v>
      </c>
      <c r="AC29" s="1">
        <v>12</v>
      </c>
      <c r="AD29" s="1">
        <v>12</v>
      </c>
      <c r="AE29" s="1">
        <v>12</v>
      </c>
      <c r="AF29" s="1">
        <v>3</v>
      </c>
      <c r="AG29" s="1">
        <v>3</v>
      </c>
      <c r="AH29" s="1">
        <v>3</v>
      </c>
      <c r="AI29" s="1">
        <v>3</v>
      </c>
      <c r="AJ29" s="1">
        <v>3</v>
      </c>
      <c r="AK29" s="1">
        <v>30030</v>
      </c>
      <c r="AL29" s="1">
        <v>0</v>
      </c>
      <c r="AM29" s="1">
        <v>0</v>
      </c>
      <c r="AN29" s="1">
        <v>0</v>
      </c>
      <c r="AO29" s="1">
        <v>0.89999999999999991</v>
      </c>
      <c r="AP29" s="1">
        <v>2.25</v>
      </c>
      <c r="AQ29" s="1">
        <v>0</v>
      </c>
      <c r="AR29" s="1">
        <v>0</v>
      </c>
      <c r="AS29" s="1">
        <v>0</v>
      </c>
      <c r="AT29" s="1">
        <v>0.89999999999999991</v>
      </c>
      <c r="AU29" s="1">
        <v>2.25</v>
      </c>
      <c r="AV29" s="1">
        <v>0</v>
      </c>
      <c r="AW29" s="1">
        <v>0</v>
      </c>
      <c r="AX29" s="1">
        <v>0</v>
      </c>
      <c r="AY29" s="1">
        <v>0.89999999999999991</v>
      </c>
      <c r="AZ29" s="1">
        <v>2.25</v>
      </c>
      <c r="BA29" s="1">
        <v>0</v>
      </c>
      <c r="BB29" s="1">
        <v>0</v>
      </c>
      <c r="BC29" s="1">
        <v>0</v>
      </c>
      <c r="BD29" s="1">
        <v>0.89999999999999991</v>
      </c>
      <c r="BE29" s="1">
        <v>2.25</v>
      </c>
      <c r="BF29" s="1">
        <v>0</v>
      </c>
      <c r="BG29" s="1">
        <v>0</v>
      </c>
      <c r="BH29" s="1">
        <v>0</v>
      </c>
      <c r="BI29" s="1">
        <v>0.89999999999999991</v>
      </c>
      <c r="BJ29" s="1">
        <v>2.25</v>
      </c>
      <c r="BK29" s="1">
        <v>0</v>
      </c>
      <c r="BL29" s="1">
        <v>0</v>
      </c>
      <c r="BM29" s="1">
        <v>1597.7500000000002</v>
      </c>
      <c r="BN29" s="1">
        <v>0</v>
      </c>
      <c r="BO29" s="1">
        <v>0</v>
      </c>
      <c r="BP29" s="1" t="str">
        <v>无</v>
      </c>
      <c r="BQ29" s="1" t="str">
        <v>巨人</v>
      </c>
      <c r="BR29" s="1" t="str">
        <v>蓄力</v>
      </c>
      <c r="BS29" s="1" t="str">
        <v>无</v>
      </c>
      <c r="BT29" s="1">
        <v>1</v>
      </c>
      <c r="BU29" s="1" t="str">
        <v>龙飨</v>
      </c>
      <c r="BV29" s="1">
        <v>1</v>
      </c>
      <c r="BW29" s="1">
        <v>1</v>
      </c>
      <c r="BX29" s="1">
        <v>1</v>
      </c>
      <c r="BY29" s="1">
        <v>1</v>
      </c>
      <c r="BZ29" s="1">
        <v>1</v>
      </c>
      <c r="CA29" s="1">
        <v>1</v>
      </c>
      <c r="CB29" s="1">
        <v>0</v>
      </c>
      <c r="CC29" s="1">
        <v>0</v>
      </c>
      <c r="CD29" s="1">
        <v>3451.1400000000003</v>
      </c>
      <c r="CE29" s="1">
        <v>0</v>
      </c>
      <c r="CF29" s="1">
        <v>0</v>
      </c>
      <c r="CG29" s="1">
        <v>0</v>
      </c>
      <c r="CH29" s="1" t="str">
        <v/>
      </c>
      <c r="CI29" s="1">
        <v>11</v>
      </c>
      <c r="CJ29" s="1">
        <v>0</v>
      </c>
      <c r="CK29" s="1">
        <v>0</v>
      </c>
      <c r="CL29" s="1">
        <v>16</v>
      </c>
      <c r="CM29" s="1">
        <v>1</v>
      </c>
    </row>
    <row r="30" spans="1:91" ht="21" customHeight="1" x14ac:dyDescent="0.3">
      <c r="A30" s="54" t="s">
        <v>35</v>
      </c>
      <c r="B30" s="58" t="s">
        <v>219</v>
      </c>
      <c r="C30" s="55" t="s">
        <v>540</v>
      </c>
      <c r="D30" s="33">
        <v>2103</v>
      </c>
      <c r="E30" s="36" t="str">
        <v>普通</v>
      </c>
      <c r="F30" s="33" t="str">
        <v>628</v>
      </c>
      <c r="G30" s="33" t="str">
        <v>龙飨</v>
      </c>
      <c r="H30" s="61">
        <v>45</v>
      </c>
      <c r="I30" s="61">
        <v>45</v>
      </c>
      <c r="J30" s="37" t="str">
        <v>7（击退）</v>
      </c>
      <c r="K30" s="31" t="str">
        <v>无</v>
      </c>
      <c r="L30" s="1" t="str">
        <v>龙咬</v>
      </c>
      <c r="M30" s="1" t="str">
        <v>龙飨印记</v>
      </c>
      <c r="N30" s="1" t="str">
        <v>失色石</v>
      </c>
      <c r="O30" s="1">
        <v>10</v>
      </c>
      <c r="P30" s="1">
        <v>2410</v>
      </c>
      <c r="Q30" s="1">
        <v>628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30</v>
      </c>
      <c r="Z30" s="1">
        <v>75</v>
      </c>
      <c r="AA30" s="1">
        <v>12</v>
      </c>
      <c r="AB30" s="1">
        <v>12</v>
      </c>
      <c r="AC30" s="1">
        <v>12</v>
      </c>
      <c r="AD30" s="1">
        <v>12</v>
      </c>
      <c r="AE30" s="1">
        <v>12</v>
      </c>
      <c r="AF30" s="1">
        <v>3</v>
      </c>
      <c r="AG30" s="1">
        <v>3</v>
      </c>
      <c r="AH30" s="1">
        <v>3</v>
      </c>
      <c r="AI30" s="1">
        <v>3</v>
      </c>
      <c r="AJ30" s="1">
        <v>3</v>
      </c>
      <c r="AK30" s="1">
        <v>30030</v>
      </c>
      <c r="AL30" s="1">
        <v>0</v>
      </c>
      <c r="AM30" s="1">
        <v>0</v>
      </c>
      <c r="AN30" s="1">
        <v>0</v>
      </c>
      <c r="AO30" s="1">
        <v>0.89999999999999991</v>
      </c>
      <c r="AP30" s="1">
        <v>2.25</v>
      </c>
      <c r="AQ30" s="1">
        <v>0</v>
      </c>
      <c r="AR30" s="1">
        <v>0</v>
      </c>
      <c r="AS30" s="1">
        <v>0</v>
      </c>
      <c r="AT30" s="1">
        <v>0.89999999999999991</v>
      </c>
      <c r="AU30" s="1">
        <v>2.25</v>
      </c>
      <c r="AV30" s="1">
        <v>0</v>
      </c>
      <c r="AW30" s="1">
        <v>0</v>
      </c>
      <c r="AX30" s="1">
        <v>0</v>
      </c>
      <c r="AY30" s="1">
        <v>0.89999999999999991</v>
      </c>
      <c r="AZ30" s="1">
        <v>2.25</v>
      </c>
      <c r="BA30" s="1">
        <v>0</v>
      </c>
      <c r="BB30" s="1">
        <v>0</v>
      </c>
      <c r="BC30" s="1">
        <v>0</v>
      </c>
      <c r="BD30" s="1">
        <v>0.89999999999999991</v>
      </c>
      <c r="BE30" s="1">
        <v>2.25</v>
      </c>
      <c r="BF30" s="1">
        <v>0</v>
      </c>
      <c r="BG30" s="1">
        <v>0</v>
      </c>
      <c r="BH30" s="1">
        <v>0</v>
      </c>
      <c r="BI30" s="1">
        <v>0.89999999999999991</v>
      </c>
      <c r="BJ30" s="1">
        <v>2.25</v>
      </c>
      <c r="BK30" s="1">
        <v>2606.2000000000003</v>
      </c>
      <c r="BL30" s="1">
        <v>0</v>
      </c>
      <c r="BM30" s="1">
        <v>0</v>
      </c>
      <c r="BN30" s="1">
        <v>0</v>
      </c>
      <c r="BO30" s="1">
        <v>0</v>
      </c>
      <c r="BP30" s="1" t="str">
        <v>普通</v>
      </c>
      <c r="BQ30" s="1" t="str">
        <v>龙飨</v>
      </c>
      <c r="BR30" s="1" t="str">
        <v>无</v>
      </c>
      <c r="BS30" s="1" t="str">
        <v>无</v>
      </c>
      <c r="BT30" s="1">
        <v>1.1499999999999999</v>
      </c>
      <c r="BU30" s="1" t="str">
        <v>龙飨</v>
      </c>
      <c r="BV30" s="1">
        <v>1.1499999999999999</v>
      </c>
      <c r="BW30" s="1">
        <v>1</v>
      </c>
      <c r="BX30" s="1">
        <v>1</v>
      </c>
      <c r="BY30" s="1">
        <v>1</v>
      </c>
      <c r="BZ30" s="1">
        <v>1</v>
      </c>
      <c r="CA30" s="1">
        <v>1</v>
      </c>
      <c r="CB30" s="1">
        <v>2103.9852600000004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 t="str">
        <v/>
      </c>
      <c r="CI30" s="1">
        <v>11</v>
      </c>
      <c r="CJ30" s="1">
        <v>0</v>
      </c>
      <c r="CK30" s="1">
        <v>0</v>
      </c>
      <c r="CL30" s="1">
        <v>34</v>
      </c>
      <c r="CM30" s="1">
        <v>1</v>
      </c>
    </row>
    <row r="31" spans="1:91" ht="21" customHeight="1" x14ac:dyDescent="0.3">
      <c r="A31" s="54" t="s">
        <v>35</v>
      </c>
      <c r="B31" s="58" t="s">
        <v>192</v>
      </c>
      <c r="C31" s="55" t="s">
        <v>540</v>
      </c>
      <c r="D31" s="33">
        <v>1989</v>
      </c>
      <c r="E31" s="36" t="str">
        <v>雷</v>
      </c>
      <c r="F31" s="33" t="str">
        <v>317</v>
      </c>
      <c r="G31" s="33" t="str">
        <v>古龙</v>
      </c>
      <c r="H31" s="61">
        <v>5</v>
      </c>
      <c r="I31" s="61">
        <v>5</v>
      </c>
      <c r="J31" s="37" t="str">
        <v>1（小硬直）</v>
      </c>
      <c r="K31" s="31" t="str">
        <v>无</v>
      </c>
      <c r="L31" s="1" t="str">
        <v>古龙雷击</v>
      </c>
      <c r="M31" s="1" t="str">
        <v>龙飨印记</v>
      </c>
      <c r="N31" s="1" t="str">
        <v>失色石</v>
      </c>
      <c r="O31" s="1">
        <v>10</v>
      </c>
      <c r="P31" s="1">
        <v>2410</v>
      </c>
      <c r="Q31" s="1">
        <v>0</v>
      </c>
      <c r="R31" s="1">
        <v>0</v>
      </c>
      <c r="S31" s="1">
        <v>0</v>
      </c>
      <c r="T31" s="1">
        <v>317</v>
      </c>
      <c r="U31" s="1">
        <v>0</v>
      </c>
      <c r="V31" s="1">
        <v>0</v>
      </c>
      <c r="W31" s="1">
        <v>0</v>
      </c>
      <c r="X31" s="1">
        <v>0</v>
      </c>
      <c r="Y31" s="1">
        <v>30</v>
      </c>
      <c r="Z31" s="1">
        <v>75</v>
      </c>
      <c r="AA31" s="1">
        <v>12</v>
      </c>
      <c r="AB31" s="1">
        <v>12</v>
      </c>
      <c r="AC31" s="1">
        <v>12</v>
      </c>
      <c r="AD31" s="1">
        <v>12</v>
      </c>
      <c r="AE31" s="1">
        <v>12</v>
      </c>
      <c r="AF31" s="1">
        <v>3</v>
      </c>
      <c r="AG31" s="1">
        <v>3</v>
      </c>
      <c r="AH31" s="1">
        <v>3</v>
      </c>
      <c r="AI31" s="1">
        <v>3</v>
      </c>
      <c r="AJ31" s="1">
        <v>3</v>
      </c>
      <c r="AK31" s="1">
        <v>30030</v>
      </c>
      <c r="AL31" s="1">
        <v>0</v>
      </c>
      <c r="AM31" s="1">
        <v>0</v>
      </c>
      <c r="AN31" s="1">
        <v>0</v>
      </c>
      <c r="AO31" s="1">
        <v>0.89999999999999991</v>
      </c>
      <c r="AP31" s="1">
        <v>2.25</v>
      </c>
      <c r="AQ31" s="1">
        <v>0</v>
      </c>
      <c r="AR31" s="1">
        <v>0</v>
      </c>
      <c r="AS31" s="1">
        <v>0</v>
      </c>
      <c r="AT31" s="1">
        <v>0.89999999999999991</v>
      </c>
      <c r="AU31" s="1">
        <v>2.25</v>
      </c>
      <c r="AV31" s="1">
        <v>0</v>
      </c>
      <c r="AW31" s="1">
        <v>0</v>
      </c>
      <c r="AX31" s="1">
        <v>0</v>
      </c>
      <c r="AY31" s="1">
        <v>0.89999999999999991</v>
      </c>
      <c r="AZ31" s="1">
        <v>2.25</v>
      </c>
      <c r="BA31" s="1">
        <v>0</v>
      </c>
      <c r="BB31" s="1">
        <v>0</v>
      </c>
      <c r="BC31" s="1">
        <v>0</v>
      </c>
      <c r="BD31" s="1">
        <v>0.89999999999999991</v>
      </c>
      <c r="BE31" s="1">
        <v>2.25</v>
      </c>
      <c r="BF31" s="1">
        <v>0</v>
      </c>
      <c r="BG31" s="1">
        <v>0</v>
      </c>
      <c r="BH31" s="1">
        <v>0</v>
      </c>
      <c r="BI31" s="1">
        <v>0.89999999999999991</v>
      </c>
      <c r="BJ31" s="1">
        <v>2.25</v>
      </c>
      <c r="BK31" s="1">
        <v>0</v>
      </c>
      <c r="BL31" s="1">
        <v>0</v>
      </c>
      <c r="BM31" s="1">
        <v>0</v>
      </c>
      <c r="BN31" s="1">
        <v>1315.5500000000002</v>
      </c>
      <c r="BO31" s="1">
        <v>0</v>
      </c>
      <c r="BP31" s="1" t="str">
        <v>无</v>
      </c>
      <c r="BQ31" s="1" t="str">
        <v>古龙</v>
      </c>
      <c r="BR31" s="1" t="str">
        <v>无</v>
      </c>
      <c r="BS31" s="1" t="str">
        <v>无</v>
      </c>
      <c r="BT31" s="1">
        <v>1</v>
      </c>
      <c r="BU31" s="1" t="str">
        <v>龙飨</v>
      </c>
      <c r="BV31" s="1">
        <v>1</v>
      </c>
      <c r="BW31" s="1">
        <v>1</v>
      </c>
      <c r="BX31" s="1">
        <v>1</v>
      </c>
      <c r="BY31" s="1">
        <v>1</v>
      </c>
      <c r="BZ31" s="1">
        <v>1</v>
      </c>
      <c r="CA31" s="1">
        <v>1</v>
      </c>
      <c r="CB31" s="1">
        <v>0</v>
      </c>
      <c r="CC31" s="1">
        <v>0</v>
      </c>
      <c r="CD31" s="1">
        <v>0</v>
      </c>
      <c r="CE31" s="1">
        <v>1989.1116000000002</v>
      </c>
      <c r="CF31" s="1">
        <v>0</v>
      </c>
      <c r="CG31" s="1">
        <v>0</v>
      </c>
      <c r="CH31" s="1" t="str">
        <v/>
      </c>
      <c r="CI31" s="1">
        <v>11</v>
      </c>
      <c r="CJ31" s="1">
        <v>0</v>
      </c>
      <c r="CK31" s="1">
        <v>0</v>
      </c>
      <c r="CL31" s="1">
        <v>36</v>
      </c>
      <c r="CM31" s="1">
        <v>1</v>
      </c>
    </row>
    <row r="32" spans="1:91" ht="21" customHeight="1" x14ac:dyDescent="0.3">
      <c r="A32" s="54" t="s">
        <v>35</v>
      </c>
      <c r="B32" s="58" t="s">
        <v>367</v>
      </c>
      <c r="C32" s="55" t="s">
        <v>540</v>
      </c>
      <c r="D32" s="33">
        <v>1349</v>
      </c>
      <c r="E32" s="36" t="str">
        <v>圣</v>
      </c>
      <c r="F32" s="33" t="str">
        <v>215</v>
      </c>
      <c r="G32" s="33" t="str">
        <v>螺旋</v>
      </c>
      <c r="H32" s="61">
        <v>8</v>
      </c>
      <c r="I32" s="61">
        <v>8</v>
      </c>
      <c r="J32" s="37" t="str">
        <v>1（小硬直）</v>
      </c>
      <c r="K32" s="31" t="str">
        <v>无</v>
      </c>
      <c r="L32" s="1" t="str">
        <v>黄金大弯弧</v>
      </c>
      <c r="M32" s="1" t="str">
        <v>龙飨印记</v>
      </c>
      <c r="N32" s="1" t="str">
        <v>失色石</v>
      </c>
      <c r="O32" s="1">
        <v>10</v>
      </c>
      <c r="P32" s="1">
        <v>2410</v>
      </c>
      <c r="Q32" s="1">
        <v>0</v>
      </c>
      <c r="R32" s="1">
        <v>0</v>
      </c>
      <c r="S32" s="1">
        <v>0</v>
      </c>
      <c r="T32" s="1">
        <v>0</v>
      </c>
      <c r="U32" s="1">
        <v>215</v>
      </c>
      <c r="V32" s="1">
        <v>0</v>
      </c>
      <c r="W32" s="1">
        <v>0</v>
      </c>
      <c r="X32" s="1">
        <v>0</v>
      </c>
      <c r="Y32" s="1">
        <v>30</v>
      </c>
      <c r="Z32" s="1">
        <v>75</v>
      </c>
      <c r="AA32" s="1">
        <v>12</v>
      </c>
      <c r="AB32" s="1">
        <v>12</v>
      </c>
      <c r="AC32" s="1">
        <v>12</v>
      </c>
      <c r="AD32" s="1">
        <v>12</v>
      </c>
      <c r="AE32" s="1">
        <v>12</v>
      </c>
      <c r="AF32" s="1">
        <v>3</v>
      </c>
      <c r="AG32" s="1">
        <v>3</v>
      </c>
      <c r="AH32" s="1">
        <v>3</v>
      </c>
      <c r="AI32" s="1">
        <v>3</v>
      </c>
      <c r="AJ32" s="1">
        <v>3</v>
      </c>
      <c r="AK32" s="1">
        <v>30030</v>
      </c>
      <c r="AL32" s="1">
        <v>0</v>
      </c>
      <c r="AM32" s="1">
        <v>0</v>
      </c>
      <c r="AN32" s="1">
        <v>0</v>
      </c>
      <c r="AO32" s="1">
        <v>0.89999999999999991</v>
      </c>
      <c r="AP32" s="1">
        <v>2.25</v>
      </c>
      <c r="AQ32" s="1">
        <v>0</v>
      </c>
      <c r="AR32" s="1">
        <v>0</v>
      </c>
      <c r="AS32" s="1">
        <v>0</v>
      </c>
      <c r="AT32" s="1">
        <v>0.89999999999999991</v>
      </c>
      <c r="AU32" s="1">
        <v>2.25</v>
      </c>
      <c r="AV32" s="1">
        <v>0</v>
      </c>
      <c r="AW32" s="1">
        <v>0</v>
      </c>
      <c r="AX32" s="1">
        <v>0</v>
      </c>
      <c r="AY32" s="1">
        <v>0.89999999999999991</v>
      </c>
      <c r="AZ32" s="1">
        <v>2.25</v>
      </c>
      <c r="BA32" s="1">
        <v>0</v>
      </c>
      <c r="BB32" s="1">
        <v>0</v>
      </c>
      <c r="BC32" s="1">
        <v>0</v>
      </c>
      <c r="BD32" s="1">
        <v>0.89999999999999991</v>
      </c>
      <c r="BE32" s="1">
        <v>2.25</v>
      </c>
      <c r="BF32" s="1">
        <v>0</v>
      </c>
      <c r="BG32" s="1">
        <v>0</v>
      </c>
      <c r="BH32" s="1">
        <v>0</v>
      </c>
      <c r="BI32" s="1">
        <v>0.89999999999999991</v>
      </c>
      <c r="BJ32" s="1">
        <v>2.25</v>
      </c>
      <c r="BK32" s="1">
        <v>0</v>
      </c>
      <c r="BL32" s="1">
        <v>0</v>
      </c>
      <c r="BM32" s="1">
        <v>0</v>
      </c>
      <c r="BN32" s="1">
        <v>0</v>
      </c>
      <c r="BO32" s="1">
        <v>892.25000000000011</v>
      </c>
      <c r="BP32" s="1" t="str">
        <v>无</v>
      </c>
      <c r="BQ32" s="1" t="str">
        <v>螺旋</v>
      </c>
      <c r="BR32" s="1" t="str">
        <v>无</v>
      </c>
      <c r="BS32" s="1" t="str">
        <v>无</v>
      </c>
      <c r="BT32" s="1">
        <v>1</v>
      </c>
      <c r="BU32" s="1" t="str">
        <v>龙飨</v>
      </c>
      <c r="BV32" s="1">
        <v>1</v>
      </c>
      <c r="BW32" s="1">
        <v>1</v>
      </c>
      <c r="BX32" s="1">
        <v>1</v>
      </c>
      <c r="BY32" s="1">
        <v>1</v>
      </c>
      <c r="BZ32" s="1">
        <v>1</v>
      </c>
      <c r="CA32" s="1">
        <v>1</v>
      </c>
      <c r="CB32" s="1">
        <v>0</v>
      </c>
      <c r="CC32" s="1">
        <v>0</v>
      </c>
      <c r="CD32" s="1">
        <v>0</v>
      </c>
      <c r="CE32" s="1">
        <v>0</v>
      </c>
      <c r="CF32" s="1">
        <v>1349.0820000000001</v>
      </c>
      <c r="CG32" s="1">
        <v>0</v>
      </c>
      <c r="CH32" s="1" t="str">
        <v/>
      </c>
      <c r="CI32" s="1">
        <v>11</v>
      </c>
      <c r="CJ32" s="1">
        <v>0</v>
      </c>
      <c r="CK32" s="1">
        <v>0</v>
      </c>
      <c r="CL32" s="1">
        <v>24</v>
      </c>
      <c r="CM32" s="1">
        <v>1</v>
      </c>
    </row>
    <row r="33" spans="1:91" ht="21" customHeight="1" x14ac:dyDescent="0.3">
      <c r="A33" s="54" t="s">
        <v>35</v>
      </c>
      <c r="B33" s="58" t="s">
        <v>36</v>
      </c>
      <c r="C33" s="55" t="s">
        <v>540</v>
      </c>
      <c r="D33" s="33">
        <v>3218</v>
      </c>
      <c r="E33" s="36" t="str">
        <v>雷</v>
      </c>
      <c r="F33" s="33" t="str">
        <v>513</v>
      </c>
      <c r="G33" s="33" t="str">
        <v>古龙</v>
      </c>
      <c r="H33" s="61">
        <v>5</v>
      </c>
      <c r="I33" s="61">
        <v>5</v>
      </c>
      <c r="J33" s="37" t="str">
        <v>2（中硬直）</v>
      </c>
      <c r="K33" s="31" t="str">
        <v>50死亡值</v>
      </c>
      <c r="L33" s="1" t="str">
        <v>死亡雷击</v>
      </c>
      <c r="M33" s="1" t="str">
        <v>龙飨印记</v>
      </c>
      <c r="N33" s="1" t="str">
        <v>失色石</v>
      </c>
      <c r="O33" s="1">
        <v>10</v>
      </c>
      <c r="P33" s="1">
        <v>2410</v>
      </c>
      <c r="Q33" s="1">
        <v>0</v>
      </c>
      <c r="R33" s="1">
        <v>0</v>
      </c>
      <c r="S33" s="1">
        <v>0</v>
      </c>
      <c r="T33" s="1">
        <v>513</v>
      </c>
      <c r="U33" s="1">
        <v>0</v>
      </c>
      <c r="V33" s="1">
        <v>0</v>
      </c>
      <c r="W33" s="1">
        <v>0</v>
      </c>
      <c r="X33" s="1">
        <v>0</v>
      </c>
      <c r="Y33" s="1">
        <v>30</v>
      </c>
      <c r="Z33" s="1">
        <v>75</v>
      </c>
      <c r="AA33" s="1">
        <v>12</v>
      </c>
      <c r="AB33" s="1">
        <v>12</v>
      </c>
      <c r="AC33" s="1">
        <v>12</v>
      </c>
      <c r="AD33" s="1">
        <v>12</v>
      </c>
      <c r="AE33" s="1">
        <v>12</v>
      </c>
      <c r="AF33" s="1">
        <v>3</v>
      </c>
      <c r="AG33" s="1">
        <v>3</v>
      </c>
      <c r="AH33" s="1">
        <v>3</v>
      </c>
      <c r="AI33" s="1">
        <v>3</v>
      </c>
      <c r="AJ33" s="1">
        <v>3</v>
      </c>
      <c r="AK33" s="1">
        <v>30030</v>
      </c>
      <c r="AL33" s="1">
        <v>0</v>
      </c>
      <c r="AM33" s="1">
        <v>0</v>
      </c>
      <c r="AN33" s="1">
        <v>0</v>
      </c>
      <c r="AO33" s="1">
        <v>0.89999999999999991</v>
      </c>
      <c r="AP33" s="1">
        <v>2.25</v>
      </c>
      <c r="AQ33" s="1">
        <v>0</v>
      </c>
      <c r="AR33" s="1">
        <v>0</v>
      </c>
      <c r="AS33" s="1">
        <v>0</v>
      </c>
      <c r="AT33" s="1">
        <v>0.89999999999999991</v>
      </c>
      <c r="AU33" s="1">
        <v>2.25</v>
      </c>
      <c r="AV33" s="1">
        <v>0</v>
      </c>
      <c r="AW33" s="1">
        <v>0</v>
      </c>
      <c r="AX33" s="1">
        <v>0</v>
      </c>
      <c r="AY33" s="1">
        <v>0.89999999999999991</v>
      </c>
      <c r="AZ33" s="1">
        <v>2.25</v>
      </c>
      <c r="BA33" s="1">
        <v>0</v>
      </c>
      <c r="BB33" s="1">
        <v>0</v>
      </c>
      <c r="BC33" s="1">
        <v>0</v>
      </c>
      <c r="BD33" s="1">
        <v>0.89999999999999991</v>
      </c>
      <c r="BE33" s="1">
        <v>2.25</v>
      </c>
      <c r="BF33" s="1">
        <v>0</v>
      </c>
      <c r="BG33" s="1">
        <v>0</v>
      </c>
      <c r="BH33" s="1">
        <v>0</v>
      </c>
      <c r="BI33" s="1">
        <v>0.89999999999999991</v>
      </c>
      <c r="BJ33" s="1">
        <v>2.25</v>
      </c>
      <c r="BK33" s="1">
        <v>0</v>
      </c>
      <c r="BL33" s="1">
        <v>0</v>
      </c>
      <c r="BM33" s="1">
        <v>0</v>
      </c>
      <c r="BN33" s="1">
        <v>2128.9500000000003</v>
      </c>
      <c r="BO33" s="1">
        <v>0</v>
      </c>
      <c r="BP33" s="1" t="str">
        <v>无</v>
      </c>
      <c r="BQ33" s="1" t="str">
        <v>古龙</v>
      </c>
      <c r="BR33" s="1" t="str">
        <v>无</v>
      </c>
      <c r="BS33" s="1" t="str">
        <v>无</v>
      </c>
      <c r="BT33" s="1">
        <v>1</v>
      </c>
      <c r="BU33" s="1" t="str">
        <v>龙飨</v>
      </c>
      <c r="BV33" s="1">
        <v>1</v>
      </c>
      <c r="BW33" s="1">
        <v>1</v>
      </c>
      <c r="BX33" s="1">
        <v>1</v>
      </c>
      <c r="BY33" s="1">
        <v>1</v>
      </c>
      <c r="BZ33" s="1">
        <v>1</v>
      </c>
      <c r="CA33" s="1">
        <v>1</v>
      </c>
      <c r="CB33" s="1">
        <v>0</v>
      </c>
      <c r="CC33" s="1">
        <v>0</v>
      </c>
      <c r="CD33" s="1">
        <v>0</v>
      </c>
      <c r="CE33" s="1">
        <v>3218.9724000000006</v>
      </c>
      <c r="CF33" s="1">
        <v>0</v>
      </c>
      <c r="CG33" s="1">
        <v>50</v>
      </c>
      <c r="CH33" s="1" t="str">
        <v>死亡值</v>
      </c>
      <c r="CI33" s="1">
        <v>11</v>
      </c>
      <c r="CJ33" s="1">
        <v>0</v>
      </c>
      <c r="CK33" s="1">
        <v>0</v>
      </c>
      <c r="CL33" s="1">
        <v>28</v>
      </c>
      <c r="CM33" s="1">
        <v>1</v>
      </c>
    </row>
    <row r="34" spans="1:91" ht="21" customHeight="1" x14ac:dyDescent="0.3">
      <c r="A34" s="54" t="s">
        <v>35</v>
      </c>
      <c r="B34" s="58" t="s">
        <v>153</v>
      </c>
      <c r="C34" s="55" t="s">
        <v>540</v>
      </c>
      <c r="D34" s="33">
        <v>2913</v>
      </c>
      <c r="E34" s="36" t="str">
        <v>火</v>
      </c>
      <c r="F34" s="33" t="str">
        <v>325</v>
      </c>
      <c r="G34" s="33" t="str">
        <v>巨人</v>
      </c>
      <c r="H34" s="61">
        <v>13.63</v>
      </c>
      <c r="I34" s="61">
        <v>13.63</v>
      </c>
      <c r="J34" s="37" t="str">
        <v>7（击退）</v>
      </c>
      <c r="K34" s="31" t="str">
        <v>无</v>
      </c>
      <c r="L34" s="1" t="str">
        <v>感受巨人火焰吧</v>
      </c>
      <c r="M34" s="1" t="str">
        <v>龙飨印记</v>
      </c>
      <c r="N34" s="1" t="str">
        <v>失色石</v>
      </c>
      <c r="O34" s="1">
        <v>10</v>
      </c>
      <c r="P34" s="1">
        <v>2410</v>
      </c>
      <c r="Q34" s="1">
        <v>0</v>
      </c>
      <c r="R34" s="1">
        <v>0</v>
      </c>
      <c r="S34" s="1">
        <v>325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30</v>
      </c>
      <c r="Z34" s="1">
        <v>75</v>
      </c>
      <c r="AA34" s="1">
        <v>12</v>
      </c>
      <c r="AB34" s="1">
        <v>12</v>
      </c>
      <c r="AC34" s="1">
        <v>12</v>
      </c>
      <c r="AD34" s="1">
        <v>12</v>
      </c>
      <c r="AE34" s="1">
        <v>12</v>
      </c>
      <c r="AF34" s="1">
        <v>3</v>
      </c>
      <c r="AG34" s="1">
        <v>3</v>
      </c>
      <c r="AH34" s="1">
        <v>3</v>
      </c>
      <c r="AI34" s="1">
        <v>3</v>
      </c>
      <c r="AJ34" s="1">
        <v>3</v>
      </c>
      <c r="AK34" s="1">
        <v>30030</v>
      </c>
      <c r="AL34" s="1">
        <v>0</v>
      </c>
      <c r="AM34" s="1">
        <v>0</v>
      </c>
      <c r="AN34" s="1">
        <v>0</v>
      </c>
      <c r="AO34" s="1">
        <v>0.89999999999999991</v>
      </c>
      <c r="AP34" s="1">
        <v>2.25</v>
      </c>
      <c r="AQ34" s="1">
        <v>0</v>
      </c>
      <c r="AR34" s="1">
        <v>0</v>
      </c>
      <c r="AS34" s="1">
        <v>0</v>
      </c>
      <c r="AT34" s="1">
        <v>0.89999999999999991</v>
      </c>
      <c r="AU34" s="1">
        <v>2.25</v>
      </c>
      <c r="AV34" s="1">
        <v>0</v>
      </c>
      <c r="AW34" s="1">
        <v>0</v>
      </c>
      <c r="AX34" s="1">
        <v>0</v>
      </c>
      <c r="AY34" s="1">
        <v>0.89999999999999991</v>
      </c>
      <c r="AZ34" s="1">
        <v>2.25</v>
      </c>
      <c r="BA34" s="1">
        <v>0</v>
      </c>
      <c r="BB34" s="1">
        <v>0</v>
      </c>
      <c r="BC34" s="1">
        <v>0</v>
      </c>
      <c r="BD34" s="1">
        <v>0.89999999999999991</v>
      </c>
      <c r="BE34" s="1">
        <v>2.25</v>
      </c>
      <c r="BF34" s="1">
        <v>0</v>
      </c>
      <c r="BG34" s="1">
        <v>0</v>
      </c>
      <c r="BH34" s="1">
        <v>0</v>
      </c>
      <c r="BI34" s="1">
        <v>0.89999999999999991</v>
      </c>
      <c r="BJ34" s="1">
        <v>2.25</v>
      </c>
      <c r="BK34" s="1">
        <v>0</v>
      </c>
      <c r="BL34" s="1">
        <v>0</v>
      </c>
      <c r="BM34" s="1">
        <v>1348.7500000000002</v>
      </c>
      <c r="BN34" s="1">
        <v>0</v>
      </c>
      <c r="BO34" s="1">
        <v>0</v>
      </c>
      <c r="BP34" s="1" t="str">
        <v>无</v>
      </c>
      <c r="BQ34" s="1" t="str">
        <v>巨人</v>
      </c>
      <c r="BR34" s="1" t="str">
        <v>无</v>
      </c>
      <c r="BS34" s="1" t="str">
        <v>无</v>
      </c>
      <c r="BT34" s="1">
        <v>1</v>
      </c>
      <c r="BU34" s="1" t="str">
        <v>龙飨</v>
      </c>
      <c r="BV34" s="1">
        <v>1</v>
      </c>
      <c r="BW34" s="1">
        <v>1</v>
      </c>
      <c r="BX34" s="1">
        <v>1</v>
      </c>
      <c r="BY34" s="1">
        <v>1</v>
      </c>
      <c r="BZ34" s="1">
        <v>1</v>
      </c>
      <c r="CA34" s="1">
        <v>1</v>
      </c>
      <c r="CB34" s="1">
        <v>0</v>
      </c>
      <c r="CC34" s="1">
        <v>0</v>
      </c>
      <c r="CD34" s="1">
        <v>2913.3000000000006</v>
      </c>
      <c r="CE34" s="1">
        <v>0</v>
      </c>
      <c r="CF34" s="1">
        <v>0</v>
      </c>
      <c r="CG34" s="1">
        <v>0</v>
      </c>
      <c r="CH34" s="1" t="str">
        <v/>
      </c>
      <c r="CI34" s="1">
        <v>11</v>
      </c>
      <c r="CJ34" s="1">
        <v>0</v>
      </c>
      <c r="CK34" s="1">
        <v>0</v>
      </c>
      <c r="CL34" s="1">
        <v>30</v>
      </c>
      <c r="CM34" s="1">
        <v>1</v>
      </c>
    </row>
    <row r="35" spans="1:91" ht="21" customHeight="1" x14ac:dyDescent="0.3"/>
    <row r="36" spans="1:91" ht="21" customHeight="1" x14ac:dyDescent="0.3"/>
    <row r="37" spans="1:91" ht="21" customHeight="1" x14ac:dyDescent="0.3"/>
    <row r="38" spans="1:91" ht="21" customHeight="1" x14ac:dyDescent="0.3"/>
    <row r="39" spans="1:91" ht="21" customHeight="1" x14ac:dyDescent="0.3"/>
    <row r="40" spans="1:91" ht="21" customHeight="1" x14ac:dyDescent="0.3"/>
    <row r="41" spans="1:91" ht="21" customHeight="1" x14ac:dyDescent="0.3"/>
    <row r="42" spans="1:91" ht="21" customHeight="1" x14ac:dyDescent="0.3"/>
  </sheetData>
  <mergeCells count="5">
    <mergeCell ref="A6:C6"/>
    <mergeCell ref="H3:J3"/>
    <mergeCell ref="A3:G3"/>
    <mergeCell ref="A1:K1"/>
    <mergeCell ref="A2:K2"/>
  </mergeCells>
  <phoneticPr fontId="11" type="noConversion"/>
  <conditionalFormatting sqref="D17:G34">
    <cfRule type="expression" dxfId="40" priority="93">
      <formula>FIND("火+雷",$E17)</formula>
    </cfRule>
    <cfRule type="expression" dxfId="39" priority="94">
      <formula>$E17="魔"</formula>
    </cfRule>
    <cfRule type="expression" dxfId="38" priority="95">
      <formula>$E17="普通+魔"</formula>
    </cfRule>
    <cfRule type="expression" dxfId="37" priority="96">
      <formula>$E17="圣"</formula>
    </cfRule>
    <cfRule type="expression" dxfId="36" priority="97">
      <formula>$E17="雷"</formula>
    </cfRule>
    <cfRule type="expression" dxfId="35" priority="98">
      <formula>$E17="火"</formula>
    </cfRule>
    <cfRule type="expression" dxfId="34" priority="99">
      <formula>$E17="魔"</formula>
    </cfRule>
  </conditionalFormatting>
  <conditionalFormatting sqref="F17:F34">
    <cfRule type="expression" dxfId="33" priority="1">
      <formula>FIND("火+雷",$E17)</formula>
    </cfRule>
    <cfRule type="expression" dxfId="32" priority="2">
      <formula>$E17="魔"</formula>
    </cfRule>
    <cfRule type="expression" dxfId="31" priority="3">
      <formula>$E17="普通+魔"</formula>
    </cfRule>
    <cfRule type="expression" dxfId="30" priority="4">
      <formula>$E17="圣"</formula>
    </cfRule>
    <cfRule type="expression" dxfId="29" priority="5">
      <formula>$E17="雷"</formula>
    </cfRule>
    <cfRule type="expression" dxfId="28" priority="6">
      <formula>$E17="火"</formula>
    </cfRule>
    <cfRule type="expression" dxfId="27" priority="7">
      <formula>$E17="魔"</formula>
    </cfRule>
  </conditionalFormatting>
  <conditionalFormatting sqref="J17:J34">
    <cfRule type="expression" dxfId="26" priority="15">
      <formula>FIND("击",J17)</formula>
    </cfRule>
  </conditionalFormatting>
  <conditionalFormatting sqref="K17:K34">
    <cfRule type="expression" dxfId="25" priority="18">
      <formula>FIND("死亡值",K17)</formula>
    </cfRule>
    <cfRule type="expression" dxfId="24" priority="19">
      <formula>FIND("发狂值",K17)</formula>
    </cfRule>
    <cfRule type="expression" dxfId="23" priority="20">
      <formula>FIND("腐败值",K17)</formula>
    </cfRule>
    <cfRule type="expression" dxfId="22" priority="21">
      <formula>FIND("冰冻值",K17)</formula>
    </cfRule>
    <cfRule type="expression" dxfId="21" priority="22">
      <formula>FIND("出血值",K17)</formula>
    </cfRule>
  </conditionalFormatting>
  <dataValidations count="8">
    <dataValidation type="list" allowBlank="1" showInputMessage="1" showErrorMessage="1" sqref="C10" xr:uid="{F5BCD397-ED91-47B5-B138-E4F48F6C7ACA}">
      <formula1>INDIRECT(C$9)</formula1>
    </dataValidation>
    <dataValidation type="list" allowBlank="1" showInputMessage="1" showErrorMessage="1" sqref="B10" xr:uid="{33985889-9B89-4FBF-B478-FC0BFEE2FC29}">
      <formula1>INDIRECT($B$9)</formula1>
    </dataValidation>
    <dataValidation type="list" allowBlank="1" showInputMessage="1" showErrorMessage="1" sqref="B8" xr:uid="{2C115A2B-D52B-4872-AE0E-8A462832FB48}">
      <formula1>"1,2,3,4,5,6,7,8"</formula1>
    </dataValidation>
    <dataValidation type="list" allowBlank="1" showInputMessage="1" showErrorMessage="1" sqref="E10" xr:uid="{997A8519-1C57-4F61-8001-0CFE240FCFF7}">
      <formula1>INDIRECT($E$9)</formula1>
    </dataValidation>
    <dataValidation type="list" allowBlank="1" showInputMessage="1" showErrorMessage="1" sqref="D10" xr:uid="{84662107-543D-45C6-9546-7C09DDA35E9A}">
      <formula1>INDIRECT($D$9)</formula1>
    </dataValidation>
    <dataValidation type="list" allowBlank="1" showInputMessage="1" showErrorMessage="1" sqref="B17:B34" xr:uid="{DDD814F3-CFA0-4B7D-A9DF-8C7DF24706BA}">
      <formula1>INDIRECT(A17)</formula1>
    </dataValidation>
    <dataValidation allowBlank="1" showInputMessage="1" showErrorMessage="1" sqref="D7:K7" xr:uid="{1D1EE0DF-5094-4B87-8B29-1A9B44D785B0}"/>
    <dataValidation type="list" allowBlank="1" showInputMessage="1" showErrorMessage="1" sqref="F10:K10" xr:uid="{7A5BF75C-FF0B-4611-B6DB-D3F8BF39252B}">
      <formula1>INDIRECT(F9)</formula1>
    </dataValidation>
  </dataValidations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6" id="{A0EC2C3C-2C59-4D50-B80E-0E3E944E5C81}">
            <xm:f>ISNA(MATCH(B17,IF(A17="魔法",_xlfn.ANCHORARRAY(AtkParam!$X$2),_xlfn.ANCHORARRAY(AtkParam!$Y$2)),))</xm:f>
            <x14:dxf>
              <fill>
                <patternFill>
                  <bgColor rgb="FFFF0000"/>
                </patternFill>
              </fill>
            </x14:dxf>
          </x14:cfRule>
          <xm:sqref>B17:B34</xm:sqref>
        </x14:conditionalFormatting>
        <x14:conditionalFormatting xmlns:xm="http://schemas.microsoft.com/office/excel/2006/main">
          <x14:cfRule type="expression" priority="26" id="{4A00F95B-09F5-4325-89ED-867643FC9D59}">
            <xm:f>ISNA(MATCH(C17,IF(A17="魔法",_xlfn.ANCHORARRAY(Weapon!$Y$2),_xlfn.ANCHORARRAY(Weapon!$Z$2)),))</xm:f>
            <x14:dxf>
              <fill>
                <patternFill>
                  <bgColor rgb="FFFF0000"/>
                </patternFill>
              </fill>
            </x14:dxf>
          </x14:cfRule>
          <xm:sqref>C17:C34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6A8945D-128E-4946-A66C-C7520AF12987}">
          <x14:formula1>
            <xm:f>敌人数据!$A$2:$A$51</xm:f>
          </x14:formula1>
          <xm:sqref>A8</xm:sqref>
        </x14:dataValidation>
        <x14:dataValidation type="list" allowBlank="1" showInputMessage="1" showErrorMessage="1" xr:uid="{128CC114-CF17-4A46-9488-47B6C290044A}">
          <x14:formula1>
            <xm:f>Curve!$B$1:$CV$1</xm:f>
          </x14:formula1>
          <xm:sqref>A5:E5</xm:sqref>
        </x14:dataValidation>
        <x14:dataValidation type="list" allowBlank="1" showInputMessage="1" showErrorMessage="1" xr:uid="{EA15A73D-FEB5-49B7-AED5-5D8B19BB11F6}">
          <x14:formula1>
            <xm:f>Curve!$A$1:$Z$1</xm:f>
          </x14:formula1>
          <xm:sqref>F5</xm:sqref>
        </x14:dataValidation>
        <x14:dataValidation type="list" allowBlank="1" showInputMessage="1" showErrorMessage="1" xr:uid="{DBA525F3-81A5-45D4-A25A-7E0C78174667}">
          <x14:formula1>
            <xm:f>Curve!$B$7:$V$7</xm:f>
          </x14:formula1>
          <xm:sqref>H5</xm:sqref>
        </x14:dataValidation>
        <x14:dataValidation type="list" allowBlank="1" showInputMessage="1" showErrorMessage="1" xr:uid="{A71CE065-A2C7-440C-9E94-7DF26DAA41B6}">
          <x14:formula1>
            <xm:f>AtkParam!$X$1:$Y$1</xm:f>
          </x14:formula1>
          <xm:sqref>A17:A34</xm:sqref>
        </x14:dataValidation>
        <x14:dataValidation type="list" allowBlank="1" showInputMessage="1" showErrorMessage="1" xr:uid="{C5E74CD3-7501-4041-BF38-0840A565EEBC}">
          <x14:formula1>
            <xm:f>IF($A17="魔法",_xlfn.ANCHORARRAY(Weapon!$Y$2),_xlfn.ANCHORARRAY(Weapon!$Z$2))</xm:f>
          </x14:formula1>
          <xm:sqref>C17:C34</xm:sqref>
        </x14:dataValidation>
        <x14:dataValidation type="list" allowBlank="1" showInputMessage="1" showErrorMessage="1" xr:uid="{9C8102DA-F121-42C4-A533-3AA09BFDA6EA}">
          <x14:formula1>
            <xm:f>Curve!$A$1:$K$1</xm:f>
          </x14:formula1>
          <xm:sqref>G5 B8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3D078-86C4-4CD9-8019-3C26B258359A}">
  <sheetPr>
    <tabColor theme="9" tint="-0.499984740745262"/>
  </sheetPr>
  <dimension ref="A1:DL108"/>
  <sheetViews>
    <sheetView zoomScale="80" zoomScaleNormal="80" workbookViewId="0">
      <selection sqref="A1:L1"/>
    </sheetView>
  </sheetViews>
  <sheetFormatPr defaultRowHeight="16.3" outlineLevelRow="1" x14ac:dyDescent="0.3"/>
  <cols>
    <col min="1" max="1" width="26.23046875" style="13" customWidth="1"/>
    <col min="2" max="9" width="18.765625" style="13" customWidth="1"/>
    <col min="10" max="11" width="13.53515625" style="13" hidden="1" customWidth="1"/>
    <col min="12" max="12" width="14.84375" style="13" hidden="1" customWidth="1"/>
    <col min="13" max="13" width="13.15234375" style="13" hidden="1" customWidth="1"/>
    <col min="14" max="14" width="12.69140625" style="13" hidden="1" customWidth="1"/>
    <col min="15" max="23" width="11.4609375" style="13" hidden="1" customWidth="1"/>
    <col min="24" max="116" width="9.23046875" style="13" hidden="1" customWidth="1"/>
    <col min="117" max="16384" width="9.23046875" style="13"/>
  </cols>
  <sheetData>
    <row r="1" spans="1:116" ht="29.6" customHeight="1" x14ac:dyDescent="0.3">
      <c r="A1" s="127" t="s">
        <v>935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</row>
    <row r="2" spans="1:116" ht="33.9" customHeight="1" x14ac:dyDescent="0.3">
      <c r="A2" s="136" t="s">
        <v>938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</row>
    <row r="3" spans="1:116" ht="15.9" customHeight="1" outlineLevel="1" x14ac:dyDescent="0.3">
      <c r="A3" s="128" t="s">
        <v>937</v>
      </c>
      <c r="B3" s="129"/>
      <c r="C3" s="129"/>
      <c r="D3" s="129"/>
      <c r="E3" s="129"/>
      <c r="F3" s="129"/>
      <c r="G3" s="130"/>
      <c r="H3" s="134" t="s">
        <v>493</v>
      </c>
      <c r="I3" s="135"/>
    </row>
    <row r="4" spans="1:116" ht="15.9" customHeight="1" outlineLevel="1" x14ac:dyDescent="0.3">
      <c r="A4" s="84" t="s">
        <v>1</v>
      </c>
      <c r="B4" s="84" t="s">
        <v>2</v>
      </c>
      <c r="C4" s="84" t="s">
        <v>3</v>
      </c>
      <c r="D4" s="84" t="s">
        <v>4</v>
      </c>
      <c r="E4" s="84" t="s">
        <v>5</v>
      </c>
      <c r="F4" s="84" t="s">
        <v>547</v>
      </c>
      <c r="G4" s="84" t="s">
        <v>548</v>
      </c>
      <c r="H4" s="85" t="s">
        <v>490</v>
      </c>
      <c r="I4" s="85" t="s">
        <v>497</v>
      </c>
    </row>
    <row r="5" spans="1:116" ht="15.9" customHeight="1" outlineLevel="1" x14ac:dyDescent="0.3">
      <c r="A5" s="86">
        <v>99</v>
      </c>
      <c r="B5" s="86">
        <v>99</v>
      </c>
      <c r="C5" s="86">
        <v>99</v>
      </c>
      <c r="D5" s="86">
        <v>99</v>
      </c>
      <c r="E5" s="86">
        <v>99</v>
      </c>
      <c r="F5" s="86">
        <v>25</v>
      </c>
      <c r="G5" s="86">
        <v>10</v>
      </c>
      <c r="H5" s="86">
        <v>20</v>
      </c>
      <c r="I5" s="87">
        <f>HLOOKUP(H5,Curve!B19:V20,2, )-1</f>
        <v>1.0499999999999998</v>
      </c>
    </row>
    <row r="6" spans="1:116" ht="15.9" customHeight="1" outlineLevel="1" x14ac:dyDescent="0.3">
      <c r="A6" s="138" t="s">
        <v>682</v>
      </c>
      <c r="B6" s="139"/>
      <c r="C6" s="139"/>
      <c r="D6" s="139"/>
      <c r="E6" s="139"/>
      <c r="F6" s="139"/>
      <c r="G6" s="139"/>
      <c r="H6" s="139"/>
      <c r="I6" s="140"/>
      <c r="J6" s="21"/>
      <c r="K6" s="21" t="s">
        <v>859</v>
      </c>
      <c r="L6" s="21" t="s">
        <v>640</v>
      </c>
      <c r="M6" s="21" t="s">
        <v>641</v>
      </c>
      <c r="N6" s="21" t="s">
        <v>642</v>
      </c>
      <c r="O6" s="21" t="s">
        <v>643</v>
      </c>
      <c r="P6" s="21" t="s">
        <v>644</v>
      </c>
      <c r="Q6" s="21" t="s">
        <v>645</v>
      </c>
      <c r="R6" s="21" t="s">
        <v>669</v>
      </c>
      <c r="S6" s="21" t="s">
        <v>670</v>
      </c>
      <c r="T6" s="21" t="s">
        <v>671</v>
      </c>
      <c r="U6" s="21" t="s">
        <v>674</v>
      </c>
      <c r="V6" s="21" t="s">
        <v>673</v>
      </c>
      <c r="W6" s="21" t="s">
        <v>672</v>
      </c>
      <c r="X6" s="21" t="s">
        <v>559</v>
      </c>
      <c r="Y6" s="21" t="s">
        <v>663</v>
      </c>
      <c r="Z6" s="21" t="s">
        <v>664</v>
      </c>
      <c r="AA6" s="21" t="s">
        <v>665</v>
      </c>
      <c r="AB6" s="21" t="s">
        <v>666</v>
      </c>
      <c r="AC6" s="21" t="s">
        <v>667</v>
      </c>
      <c r="AD6" s="21" t="s">
        <v>928</v>
      </c>
      <c r="AE6" s="21" t="s">
        <v>837</v>
      </c>
      <c r="AF6" s="21" t="s">
        <v>838</v>
      </c>
      <c r="AG6" s="21" t="s">
        <v>839</v>
      </c>
      <c r="AH6" s="21" t="s">
        <v>840</v>
      </c>
      <c r="AI6" s="21" t="s">
        <v>841</v>
      </c>
      <c r="AJ6" s="21" t="s">
        <v>860</v>
      </c>
      <c r="AK6" s="21" t="s">
        <v>690</v>
      </c>
      <c r="AL6" s="21" t="s">
        <v>903</v>
      </c>
      <c r="AM6" s="21" t="s">
        <v>832</v>
      </c>
    </row>
    <row r="7" spans="1:116" ht="15.9" customHeight="1" outlineLevel="1" x14ac:dyDescent="0.3">
      <c r="A7" s="88" t="s">
        <v>651</v>
      </c>
      <c r="B7" s="88" t="s">
        <v>833</v>
      </c>
      <c r="C7" s="88" t="s">
        <v>547</v>
      </c>
      <c r="D7" s="88" t="s">
        <v>548</v>
      </c>
      <c r="E7" s="88" t="s">
        <v>837</v>
      </c>
      <c r="F7" s="88" t="s">
        <v>838</v>
      </c>
      <c r="G7" s="88" t="s">
        <v>839</v>
      </c>
      <c r="H7" s="88" t="s">
        <v>840</v>
      </c>
      <c r="I7" s="89" t="s">
        <v>841</v>
      </c>
      <c r="J7" s="21" t="s">
        <v>651</v>
      </c>
      <c r="K7" s="73" t="str">
        <f>A8</f>
        <v>母亲杖</v>
      </c>
      <c r="L7" s="10" cm="1">
        <f t="array" ref="L7:P7">INDEX(Weapon!$I$2:$M$35,MATCH(K7,Weapon!$B$2:$B$35,),)</f>
        <v>12</v>
      </c>
      <c r="M7" s="10">
        <v>0</v>
      </c>
      <c r="N7" s="10">
        <v>55</v>
      </c>
      <c r="O7" s="10">
        <v>0</v>
      </c>
      <c r="P7" s="10">
        <v>55</v>
      </c>
      <c r="Q7" s="10">
        <f>_xlfn.XLOOKUP(K7,Weapon!B:B,Weapon!G:G)</f>
        <v>0</v>
      </c>
      <c r="R7" s="10" cm="1">
        <f t="array" ref="R7">_xlfn.XLOOKUP(K7,Weapon!B:B,Weapon!H:H)+_xlfn.IFS(K7="陨石杖",,Q7,$G$5,1,$F$5)</f>
        <v>1925</v>
      </c>
      <c r="S7" s="10" cm="1">
        <f t="array" ref="S7:W7">INDEX(WeaponUP!$B$2:$F$877,MATCH(R7,WeaponUP!$A$2:$A$877,),)</f>
        <v>3</v>
      </c>
      <c r="T7" s="10">
        <v>3</v>
      </c>
      <c r="U7" s="10">
        <v>3</v>
      </c>
      <c r="V7" s="10">
        <v>3</v>
      </c>
      <c r="W7" s="10">
        <v>3</v>
      </c>
      <c r="X7" s="10">
        <f>_xlfn.XLOOKUP(K7,Weapon!B:B,Weapon!T:T)</f>
        <v>20030</v>
      </c>
      <c r="Y7" s="10" cm="1">
        <f t="array" ref="Y7:AC7">INDEX(Weapon!$N$2:$R$35,MATCH(K7,Weapon!$B$2:$B$35,),)</f>
        <v>15</v>
      </c>
      <c r="Z7" s="10">
        <v>15</v>
      </c>
      <c r="AA7" s="10">
        <v>15</v>
      </c>
      <c r="AB7" s="10">
        <v>15</v>
      </c>
      <c r="AC7" s="10">
        <v>15</v>
      </c>
      <c r="AD7" s="38" t="b" cm="1">
        <f t="array" ref="AD7">AND($C$5:$E$5&gt;INDEX(Weapon!$D$2:$F$35,MATCH(K7,Weapon!$B$2:$B$35,),))</f>
        <v>1</v>
      </c>
      <c r="AE7" s="16" cm="1">
        <f t="array" ref="AE7:AI7">IF(AD7,TRANSPOSE(1+_xlfn.BYROW(_xlfn.WRAPROWS(INDEX(AtkCorrect!$B$2:$Z$185,MATCH(X7,AtkCorrect!$A$2:$A$185,),),5)*_xlfn.ANCHORARRAY(L7)%*_xlfn.ANCHORARRAY(S7)*INDEX(Curve!$B$2:$EU$18,_xlfn.ANCHORARRAY(Y7)+1,$A$5:$E$5)%,_xleta.SUM)),0.6*S7^0)</f>
        <v>4.3000000000000007</v>
      </c>
      <c r="AF7" s="16">
        <v>4.3000000000000007</v>
      </c>
      <c r="AG7" s="16">
        <v>4.3000000000000007</v>
      </c>
      <c r="AH7" s="16">
        <v>4.3000000000000007</v>
      </c>
      <c r="AI7" s="16">
        <v>4.3000000000000007</v>
      </c>
      <c r="AJ7" s="10">
        <f>_xlfn.XLOOKUP(K7,Weapon!B:B,Weapon!S:S)</f>
        <v>6</v>
      </c>
      <c r="AK7" s="16" cm="1">
        <f t="array" ref="AK7">1+P7%*W7*INDEX(Curve!$B$2:$EU$18,AJ7+1,$E$5)%</f>
        <v>2.6500000000000004</v>
      </c>
      <c r="AL7" s="16">
        <f>_xlfn.XLOOKUP($K7,Weapon!$B:$B,Weapon!V:V)</f>
        <v>1.1499999999999999</v>
      </c>
      <c r="AM7" s="16" t="str">
        <f>_xlfn.XLOOKUP($K7,Weapon!$B:$B,Weapon!W:W)</f>
        <v>指头</v>
      </c>
    </row>
    <row r="8" spans="1:116" ht="15.9" customHeight="1" outlineLevel="1" thickBot="1" x14ac:dyDescent="0.35">
      <c r="A8" s="74" t="s">
        <v>308</v>
      </c>
      <c r="B8" s="74" t="s">
        <v>540</v>
      </c>
      <c r="C8" s="90">
        <v>25</v>
      </c>
      <c r="D8" s="86">
        <v>10</v>
      </c>
      <c r="E8" s="91" cm="1">
        <f t="array" ref="E8:I8">IF(D11="魔法",_xlfn.ANCHORARRAY(AE7),_xlfn.ANCHORARRAY(AE8))*100</f>
        <v>430.00000000000006</v>
      </c>
      <c r="F8" s="91">
        <v>430.00000000000006</v>
      </c>
      <c r="G8" s="92">
        <v>430.00000000000006</v>
      </c>
      <c r="H8" s="92">
        <v>430.00000000000006</v>
      </c>
      <c r="I8" s="92">
        <v>430.00000000000006</v>
      </c>
      <c r="J8" s="21" t="s">
        <v>833</v>
      </c>
      <c r="K8" s="73" t="str">
        <f>B8</f>
        <v>龙飨印记</v>
      </c>
      <c r="L8" s="10" cm="1">
        <f t="array" ref="L8:P8">INDEX(Weapon!$I$2:$M$35,MATCH(K8,Weapon!$B$2:$B$35,),)</f>
        <v>0</v>
      </c>
      <c r="M8" s="10">
        <v>0</v>
      </c>
      <c r="N8" s="10">
        <v>0</v>
      </c>
      <c r="O8" s="10">
        <v>30</v>
      </c>
      <c r="P8" s="10">
        <v>75</v>
      </c>
      <c r="Q8" s="10">
        <f>_xlfn.XLOOKUP(K8,Weapon!B:B,Weapon!G:G)</f>
        <v>2200</v>
      </c>
      <c r="R8" s="10" cm="1">
        <f t="array" ref="R8">_xlfn.XLOOKUP(K8,Weapon!B:B,Weapon!H:H)+_xlfn.IFS(K8="陨石杖",,Q8,$G$5,1,$F$5)</f>
        <v>2410</v>
      </c>
      <c r="S8" s="10" cm="1">
        <f t="array" ref="S8:W8">INDEX(WeaponUP!$B$2:$F$877,MATCH(R8,WeaponUP!$A$2:$A$877,),)</f>
        <v>3</v>
      </c>
      <c r="T8" s="10">
        <v>3</v>
      </c>
      <c r="U8" s="10">
        <v>3</v>
      </c>
      <c r="V8" s="10">
        <v>3</v>
      </c>
      <c r="W8" s="10">
        <v>3</v>
      </c>
      <c r="X8" s="10">
        <f>_xlfn.XLOOKUP(K8,Weapon!B:B,Weapon!T:T)</f>
        <v>30030</v>
      </c>
      <c r="Y8" s="10" cm="1">
        <f t="array" ref="Y8:AC8">INDEX(Weapon!$N$2:$R$35,MATCH(K8,Weapon!$B$2:$B$35,),)</f>
        <v>12</v>
      </c>
      <c r="Z8" s="10">
        <v>12</v>
      </c>
      <c r="AA8" s="10">
        <v>12</v>
      </c>
      <c r="AB8" s="10">
        <v>12</v>
      </c>
      <c r="AC8" s="10">
        <v>12</v>
      </c>
      <c r="AD8" s="38" t="b" cm="1">
        <f t="array" ref="AD8">AND($C$5:$E$5&gt;INDEX(Weapon!$D$2:$F$35,MATCH(K8,Weapon!$B$2:$B$35,),))</f>
        <v>1</v>
      </c>
      <c r="AE8" s="16" cm="1">
        <f t="array" ref="AE8:AI8">IF(AD8,TRANSPOSE(1+_xlfn.BYROW(_xlfn.WRAPROWS(INDEX(AtkCorrect!$B$2:$Z$185,MATCH(X8,AtkCorrect!$A$2:$A$185,),),5)*_xlfn.ANCHORARRAY(L8)%*_xlfn.ANCHORARRAY(S8)*INDEX(Curve!$B$2:$EU$18,_xlfn.ANCHORARRAY(Y8)+1,$A$5:$E$5)%,_xleta.SUM)),0.6*S8^0)</f>
        <v>4.1500000000000004</v>
      </c>
      <c r="AF8" s="16">
        <v>4.1500000000000004</v>
      </c>
      <c r="AG8" s="16">
        <v>4.1500000000000004</v>
      </c>
      <c r="AH8" s="16">
        <v>4.1500000000000004</v>
      </c>
      <c r="AI8" s="16">
        <v>4.1500000000000004</v>
      </c>
      <c r="AJ8" s="10">
        <f>_xlfn.XLOOKUP(K8,Weapon!B:B,Weapon!S:S)</f>
        <v>11</v>
      </c>
      <c r="AK8" s="16" cm="1">
        <f t="array" ref="AK8">1+P8%*W8*INDEX(Curve!$B$2:$EU$18,AJ8+1,$E$5)%</f>
        <v>1.45</v>
      </c>
      <c r="AL8" s="16">
        <f>_xlfn.XLOOKUP($K8,Weapon!$B:$B,Weapon!V:V)</f>
        <v>1.1499999999999999</v>
      </c>
      <c r="AM8" s="16" t="str">
        <f>_xlfn.XLOOKUP($K8,Weapon!$B:$B,Weapon!W:W)</f>
        <v>龙飨</v>
      </c>
    </row>
    <row r="9" spans="1:116" ht="15.9" customHeight="1" outlineLevel="1" x14ac:dyDescent="0.3">
      <c r="A9" s="141" t="s">
        <v>6</v>
      </c>
      <c r="B9" s="142"/>
      <c r="C9" s="142"/>
      <c r="D9" s="131" t="s">
        <v>926</v>
      </c>
      <c r="E9" s="132"/>
      <c r="F9" s="133"/>
      <c r="G9" s="139" t="s">
        <v>682</v>
      </c>
      <c r="H9" s="139"/>
      <c r="I9" s="140"/>
    </row>
    <row r="10" spans="1:116" ht="15.9" customHeight="1" outlineLevel="1" x14ac:dyDescent="0.3">
      <c r="A10" s="93" t="s">
        <v>12</v>
      </c>
      <c r="B10" s="94" t="s">
        <v>694</v>
      </c>
      <c r="C10" s="95" t="s">
        <v>695</v>
      </c>
      <c r="D10" s="96" t="s">
        <v>832</v>
      </c>
      <c r="E10" s="97" t="s">
        <v>931</v>
      </c>
      <c r="F10" s="98" t="s">
        <v>939</v>
      </c>
      <c r="G10" s="99" t="s">
        <v>690</v>
      </c>
      <c r="H10" s="89" t="s">
        <v>903</v>
      </c>
      <c r="I10" s="89" t="s">
        <v>904</v>
      </c>
    </row>
    <row r="11" spans="1:116" ht="15.9" customHeight="1" outlineLevel="1" thickBot="1" x14ac:dyDescent="0.35">
      <c r="A11" s="70" t="s">
        <v>595</v>
      </c>
      <c r="B11" s="100">
        <v>1</v>
      </c>
      <c r="C11" s="101" t="str">
        <f>_xlfn.XLOOKUP(A11,敌人数据!A:A,敌人数据!S:S)</f>
        <v>否</v>
      </c>
      <c r="D11" s="102" t="s">
        <v>28</v>
      </c>
      <c r="E11" s="103" t="s">
        <v>492</v>
      </c>
      <c r="F11" s="104">
        <v>5</v>
      </c>
      <c r="G11" s="105">
        <f>IF(D11="魔法",AK7,AK8)</f>
        <v>2.6500000000000004</v>
      </c>
      <c r="H11" s="106">
        <f>IF($D$11="魔法",AL7,AL8)</f>
        <v>1.1499999999999999</v>
      </c>
      <c r="I11" s="107" t="str">
        <f>IF($D$11="魔法",AM7,AM8)</f>
        <v>指头</v>
      </c>
    </row>
    <row r="12" spans="1:116" ht="15.9" customHeight="1" outlineLevel="1" x14ac:dyDescent="0.3">
      <c r="A12" s="108"/>
      <c r="B12" s="109" t="s">
        <v>432</v>
      </c>
      <c r="C12" s="109" t="s">
        <v>433</v>
      </c>
      <c r="D12" s="110" t="s">
        <v>434</v>
      </c>
      <c r="E12" s="110" t="s">
        <v>435</v>
      </c>
      <c r="F12" s="110" t="s">
        <v>8</v>
      </c>
      <c r="G12" s="109" t="s">
        <v>9</v>
      </c>
      <c r="H12" s="109" t="s">
        <v>10</v>
      </c>
      <c r="I12" s="109" t="s">
        <v>11</v>
      </c>
    </row>
    <row r="13" spans="1:116" ht="15.9" customHeight="1" outlineLevel="1" x14ac:dyDescent="0.3">
      <c r="A13" s="94" t="s">
        <v>13</v>
      </c>
      <c r="B13" s="111" cm="1">
        <f t="array" ref="B13:I13">IF(LEN(B12:I12),INDEX(敌人数据!C1:J51,MATCH(A11,敌人数据!A1:A51,),MATCH(B11,敌人数据!C1:J1,)))</f>
        <v>117</v>
      </c>
      <c r="C13" s="111">
        <v>117</v>
      </c>
      <c r="D13" s="111">
        <v>117</v>
      </c>
      <c r="E13" s="111">
        <v>117</v>
      </c>
      <c r="F13" s="111">
        <v>117</v>
      </c>
      <c r="G13" s="111">
        <v>117</v>
      </c>
      <c r="H13" s="111">
        <v>117</v>
      </c>
      <c r="I13" s="111">
        <v>117</v>
      </c>
    </row>
    <row r="14" spans="1:116" ht="15.9" customHeight="1" outlineLevel="1" x14ac:dyDescent="0.3">
      <c r="A14" s="94" t="s">
        <v>14</v>
      </c>
      <c r="B14" s="106" cm="1">
        <f t="array" ref="B14:I14">INDEX(敌人数据!K1:R51,MATCH(A11,敌人数据!A1:A51,),)%</f>
        <v>1</v>
      </c>
      <c r="C14" s="106">
        <v>1</v>
      </c>
      <c r="D14" s="106">
        <v>1.1000000000000001</v>
      </c>
      <c r="E14" s="106">
        <v>1</v>
      </c>
      <c r="F14" s="106">
        <v>1</v>
      </c>
      <c r="G14" s="106">
        <v>1</v>
      </c>
      <c r="H14" s="106">
        <v>1</v>
      </c>
      <c r="I14" s="106">
        <v>0.8</v>
      </c>
    </row>
    <row r="15" spans="1:116" ht="12.45" customHeight="1" x14ac:dyDescent="0.3">
      <c r="A15" s="112" t="s">
        <v>936</v>
      </c>
    </row>
    <row r="16" spans="1:116" s="15" customFormat="1" ht="30.45" customHeight="1" x14ac:dyDescent="0.3">
      <c r="A16" s="113" t="s">
        <v>930</v>
      </c>
      <c r="B16" s="113" t="s">
        <v>689</v>
      </c>
      <c r="C16" s="113" t="s">
        <v>927</v>
      </c>
      <c r="D16" s="113" t="s">
        <v>932</v>
      </c>
      <c r="E16" s="113" t="s">
        <v>708</v>
      </c>
      <c r="F16" s="113" t="str">
        <f>"当前周目"&amp;CHAR(10)&amp;TEXT(B11,"[DBNum1]")&amp;"周目削韧"</f>
        <v>当前周目
一周目削韧</v>
      </c>
      <c r="G16" s="113" t="s">
        <v>624</v>
      </c>
      <c r="H16" s="113" t="s">
        <v>551</v>
      </c>
      <c r="I16" s="113" t="s">
        <v>745</v>
      </c>
      <c r="J16" s="80" t="s">
        <v>676</v>
      </c>
      <c r="K16" s="80" t="s">
        <v>685</v>
      </c>
      <c r="L16" s="80" t="s">
        <v>686</v>
      </c>
      <c r="M16" s="80" t="s">
        <v>687</v>
      </c>
      <c r="N16" s="80" t="s">
        <v>688</v>
      </c>
      <c r="O16" s="80" t="s">
        <v>903</v>
      </c>
      <c r="P16" s="80" t="s">
        <v>813</v>
      </c>
      <c r="Q16" s="80" t="s">
        <v>814</v>
      </c>
      <c r="R16" s="80" t="s">
        <v>815</v>
      </c>
      <c r="S16" s="80" t="s">
        <v>816</v>
      </c>
      <c r="T16" s="80" t="s">
        <v>817</v>
      </c>
      <c r="U16" s="80" t="s">
        <v>818</v>
      </c>
      <c r="V16" s="80" t="s">
        <v>834</v>
      </c>
      <c r="W16" s="80" t="s">
        <v>835</v>
      </c>
      <c r="X16" s="80" t="s">
        <v>836</v>
      </c>
      <c r="Y16" s="80" t="s">
        <v>819</v>
      </c>
      <c r="Z16" s="80" t="s">
        <v>820</v>
      </c>
      <c r="AA16" s="80" t="s">
        <v>821</v>
      </c>
      <c r="AB16" s="80" t="s">
        <v>822</v>
      </c>
      <c r="AC16" s="80" t="s">
        <v>823</v>
      </c>
      <c r="AD16" s="80" t="s">
        <v>824</v>
      </c>
      <c r="AE16" s="80" t="s">
        <v>842</v>
      </c>
      <c r="AF16" s="80" t="s">
        <v>843</v>
      </c>
      <c r="AG16" s="80" t="s">
        <v>844</v>
      </c>
      <c r="AH16" s="80" t="s">
        <v>845</v>
      </c>
      <c r="AI16" s="80" t="s">
        <v>846</v>
      </c>
      <c r="AJ16" s="80" t="s">
        <v>847</v>
      </c>
      <c r="AK16" s="81" t="s">
        <v>825</v>
      </c>
      <c r="AL16" s="81" t="s">
        <v>826</v>
      </c>
      <c r="AM16" s="81" t="s">
        <v>827</v>
      </c>
      <c r="AN16" s="81" t="s">
        <v>828</v>
      </c>
      <c r="AO16" s="81" t="s">
        <v>829</v>
      </c>
      <c r="AP16" s="81" t="s">
        <v>830</v>
      </c>
      <c r="AQ16" s="81" t="s">
        <v>831</v>
      </c>
      <c r="AR16" s="81" t="s">
        <v>848</v>
      </c>
      <c r="AS16" s="81" t="s">
        <v>849</v>
      </c>
      <c r="AT16" s="81" t="s">
        <v>850</v>
      </c>
      <c r="AU16" s="81" t="s">
        <v>851</v>
      </c>
      <c r="AV16" s="81" t="s">
        <v>852</v>
      </c>
      <c r="AW16" s="81" t="s">
        <v>853</v>
      </c>
      <c r="AX16" s="81" t="s">
        <v>854</v>
      </c>
      <c r="AY16" s="81" t="s">
        <v>855</v>
      </c>
      <c r="AZ16" s="81" t="s">
        <v>856</v>
      </c>
      <c r="BA16" s="81" t="s">
        <v>857</v>
      </c>
      <c r="BB16" s="81" t="s">
        <v>858</v>
      </c>
      <c r="BC16" s="81" t="s">
        <v>872</v>
      </c>
      <c r="BD16" s="81" t="s">
        <v>861</v>
      </c>
      <c r="BE16" s="81" t="s">
        <v>862</v>
      </c>
      <c r="BF16" s="81" t="s">
        <v>863</v>
      </c>
      <c r="BG16" s="81" t="s">
        <v>864</v>
      </c>
      <c r="BH16" s="81" t="s">
        <v>865</v>
      </c>
      <c r="BI16" s="81" t="s">
        <v>866</v>
      </c>
      <c r="BJ16" s="81" t="s">
        <v>867</v>
      </c>
      <c r="BK16" s="81" t="s">
        <v>868</v>
      </c>
      <c r="BL16" s="81" t="s">
        <v>869</v>
      </c>
      <c r="BM16" s="81" t="s">
        <v>870</v>
      </c>
      <c r="BN16" s="81" t="s">
        <v>871</v>
      </c>
      <c r="BO16" s="81" t="s">
        <v>873</v>
      </c>
      <c r="BP16" s="81" t="s">
        <v>874</v>
      </c>
      <c r="BQ16" s="81" t="s">
        <v>875</v>
      </c>
      <c r="BR16" s="81" t="s">
        <v>876</v>
      </c>
      <c r="BS16" s="81" t="s">
        <v>877</v>
      </c>
      <c r="BT16" s="81" t="s">
        <v>878</v>
      </c>
      <c r="BU16" s="81" t="s">
        <v>879</v>
      </c>
      <c r="BV16" s="81" t="s">
        <v>880</v>
      </c>
      <c r="BW16" s="81" t="s">
        <v>881</v>
      </c>
      <c r="BX16" s="81" t="s">
        <v>882</v>
      </c>
      <c r="BY16" s="81" t="s">
        <v>883</v>
      </c>
      <c r="BZ16" s="81" t="s">
        <v>884</v>
      </c>
      <c r="CA16" s="81" t="s">
        <v>885</v>
      </c>
      <c r="CB16" s="81" t="s">
        <v>886</v>
      </c>
      <c r="CC16" s="81" t="s">
        <v>887</v>
      </c>
      <c r="CD16" s="81" t="s">
        <v>888</v>
      </c>
      <c r="CE16" s="81" t="s">
        <v>889</v>
      </c>
      <c r="CF16" s="81" t="s">
        <v>890</v>
      </c>
      <c r="CG16" s="81" t="s">
        <v>891</v>
      </c>
      <c r="CH16" s="81" t="s">
        <v>892</v>
      </c>
      <c r="CI16" s="81" t="s">
        <v>893</v>
      </c>
      <c r="CJ16" s="81" t="s">
        <v>894</v>
      </c>
      <c r="CK16" s="81" t="s">
        <v>895</v>
      </c>
      <c r="CL16" s="81" t="s">
        <v>896</v>
      </c>
      <c r="CM16" s="81" t="s">
        <v>897</v>
      </c>
      <c r="CN16" s="81" t="s">
        <v>898</v>
      </c>
      <c r="CO16" s="81" t="s">
        <v>899</v>
      </c>
      <c r="CP16" s="81" t="s">
        <v>900</v>
      </c>
      <c r="CQ16" s="81" t="s">
        <v>901</v>
      </c>
      <c r="CR16" s="81" t="s">
        <v>902</v>
      </c>
      <c r="CS16" s="81" t="s">
        <v>905</v>
      </c>
      <c r="CT16" s="81" t="s">
        <v>906</v>
      </c>
      <c r="CU16" s="81" t="s">
        <v>907</v>
      </c>
      <c r="CV16" s="81" t="s">
        <v>908</v>
      </c>
      <c r="CW16" s="81" t="s">
        <v>909</v>
      </c>
      <c r="CX16" s="81" t="s">
        <v>910</v>
      </c>
      <c r="CY16" s="81" t="s">
        <v>911</v>
      </c>
      <c r="CZ16" s="81" t="s">
        <v>912</v>
      </c>
      <c r="DA16" s="81" t="s">
        <v>913</v>
      </c>
      <c r="DB16" s="81" t="s">
        <v>914</v>
      </c>
      <c r="DC16" s="81" t="s">
        <v>915</v>
      </c>
      <c r="DD16" s="81" t="s">
        <v>916</v>
      </c>
      <c r="DE16" s="81" t="s">
        <v>919</v>
      </c>
      <c r="DF16" s="81" t="s">
        <v>920</v>
      </c>
      <c r="DG16" s="81" t="s">
        <v>921</v>
      </c>
      <c r="DH16" s="81" t="s">
        <v>922</v>
      </c>
      <c r="DI16" s="81" t="s">
        <v>923</v>
      </c>
      <c r="DJ16" s="81" t="s">
        <v>924</v>
      </c>
      <c r="DK16" s="81" t="s">
        <v>613</v>
      </c>
      <c r="DL16" s="81" t="s">
        <v>779</v>
      </c>
    </row>
    <row r="17" spans="1:116" ht="21" customHeight="1" x14ac:dyDescent="0.3">
      <c r="A17" s="71" t="str" cm="1">
        <f t="array" ref="A17:A90">IF(D11="魔法",SpellData!A2:A75,SpellData!A76:A167)</f>
        <v>辉石魔砾</v>
      </c>
      <c r="B17" s="82" cm="1">
        <f t="array" ref="B17:B90">_xlfn.BYROW(_xlfn.ANCHORARRAY(J17):_xlfn.ANCHORARRAY(N17),_xleta.SUM)</f>
        <v>563</v>
      </c>
      <c r="C17" s="82" t="str" cm="1">
        <f t="array" ref="C17:C90">_xlfn.BYROW(IF(_xlfn.ANCHORARRAY(J17):_xlfn.ANCHORARRAY(N17),IF({1,0,0,0,0},_xlfn.ANCHORARRAY(AE17),LEFT(J16:N16)),""),_xlfn.LAMBDA(_xlpm.x,_xlfn.TEXTJOIN("+",,_xlpm.x)))</f>
        <v>魔</v>
      </c>
      <c r="D17" s="71" t="str" cm="1">
        <f t="array" ref="D17:D90">IF(_xlfn.XLOOKUP(_xlfn.ANCHORARRAY(A17),SpellData!A:A,SpellData!F:F)*(E11="是"),"是","否")</f>
        <v>否</v>
      </c>
      <c r="E17" s="75" cm="1">
        <f t="array" ref="E17:E90">ROUND(_xlfn.BYROW(_xlfn.ANCHORARRAY(CS17):_xlfn.ANCHORARRAY(CX17)*_xlfn.ANCHORARRAY(Y17):_xlfn.ANCHORARRAY(AD17),_xleta.SUM),2)</f>
        <v>3</v>
      </c>
      <c r="F17" s="75" cm="1">
        <f t="array" ref="F17:F90">ROUND(_xlfn.ANCHORARRAY(E17)*INDEX({1,1,0.95,0.9,0.85,0.8,0.7,0.6},B11),2)</f>
        <v>3</v>
      </c>
      <c r="G17" s="77" t="str" cm="1">
        <f t="array" ref="G17:G90">_xlfn.BYROW(_xlfn.ANCHORARRAY(CY17):_xlfn.ANCHORARRAY(DD17),_xlfn.LAMBDA(_xlpm.x,_xlfn.TEXTJOIN("+",,_xlpm.x)))</f>
        <v>1</v>
      </c>
      <c r="H17" s="100" t="str" cm="1">
        <f t="array" ref="H17:H90">_xlfn.LET(_xlpm.p,_xlfn.BYROW(_xlfn.ANCHORARRAY(DE17):_xlfn.ANCHORARRAY(DJ17)*_xlfn.ANCHORARRAY(Y17):_xlfn.ANCHORARRAY(AD17),_xlfn.LAMBDA(_xlpm.x,SUM(INT(_xlpm.x))))*IF((_xlfn.ANCHORARRAY(DK17)="出血值")+(_xlfn.ANCHORARRAY(DK17)="发狂值"),G11,1),_xlpm.q,_xlfn.ANCHORARRAY(DL17),_xlfn.IFS(_xlpm.q,_xlpm.q&amp;"出血值",_xlpm.p,INT(_xlpm.p)&amp;_xlfn.ANCHORARRAY(DK17),1,"无"))</f>
        <v>无</v>
      </c>
      <c r="I17" s="75" cm="1">
        <f t="array" ref="I17:I90">VLOOKUP(_xlfn.ANCHORARRAY(A17),SpellData!A:D,IF(E11="是",4,3),)+_xlfn.XLOOKUP(_xlfn.ANCHORARRAY(A17),SpellData!A:A,SpellData!E:E)*F11</f>
        <v>7</v>
      </c>
      <c r="J17" s="76" cm="1">
        <f t="array" ref="J17:J90">INT(_xlfn.BYROW(_xlfn.ANCHORARRAY(AQ17):_xlfn.ANCHORARRAY(AV17),_xleta.SUM)*_xlfn.ANCHORARRAY(O17))</f>
        <v>0</v>
      </c>
      <c r="K17" s="76" cm="1">
        <f t="array" ref="K17:K90">INT(_xlfn.BYROW(_xlfn.ANCHORARRAY(BC17):_xlfn.ANCHORARRAY(BH17),_xleta.SUM)*_xlfn.ANCHORARRAY(O17))</f>
        <v>563</v>
      </c>
      <c r="L17" s="76" cm="1">
        <f t="array" ref="L17:L90">INT(_xlfn.BYROW(_xlfn.ANCHORARRAY(BO17):_xlfn.ANCHORARRAY(BT17),_xleta.SUM)*_xlfn.ANCHORARRAY(O17))</f>
        <v>0</v>
      </c>
      <c r="M17" s="76" cm="1">
        <f t="array" ref="M17:M90">INT(_xlfn.BYROW(_xlfn.ANCHORARRAY(CA17):_xlfn.ANCHORARRAY(CF17),_xleta.SUM)*_xlfn.ANCHORARRAY(O17))</f>
        <v>0</v>
      </c>
      <c r="N17" s="76" cm="1">
        <f t="array" ref="N17:N90">INT(_xlfn.BYROW(_xlfn.ANCHORARRAY(CM17):_xlfn.ANCHORARRAY(CR17),_xleta.SUM)*_xlfn.ANCHORARRAY(O17))</f>
        <v>0</v>
      </c>
      <c r="O17" s="76" cm="1">
        <f t="array" ref="O17:O90">IF(_xlfn.XLOOKUP(_xlfn.ANCHORARRAY(P17),AtkParam!A:A,AtkParam!M:M)=I11,H11,1)</f>
        <v>1</v>
      </c>
      <c r="P17" s="10" cm="1">
        <f t="array" ref="P17:P90">IF(_xlfn.ANCHORARRAY($D$17)="是",_xlfn.XLOOKUP(_xlfn.ANCHORARRAY($A$17),SpellData!$A:$A,SpellData!P:P),_xlfn.XLOOKUP(_xlfn.ANCHORARRAY($A$17),SpellData!$A:$A,SpellData!J:J))</f>
        <v>40000</v>
      </c>
      <c r="Q17" s="10" cm="1">
        <f t="array" ref="Q17:Q90">IF(_xlfn.ANCHORARRAY($D$17)="是",_xlfn.XLOOKUP(_xlfn.ANCHORARRAY($A$17),SpellData!$A:$A,SpellData!Q:Q),_xlfn.XLOOKUP(_xlfn.ANCHORARRAY($A$17),SpellData!$A:$A,SpellData!K:K))</f>
        <v>0</v>
      </c>
      <c r="R17" s="10" cm="1">
        <f t="array" ref="R17:R90">IF(_xlfn.ANCHORARRAY($D$17)="是",_xlfn.XLOOKUP(_xlfn.ANCHORARRAY($A$17),SpellData!$A:$A,SpellData!R:R),_xlfn.XLOOKUP(_xlfn.ANCHORARRAY($A$17),SpellData!$A:$A,SpellData!L:L))</f>
        <v>0</v>
      </c>
      <c r="S17" s="10" cm="1">
        <f t="array" ref="S17:S90">IF(_xlfn.ANCHORARRAY($D$17)="是",_xlfn.XLOOKUP(_xlfn.ANCHORARRAY($A$17),SpellData!$A:$A,SpellData!S:S),_xlfn.XLOOKUP(_xlfn.ANCHORARRAY($A$17),SpellData!$A:$A,SpellData!M:M))</f>
        <v>0</v>
      </c>
      <c r="T17" s="10" cm="1">
        <f t="array" ref="T17:T90">IF(_xlfn.ANCHORARRAY($D$17)="是",_xlfn.XLOOKUP(_xlfn.ANCHORARRAY($A$17),SpellData!$A:$A,SpellData!T:T),_xlfn.XLOOKUP(_xlfn.ANCHORARRAY($A$17),SpellData!$A:$A,SpellData!N:N))</f>
        <v>0</v>
      </c>
      <c r="U17" s="10" cm="1">
        <f t="array" ref="U17:U90">IF(_xlfn.ANCHORARRAY($D$17)="是",_xlfn.XLOOKUP(_xlfn.ANCHORARRAY($A$17),SpellData!$A:$A,SpellData!U:U),_xlfn.XLOOKUP(_xlfn.ANCHORARRAY($A$17),SpellData!$A:$A,SpellData!O:O))</f>
        <v>0</v>
      </c>
      <c r="V17" s="10" cm="1">
        <f t="array" ref="V17:V90">_xlfn.XLOOKUP(_xlfn.ANCHORARRAY($A$17),SpellData!$A:$A,SpellData!G:G)</f>
        <v>0</v>
      </c>
      <c r="W17" s="10" cm="1">
        <f t="array" ref="W17:W90">_xlfn.XLOOKUP(_xlfn.ANCHORARRAY($A$17),SpellData!$A:$A,SpellData!H:H)</f>
        <v>0</v>
      </c>
      <c r="X17" s="10" cm="1">
        <f t="array" ref="X17:X90">_xlfn.XLOOKUP(_xlfn.ANCHORARRAY($A$17),SpellData!$A:$A,SpellData!I:I)</f>
        <v>0</v>
      </c>
      <c r="Y17" s="10" cm="1">
        <f t="array" ref="Y17:Y90">IF(_xlfn.ANCHORARRAY(P17)=0,,_xlfn.XLOOKUP(_xlfn.ANCHORARRAY(P17),AtkParam!$A:$A,AtkParam!$C:$C,0)+IF($E$11="是",IF(_xlfn.ANCHORARRAY(P17)=_xlfn.ANCHORARRAY($V$17),$F$11)+IF(_xlfn.ANCHORARRAY(P17)=_xlfn.ANCHORARRAY($W$17),$F$11)+IF(_xlfn.ANCHORARRAY(P17)=_xlfn.ANCHORARRAY($X$17),$F$11,),))</f>
        <v>1</v>
      </c>
      <c r="Z17" s="10" cm="1">
        <f t="array" ref="Z17:Z90">IF(_xlfn.ANCHORARRAY(Q17)=0,,_xlfn.XLOOKUP(_xlfn.ANCHORARRAY(Q17),AtkParam!$A:$A,AtkParam!$C:$C,0)+IF($E$11="是",IF(_xlfn.ANCHORARRAY(Q17)=_xlfn.ANCHORARRAY($V$17),$F$11)+IF(_xlfn.ANCHORARRAY(Q17)=_xlfn.ANCHORARRAY($W$17),$F$11)+IF(_xlfn.ANCHORARRAY(Q17)=_xlfn.ANCHORARRAY($X$17),$F$11,),))</f>
        <v>0</v>
      </c>
      <c r="AA17" s="10" cm="1">
        <f t="array" ref="AA17:AA90">IF(_xlfn.ANCHORARRAY(R17)=0,,_xlfn.XLOOKUP(_xlfn.ANCHORARRAY(R17),AtkParam!$A:$A,AtkParam!$C:$C,0)+IF($E$11="是",IF(_xlfn.ANCHORARRAY(R17)=_xlfn.ANCHORARRAY($V$17),$F$11)+IF(_xlfn.ANCHORARRAY(R17)=_xlfn.ANCHORARRAY($W$17),$F$11)+IF(_xlfn.ANCHORARRAY(R17)=_xlfn.ANCHORARRAY($X$17),$F$11,),))</f>
        <v>0</v>
      </c>
      <c r="AB17" s="10" cm="1">
        <f t="array" ref="AB17:AB90">IF(_xlfn.ANCHORARRAY(S17)=0,,_xlfn.XLOOKUP(_xlfn.ANCHORARRAY(S17),AtkParam!$A:$A,AtkParam!$C:$C,0)+IF($E$11="是",IF(_xlfn.ANCHORARRAY(S17)=_xlfn.ANCHORARRAY($V$17),$F$11)+IF(_xlfn.ANCHORARRAY(S17)=_xlfn.ANCHORARRAY($W$17),$F$11)+IF(_xlfn.ANCHORARRAY(S17)=_xlfn.ANCHORARRAY($X$17),$F$11,),))</f>
        <v>0</v>
      </c>
      <c r="AC17" s="10" cm="1">
        <f t="array" ref="AC17:AC90">IF(_xlfn.ANCHORARRAY(T17)=0,,_xlfn.XLOOKUP(_xlfn.ANCHORARRAY(T17),AtkParam!$A:$A,AtkParam!$C:$C,0)+IF($E$11="是",IF(_xlfn.ANCHORARRAY(T17)=_xlfn.ANCHORARRAY($V$17),$F$11)+IF(_xlfn.ANCHORARRAY(T17)=_xlfn.ANCHORARRAY($W$17),$F$11)+IF(_xlfn.ANCHORARRAY(T17)=_xlfn.ANCHORARRAY($X$17),$F$11,),))</f>
        <v>0</v>
      </c>
      <c r="AD17" s="10" cm="1">
        <f t="array" ref="AD17:AD90">IF(_xlfn.ANCHORARRAY(U17)=0,,_xlfn.XLOOKUP(_xlfn.ANCHORARRAY(U17),AtkParam!$A:$A,AtkParam!$C:$C,0)+IF($E$11="是",IF(_xlfn.ANCHORARRAY(U17)=_xlfn.ANCHORARRAY($V$17),$F$11)+IF(_xlfn.ANCHORARRAY(U17)=_xlfn.ANCHORARRAY($W$17),$F$11)+IF(_xlfn.ANCHORARRAY(U17)=_xlfn.ANCHORARRAY($X$17),$F$11,),))</f>
        <v>0</v>
      </c>
      <c r="AE17" s="10" t="str" cm="1">
        <f t="array" ref="AE17:AE90">_xlfn.XLOOKUP(_xlfn.ANCHORARRAY(P17),AtkParam!$A:$A,AtkParam!$L:$L,"无")</f>
        <v>无</v>
      </c>
      <c r="AF17" s="10" t="str" cm="1">
        <f t="array" ref="AF17:AF90">_xlfn.XLOOKUP(_xlfn.ANCHORARRAY(Q17),AtkParam!$A:$A,AtkParam!$L:$L,"无")</f>
        <v>无</v>
      </c>
      <c r="AG17" s="10" t="str" cm="1">
        <f t="array" ref="AG17:AG90">_xlfn.XLOOKUP(_xlfn.ANCHORARRAY(R17),AtkParam!$A:$A,AtkParam!$L:$L,"无")</f>
        <v>无</v>
      </c>
      <c r="AH17" s="10" t="str" cm="1">
        <f t="array" ref="AH17:AH90">_xlfn.XLOOKUP(_xlfn.ANCHORARRAY(S17),AtkParam!$A:$A,AtkParam!$L:$L,"无")</f>
        <v>无</v>
      </c>
      <c r="AI17" s="10" t="str" cm="1">
        <f t="array" ref="AI17:AI90">_xlfn.XLOOKUP(_xlfn.ANCHORARRAY(T17),AtkParam!$A:$A,AtkParam!$L:$L,"无")</f>
        <v>无</v>
      </c>
      <c r="AJ17" s="10" t="str" cm="1">
        <f t="array" ref="AJ17:AJ90">_xlfn.XLOOKUP(_xlfn.ANCHORARRAY(U17),AtkParam!$A:$A,AtkParam!$L:$L,"无")</f>
        <v>无</v>
      </c>
      <c r="AK17" s="10" cm="1">
        <f t="array" ref="AK17:AK90">_xlfn.XLOOKUP(_xlfn.ANCHORARRAY(P17),AtkParam!$A:$A,AtkParam!$G:$G,0)*$E$8%</f>
        <v>0</v>
      </c>
      <c r="AL17" s="10" cm="1">
        <f t="array" ref="AL17:AL90">_xlfn.XLOOKUP(_xlfn.ANCHORARRAY(Q17),AtkParam!$A:$A,AtkParam!$G:$G,0)*$E$8%</f>
        <v>0</v>
      </c>
      <c r="AM17" s="10" cm="1">
        <f t="array" ref="AM17:AM90">_xlfn.XLOOKUP(_xlfn.ANCHORARRAY(R17),AtkParam!$A:$A,AtkParam!$G:$G,0)*$E$8%</f>
        <v>0</v>
      </c>
      <c r="AN17" s="10" cm="1">
        <f t="array" ref="AN17:AN90">_xlfn.XLOOKUP(_xlfn.ANCHORARRAY(S17),AtkParam!$A:$A,AtkParam!$G:$G,0)*$E$8%</f>
        <v>0</v>
      </c>
      <c r="AO17" s="10" cm="1">
        <f t="array" ref="AO17:AO90">_xlfn.XLOOKUP(_xlfn.ANCHORARRAY(T17),AtkParam!$A:$A,AtkParam!$G:$G,0)*$E$8%</f>
        <v>0</v>
      </c>
      <c r="AP17" s="10" cm="1">
        <f t="array" ref="AP17:AP90">_xlfn.XLOOKUP(_xlfn.ANCHORARRAY(U17),AtkParam!$A:$A,AtkParam!$G:$G,0)*$E$8%</f>
        <v>0</v>
      </c>
      <c r="AQ17" s="10" cm="1">
        <f t="array" ref="AQ17:AQ90">_xlfn.LET(_xlpm.r,_xlfn.XLOOKUP(_xlfn.ANCHORARRAY(AE17),$B$12:$E$12,$B$14:$E$14,0),_xlpm.p,_xlfn.ANCHORARRAY(AK17)/$E$13,_xlpm.q,MATCH(_xlpm.p,List!$C$2:$C$6),_xlpm.a,INDEX(List!$D$2:$D$6,_xlpm.q),_xlpm.b,INDEX(List!$E$2:$E$6,_xlpm.q),_xlpm.c,INDEX(List!$F$2:$F$6,_xlpm.q),INT((_xlpm.a*(_xlpm.p-_xlpm.b)^2+_xlpm.c)*_xlfn.ANCHORARRAY(AK17)*_xlpm.r)*_xlfn.ANCHORARRAY(Y17))</f>
        <v>0</v>
      </c>
      <c r="AR17" s="10" cm="1">
        <f t="array" ref="AR17:AR90">_xlfn.LET(_xlpm.r,_xlfn.XLOOKUP(_xlfn.ANCHORARRAY(AF17),$B$12:$E$12,$B$14:$E$14,0),_xlpm.p,_xlfn.ANCHORARRAY(AL17)/$E$13,_xlpm.q,MATCH(_xlpm.p,List!$C$2:$C$6),_xlpm.a,INDEX(List!$D$2:$D$6,_xlpm.q),_xlpm.b,INDEX(List!$E$2:$E$6,_xlpm.q),_xlpm.c,INDEX(List!$F$2:$F$6,_xlpm.q),INT((_xlpm.a*(_xlpm.p-_xlpm.b)^2+_xlpm.c)*_xlfn.ANCHORARRAY(AL17)*_xlpm.r)*_xlfn.ANCHORARRAY(Z17))</f>
        <v>0</v>
      </c>
      <c r="AS17" s="10" cm="1">
        <f t="array" ref="AS17:AS90">_xlfn.LET(_xlpm.r,_xlfn.XLOOKUP(_xlfn.ANCHORARRAY(AG17),$B$12:$E$12,$B$14:$E$14,0),_xlpm.p,_xlfn.ANCHORARRAY(AM17)/$E$13,_xlpm.q,MATCH(_xlpm.p,List!$C$2:$C$6),_xlpm.a,INDEX(List!$D$2:$D$6,_xlpm.q),_xlpm.b,INDEX(List!$E$2:$E$6,_xlpm.q),_xlpm.c,INDEX(List!$F$2:$F$6,_xlpm.q),INT((_xlpm.a*(_xlpm.p-_xlpm.b)^2+_xlpm.c)*_xlfn.ANCHORARRAY(AM17)*_xlpm.r)*_xlfn.ANCHORARRAY(AA17))</f>
        <v>0</v>
      </c>
      <c r="AT17" s="10" cm="1">
        <f t="array" ref="AT17:AT90">_xlfn.LET(_xlpm.r,_xlfn.XLOOKUP(_xlfn.ANCHORARRAY(AH17),$B$12:$E$12,$B$14:$E$14,0),_xlpm.p,_xlfn.ANCHORARRAY(AN17)/$E$13,_xlpm.q,MATCH(_xlpm.p,List!$C$2:$C$6),_xlpm.a,INDEX(List!$D$2:$D$6,_xlpm.q),_xlpm.b,INDEX(List!$E$2:$E$6,_xlpm.q),_xlpm.c,INDEX(List!$F$2:$F$6,_xlpm.q),INT((_xlpm.a*(_xlpm.p-_xlpm.b)^2+_xlpm.c)*_xlfn.ANCHORARRAY(AN17)*_xlpm.r)*_xlfn.ANCHORARRAY(AB17))</f>
        <v>0</v>
      </c>
      <c r="AU17" s="10" cm="1">
        <f t="array" ref="AU17:AU90">_xlfn.LET(_xlpm.r,_xlfn.XLOOKUP(_xlfn.ANCHORARRAY(AI17),$B$12:$E$12,$B$14:$E$14,0),_xlpm.p,_xlfn.ANCHORARRAY(AO17)/$E$13,_xlpm.q,MATCH(_xlpm.p,List!$C$2:$C$6),_xlpm.a,INDEX(List!$D$2:$D$6,_xlpm.q),_xlpm.b,INDEX(List!$E$2:$E$6,_xlpm.q),_xlpm.c,INDEX(List!$F$2:$F$6,_xlpm.q),INT((_xlpm.a*(_xlpm.p-_xlpm.b)^2+_xlpm.c)*_xlfn.ANCHORARRAY(AO17)*_xlpm.r)*_xlfn.ANCHORARRAY(AC17))</f>
        <v>0</v>
      </c>
      <c r="AV17" s="10" cm="1">
        <f t="array" ref="AV17:AV90">_xlfn.LET(_xlpm.r,_xlfn.XLOOKUP(_xlfn.ANCHORARRAY(AJ17),$B$12:$E$12,$B$14:$E$14,0),_xlpm.p,_xlfn.ANCHORARRAY(AP17)/$E$13,_xlpm.q,MATCH(_xlpm.p,List!$C$2:$C$6),_xlpm.a,INDEX(List!$D$2:$D$6,_xlpm.q),_xlpm.b,INDEX(List!$E$2:$E$6,_xlpm.q),_xlpm.c,INDEX(List!$F$2:$F$6,_xlpm.q),INT((_xlpm.a*(_xlpm.p-_xlpm.b)^2+_xlpm.c)*_xlfn.ANCHORARRAY(AP17)*_xlpm.r)*_xlfn.ANCHORARRAY(AD17))</f>
        <v>0</v>
      </c>
      <c r="AW17" s="10" cm="1">
        <f t="array" ref="AW17:AW90">_xlfn.XLOOKUP(_xlfn.ANCHORARRAY(P17),AtkParam!$A:$A,AtkParam!$H:$H,0)*$F$8%</f>
        <v>653.60000000000014</v>
      </c>
      <c r="AX17" s="10" cm="1">
        <f t="array" ref="AX17:AX90">_xlfn.XLOOKUP(_xlfn.ANCHORARRAY(Q17),AtkParam!$A:$A,AtkParam!$H:$H,0)*$F$8%</f>
        <v>0</v>
      </c>
      <c r="AY17" s="10" cm="1">
        <f t="array" ref="AY17:AY90">_xlfn.XLOOKUP(_xlfn.ANCHORARRAY(R17),AtkParam!$A:$A,AtkParam!$H:$H,0)*$F$8%</f>
        <v>0</v>
      </c>
      <c r="AZ17" s="10" cm="1">
        <f t="array" ref="AZ17:AZ90">_xlfn.XLOOKUP(_xlfn.ANCHORARRAY(S17),AtkParam!$A:$A,AtkParam!$H:$H,0)*$F$8%</f>
        <v>0</v>
      </c>
      <c r="BA17" s="10" cm="1">
        <f t="array" ref="BA17:BA90">_xlfn.XLOOKUP(_xlfn.ANCHORARRAY(T17),AtkParam!$A:$A,AtkParam!$H:$H,0)*$F$8%</f>
        <v>0</v>
      </c>
      <c r="BB17" s="10" cm="1">
        <f t="array" ref="BB17:BB90">_xlfn.XLOOKUP(_xlfn.ANCHORARRAY(U17),AtkParam!$A:$A,AtkParam!$H:$H,0)*$F$8%</f>
        <v>0</v>
      </c>
      <c r="BC17" s="10" cm="1">
        <f t="array" ref="BC17:BC90">_xlfn.LET(_xlpm.r,$F$14,_xlpm.p,_xlfn.ANCHORARRAY(AW17)/$F$13,_xlpm.q,MATCH(_xlpm.p,List!$C$2:$C$6),_xlpm.a,INDEX(List!$D$2:$D$6,_xlpm.q),_xlpm.b,INDEX(List!$E$2:$E$6,_xlpm.q),_xlpm.c,INDEX(List!$F$2:$F$6,_xlpm.q),INT((_xlpm.a*(_xlpm.p-_xlpm.b)^2+_xlpm.c)*_xlfn.ANCHORARRAY(AW17)*_xlpm.r)*_xlfn.ANCHORARRAY(Y17))</f>
        <v>563</v>
      </c>
      <c r="BD17" s="10" cm="1">
        <f t="array" ref="BD17:BD90">_xlfn.LET(_xlpm.r,$F$14,_xlpm.p,_xlfn.ANCHORARRAY(AX17)/$F$13,_xlpm.q,MATCH(_xlpm.p,List!$C$2:$C$6),_xlpm.a,INDEX(List!$D$2:$D$6,_xlpm.q),_xlpm.b,INDEX(List!$E$2:$E$6,_xlpm.q),_xlpm.c,INDEX(List!$F$2:$F$6,_xlpm.q),INT((_xlpm.a*(_xlpm.p-_xlpm.b)^2+_xlpm.c)*_xlfn.ANCHORARRAY(AX17)*_xlpm.r)*_xlfn.ANCHORARRAY(Z17))</f>
        <v>0</v>
      </c>
      <c r="BE17" s="10" cm="1">
        <f t="array" ref="BE17:BE90">_xlfn.LET(_xlpm.r,$F$14,_xlpm.p,_xlfn.ANCHORARRAY(AY17)/$F$13,_xlpm.q,MATCH(_xlpm.p,List!$C$2:$C$6),_xlpm.a,INDEX(List!$D$2:$D$6,_xlpm.q),_xlpm.b,INDEX(List!$E$2:$E$6,_xlpm.q),_xlpm.c,INDEX(List!$F$2:$F$6,_xlpm.q),INT((_xlpm.a*(_xlpm.p-_xlpm.b)^2+_xlpm.c)*_xlfn.ANCHORARRAY(AY17)*_xlpm.r)*_xlfn.ANCHORARRAY(AA17))</f>
        <v>0</v>
      </c>
      <c r="BF17" s="10" cm="1">
        <f t="array" ref="BF17:BF90">_xlfn.LET(_xlpm.r,$F$14,_xlpm.p,_xlfn.ANCHORARRAY(AZ17)/$F$13,_xlpm.q,MATCH(_xlpm.p,List!$C$2:$C$6),_xlpm.a,INDEX(List!$D$2:$D$6,_xlpm.q),_xlpm.b,INDEX(List!$E$2:$E$6,_xlpm.q),_xlpm.c,INDEX(List!$F$2:$F$6,_xlpm.q),INT((_xlpm.a*(_xlpm.p-_xlpm.b)^2+_xlpm.c)*_xlfn.ANCHORARRAY(AZ17)*_xlpm.r)*_xlfn.ANCHORARRAY(AB17))</f>
        <v>0</v>
      </c>
      <c r="BG17" s="10" cm="1">
        <f t="array" ref="BG17:BG90">_xlfn.LET(_xlpm.r,$F$14,_xlpm.p,_xlfn.ANCHORARRAY(BA17)/$F$13,_xlpm.q,MATCH(_xlpm.p,List!$C$2:$C$6),_xlpm.a,INDEX(List!$D$2:$D$6,_xlpm.q),_xlpm.b,INDEX(List!$E$2:$E$6,_xlpm.q),_xlpm.c,INDEX(List!$F$2:$F$6,_xlpm.q),INT((_xlpm.a*(_xlpm.p-_xlpm.b)^2+_xlpm.c)*_xlfn.ANCHORARRAY(BA17)*_xlpm.r)*_xlfn.ANCHORARRAY(AC17))</f>
        <v>0</v>
      </c>
      <c r="BH17" s="10" cm="1">
        <f t="array" ref="BH17:BH90">_xlfn.LET(_xlpm.r,$F$14,_xlpm.p,_xlfn.ANCHORARRAY(BB17)/$F$13,_xlpm.q,MATCH(_xlpm.p,List!$C$2:$C$6),_xlpm.a,INDEX(List!$D$2:$D$6,_xlpm.q),_xlpm.b,INDEX(List!$E$2:$E$6,_xlpm.q),_xlpm.c,INDEX(List!$F$2:$F$6,_xlpm.q),INT((_xlpm.a*(_xlpm.p-_xlpm.b)^2+_xlpm.c)*_xlfn.ANCHORARRAY(BB17)*_xlpm.r)*_xlfn.ANCHORARRAY(AD17))</f>
        <v>0</v>
      </c>
      <c r="BI17" s="10" cm="1">
        <f t="array" ref="BI17:BI90">_xlfn.XLOOKUP(_xlfn.ANCHORARRAY(P17),AtkParam!$A:$A,AtkParam!$I:$I,0)*$G$8%</f>
        <v>0</v>
      </c>
      <c r="BJ17" s="10" cm="1">
        <f t="array" ref="BJ17:BJ90">_xlfn.XLOOKUP(_xlfn.ANCHORARRAY(Q17),AtkParam!$A:$A,AtkParam!$I:$I,0)*$G$8%</f>
        <v>0</v>
      </c>
      <c r="BK17" s="10" cm="1">
        <f t="array" ref="BK17:BK90">_xlfn.XLOOKUP(_xlfn.ANCHORARRAY(R17),AtkParam!$A:$A,AtkParam!$I:$I,0)*$G$8%</f>
        <v>0</v>
      </c>
      <c r="BL17" s="10" cm="1">
        <f t="array" ref="BL17:BL90">_xlfn.XLOOKUP(_xlfn.ANCHORARRAY(S17),AtkParam!$A:$A,AtkParam!$I:$I,0)*$G$8%</f>
        <v>0</v>
      </c>
      <c r="BM17" s="10" cm="1">
        <f t="array" ref="BM17:BM90">_xlfn.XLOOKUP(_xlfn.ANCHORARRAY(T17),AtkParam!$A:$A,AtkParam!$I:$I,0)*$G$8%</f>
        <v>0</v>
      </c>
      <c r="BN17" s="10" cm="1">
        <f t="array" ref="BN17:BN90">_xlfn.XLOOKUP(_xlfn.ANCHORARRAY(U17),AtkParam!$A:$A,AtkParam!$I:$I,0)*$G$8%</f>
        <v>0</v>
      </c>
      <c r="BO17" s="10" cm="1">
        <f t="array" ref="BO17:BO90">_xlfn.LET(_xlpm.r,$G$14,_xlpm.p,_xlfn.ANCHORARRAY(BI17)/$G$13,_xlpm.q,MATCH(_xlpm.p,List!$C$2:$C$6),_xlpm.a,INDEX(List!$D$2:$D$6,_xlpm.q),_xlpm.b,INDEX(List!$E$2:$E$6,_xlpm.q),_xlpm.c,INDEX(List!$F$2:$F$6,_xlpm.q),INT((_xlpm.a*(_xlpm.p-_xlpm.b)^2+_xlpm.c)*_xlfn.ANCHORARRAY(BI17)*_xlpm.r)*_xlfn.ANCHORARRAY(Y17))</f>
        <v>0</v>
      </c>
      <c r="BP17" s="10" cm="1">
        <f t="array" ref="BP17:BP90">_xlfn.LET(_xlpm.r,$G$14,_xlpm.p,_xlfn.ANCHORARRAY(BJ17)/$G$13,_xlpm.q,MATCH(_xlpm.p,List!$C$2:$C$6),_xlpm.a,INDEX(List!$D$2:$D$6,_xlpm.q),_xlpm.b,INDEX(List!$E$2:$E$6,_xlpm.q),_xlpm.c,INDEX(List!$F$2:$F$6,_xlpm.q),INT((_xlpm.a*(_xlpm.p-_xlpm.b)^2+_xlpm.c)*_xlfn.ANCHORARRAY(BJ17)*_xlpm.r)*_xlfn.ANCHORARRAY(Z17))</f>
        <v>0</v>
      </c>
      <c r="BQ17" s="10" cm="1">
        <f t="array" ref="BQ17:BQ90">_xlfn.LET(_xlpm.r,$G$14,_xlpm.p,_xlfn.ANCHORARRAY(BK17)/$G$13,_xlpm.q,MATCH(_xlpm.p,List!$C$2:$C$6),_xlpm.a,INDEX(List!$D$2:$D$6,_xlpm.q),_xlpm.b,INDEX(List!$E$2:$E$6,_xlpm.q),_xlpm.c,INDEX(List!$F$2:$F$6,_xlpm.q),INT((_xlpm.a*(_xlpm.p-_xlpm.b)^2+_xlpm.c)*_xlfn.ANCHORARRAY(BK17)*_xlpm.r)*_xlfn.ANCHORARRAY(AA17))</f>
        <v>0</v>
      </c>
      <c r="BR17" s="10" cm="1">
        <f t="array" ref="BR17:BR90">_xlfn.LET(_xlpm.r,$G$14,_xlpm.p,_xlfn.ANCHORARRAY(BL17)/$G$13,_xlpm.q,MATCH(_xlpm.p,List!$C$2:$C$6),_xlpm.a,INDEX(List!$D$2:$D$6,_xlpm.q),_xlpm.b,INDEX(List!$E$2:$E$6,_xlpm.q),_xlpm.c,INDEX(List!$F$2:$F$6,_xlpm.q),INT((_xlpm.a*(_xlpm.p-_xlpm.b)^2+_xlpm.c)*_xlfn.ANCHORARRAY(BL17)*_xlpm.r)*_xlfn.ANCHORARRAY(AB17))</f>
        <v>0</v>
      </c>
      <c r="BS17" s="10" cm="1">
        <f t="array" ref="BS17:BS90">_xlfn.LET(_xlpm.r,$G$14,_xlpm.p,_xlfn.ANCHORARRAY(BM17)/$G$13,_xlpm.q,MATCH(_xlpm.p,List!$C$2:$C$6),_xlpm.a,INDEX(List!$D$2:$D$6,_xlpm.q),_xlpm.b,INDEX(List!$E$2:$E$6,_xlpm.q),_xlpm.c,INDEX(List!$F$2:$F$6,_xlpm.q),INT((_xlpm.a*(_xlpm.p-_xlpm.b)^2+_xlpm.c)*_xlfn.ANCHORARRAY(BM17)*_xlpm.r)*_xlfn.ANCHORARRAY(AC17))</f>
        <v>0</v>
      </c>
      <c r="BT17" s="10" cm="1">
        <f t="array" ref="BT17:BT90">_xlfn.LET(_xlpm.r,$G$14,_xlpm.p,_xlfn.ANCHORARRAY(BN17)/$G$13,_xlpm.q,MATCH(_xlpm.p,List!$C$2:$C$6),_xlpm.a,INDEX(List!$D$2:$D$6,_xlpm.q),_xlpm.b,INDEX(List!$E$2:$E$6,_xlpm.q),_xlpm.c,INDEX(List!$F$2:$F$6,_xlpm.q),INT((_xlpm.a*(_xlpm.p-_xlpm.b)^2+_xlpm.c)*_xlfn.ANCHORARRAY(BN17)*_xlpm.r)*_xlfn.ANCHORARRAY(AD17))</f>
        <v>0</v>
      </c>
      <c r="BU17" s="10" cm="1">
        <f t="array" ref="BU17:BU90">_xlfn.XLOOKUP(_xlfn.ANCHORARRAY(P17),AtkParam!$A:$A,AtkParam!$J:$J,0)*$H$8%</f>
        <v>0</v>
      </c>
      <c r="BV17" s="10" cm="1">
        <f t="array" ref="BV17:BV90">_xlfn.XLOOKUP(_xlfn.ANCHORARRAY(Q17),AtkParam!$A:$A,AtkParam!$J:$J,0)*$H$8%</f>
        <v>0</v>
      </c>
      <c r="BW17" s="10" cm="1">
        <f t="array" ref="BW17:BW90">_xlfn.XLOOKUP(_xlfn.ANCHORARRAY(R17),AtkParam!$A:$A,AtkParam!$J:$J,0)*$H$8%</f>
        <v>0</v>
      </c>
      <c r="BX17" s="10" cm="1">
        <f t="array" ref="BX17:BX90">_xlfn.XLOOKUP(_xlfn.ANCHORARRAY(S17),AtkParam!$A:$A,AtkParam!$J:$J,0)*$H$8%</f>
        <v>0</v>
      </c>
      <c r="BY17" s="10" cm="1">
        <f t="array" ref="BY17:BY90">_xlfn.XLOOKUP(_xlfn.ANCHORARRAY(T17),AtkParam!$A:$A,AtkParam!$J:$J,0)*$H$8%</f>
        <v>0</v>
      </c>
      <c r="BZ17" s="10" cm="1">
        <f t="array" ref="BZ17:BZ90">_xlfn.XLOOKUP(_xlfn.ANCHORARRAY(U17),AtkParam!$A:$A,AtkParam!$J:$J,0)*$H$8%</f>
        <v>0</v>
      </c>
      <c r="CA17" s="10" cm="1">
        <f t="array" ref="CA17:CA90">_xlfn.LET(_xlpm.r,$H$14,_xlpm.p,_xlfn.ANCHORARRAY(BU17)/$H$13,_xlpm.q,MATCH(_xlpm.p,List!$C$2:$C$6),_xlpm.a,INDEX(List!$D$2:$D$6,_xlpm.q),_xlpm.b,INDEX(List!$E$2:$E$6,_xlpm.q),_xlpm.c,INDEX(List!$F$2:$F$6,_xlpm.q),INT((_xlpm.a*(_xlpm.p-_xlpm.b)^2+_xlpm.c)*_xlfn.ANCHORARRAY(BU17)*_xlpm.r)*_xlfn.ANCHORARRAY(Y17))</f>
        <v>0</v>
      </c>
      <c r="CB17" s="10" cm="1">
        <f t="array" ref="CB17:CB90">_xlfn.LET(_xlpm.r,$H$14,_xlpm.p,_xlfn.ANCHORARRAY(BV17)/$H$13,_xlpm.q,MATCH(_xlpm.p,List!$C$2:$C$6),_xlpm.a,INDEX(List!$D$2:$D$6,_xlpm.q),_xlpm.b,INDEX(List!$E$2:$E$6,_xlpm.q),_xlpm.c,INDEX(List!$F$2:$F$6,_xlpm.q),INT((_xlpm.a*(_xlpm.p-_xlpm.b)^2+_xlpm.c)*_xlfn.ANCHORARRAY(BV17)*_xlpm.r)*_xlfn.ANCHORARRAY(Z17))</f>
        <v>0</v>
      </c>
      <c r="CC17" s="10" cm="1">
        <f t="array" ref="CC17:CC90">_xlfn.LET(_xlpm.r,$H$14,_xlpm.p,_xlfn.ANCHORARRAY(BW17)/$H$13,_xlpm.q,MATCH(_xlpm.p,List!$C$2:$C$6),_xlpm.a,INDEX(List!$D$2:$D$6,_xlpm.q),_xlpm.b,INDEX(List!$E$2:$E$6,_xlpm.q),_xlpm.c,INDEX(List!$F$2:$F$6,_xlpm.q),INT((_xlpm.a*(_xlpm.p-_xlpm.b)^2+_xlpm.c)*_xlfn.ANCHORARRAY(BW17)*_xlpm.r)*_xlfn.ANCHORARRAY(AA17))</f>
        <v>0</v>
      </c>
      <c r="CD17" s="10" cm="1">
        <f t="array" ref="CD17:CD90">_xlfn.LET(_xlpm.r,$H$14,_xlpm.p,_xlfn.ANCHORARRAY(BX17)/$H$13,_xlpm.q,MATCH(_xlpm.p,List!$C$2:$C$6),_xlpm.a,INDEX(List!$D$2:$D$6,_xlpm.q),_xlpm.b,INDEX(List!$E$2:$E$6,_xlpm.q),_xlpm.c,INDEX(List!$F$2:$F$6,_xlpm.q),INT((_xlpm.a*(_xlpm.p-_xlpm.b)^2+_xlpm.c)*_xlfn.ANCHORARRAY(BX17)*_xlpm.r)*_xlfn.ANCHORARRAY(AB17))</f>
        <v>0</v>
      </c>
      <c r="CE17" s="10" cm="1">
        <f t="array" ref="CE17:CE90">_xlfn.LET(_xlpm.r,$H$14,_xlpm.p,_xlfn.ANCHORARRAY(BY17)/$H$13,_xlpm.q,MATCH(_xlpm.p,List!$C$2:$C$6),_xlpm.a,INDEX(List!$D$2:$D$6,_xlpm.q),_xlpm.b,INDEX(List!$E$2:$E$6,_xlpm.q),_xlpm.c,INDEX(List!$F$2:$F$6,_xlpm.q),INT((_xlpm.a*(_xlpm.p-_xlpm.b)^2+_xlpm.c)*_xlfn.ANCHORARRAY(BY17)*_xlpm.r)*_xlfn.ANCHORARRAY(AC17))</f>
        <v>0</v>
      </c>
      <c r="CF17" s="10" cm="1">
        <f t="array" ref="CF17:CF90">_xlfn.LET(_xlpm.r,$H$14,_xlpm.p,_xlfn.ANCHORARRAY(BZ17)/$H$13,_xlpm.q,MATCH(_xlpm.p,List!$C$2:$C$6),_xlpm.a,INDEX(List!$D$2:$D$6,_xlpm.q),_xlpm.b,INDEX(List!$E$2:$E$6,_xlpm.q),_xlpm.c,INDEX(List!$F$2:$F$6,_xlpm.q),INT((_xlpm.a*(_xlpm.p-_xlpm.b)^2+_xlpm.c)*_xlfn.ANCHORARRAY(BZ17)*_xlpm.r)*_xlfn.ANCHORARRAY(AD17))</f>
        <v>0</v>
      </c>
      <c r="CG17" s="10" cm="1">
        <f t="array" ref="CG17:CG90">_xlfn.XLOOKUP(_xlfn.ANCHORARRAY(P17),AtkParam!$A:$A,AtkParam!$K:$K,0)*$I$8%</f>
        <v>0</v>
      </c>
      <c r="CH17" s="10" cm="1">
        <f t="array" ref="CH17:CH90">_xlfn.XLOOKUP(_xlfn.ANCHORARRAY(Q17),AtkParam!$A:$A,AtkParam!$K:$K,0)*$I$8%</f>
        <v>0</v>
      </c>
      <c r="CI17" s="10" cm="1">
        <f t="array" ref="CI17:CI90">_xlfn.XLOOKUP(_xlfn.ANCHORARRAY(R17),AtkParam!$A:$A,AtkParam!$K:$K,0)*$I$8%</f>
        <v>0</v>
      </c>
      <c r="CJ17" s="10" cm="1">
        <f t="array" ref="CJ17:CJ90">_xlfn.XLOOKUP(_xlfn.ANCHORARRAY(S17),AtkParam!$A:$A,AtkParam!$K:$K,0)*$I$8%</f>
        <v>0</v>
      </c>
      <c r="CK17" s="10" cm="1">
        <f t="array" ref="CK17:CK90">_xlfn.XLOOKUP(_xlfn.ANCHORARRAY(T17),AtkParam!$A:$A,AtkParam!$K:$K,0)*$I$8%</f>
        <v>0</v>
      </c>
      <c r="CL17" s="10" cm="1">
        <f t="array" ref="CL17:CL90">_xlfn.XLOOKUP(_xlfn.ANCHORARRAY(U17),AtkParam!$A:$A,AtkParam!$K:$K,0)*$I$8%</f>
        <v>0</v>
      </c>
      <c r="CM17" s="10" cm="1">
        <f t="array" ref="CM17:CM90">_xlfn.LET(_xlpm.r,$I$14,_xlpm.p,_xlfn.ANCHORARRAY(CG17)/$I$13,_xlpm.q,MATCH(_xlpm.p,List!$C$2:$C$6),_xlpm.a,INDEX(List!$D$2:$D$6,_xlpm.q),_xlpm.b,INDEX(List!$E$2:$E$6,_xlpm.q),_xlpm.c,INDEX(List!$F$2:$F$6,_xlpm.q),INT((_xlpm.a*(_xlpm.p-_xlpm.b)^2+_xlpm.c)*_xlfn.ANCHORARRAY(CG17)*_xlpm.r)*_xlfn.ANCHORARRAY(Y17))</f>
        <v>0</v>
      </c>
      <c r="CN17" s="10" cm="1">
        <f t="array" ref="CN17:CN90">_xlfn.LET(_xlpm.r,$I$14,_xlpm.p,_xlfn.ANCHORARRAY(CH17)/$I$13,_xlpm.q,MATCH(_xlpm.p,List!$C$2:$C$6),_xlpm.a,INDEX(List!$D$2:$D$6,_xlpm.q),_xlpm.b,INDEX(List!$E$2:$E$6,_xlpm.q),_xlpm.c,INDEX(List!$F$2:$F$6,_xlpm.q),INT((_xlpm.a*(_xlpm.p-_xlpm.b)^2+_xlpm.c)*_xlfn.ANCHORARRAY(CH17)*_xlpm.r)*_xlfn.ANCHORARRAY(Z17))</f>
        <v>0</v>
      </c>
      <c r="CO17" s="10" cm="1">
        <f t="array" ref="CO17:CO90">_xlfn.LET(_xlpm.r,$I$14,_xlpm.p,_xlfn.ANCHORARRAY(CI17)/$I$13,_xlpm.q,MATCH(_xlpm.p,List!$C$2:$C$6),_xlpm.a,INDEX(List!$D$2:$D$6,_xlpm.q),_xlpm.b,INDEX(List!$E$2:$E$6,_xlpm.q),_xlpm.c,INDEX(List!$F$2:$F$6,_xlpm.q),INT((_xlpm.a*(_xlpm.p-_xlpm.b)^2+_xlpm.c)*_xlfn.ANCHORARRAY(CI17)*_xlpm.r)*_xlfn.ANCHORARRAY(AA17))</f>
        <v>0</v>
      </c>
      <c r="CP17" s="10" cm="1">
        <f t="array" ref="CP17:CP90">_xlfn.LET(_xlpm.r,$I$14,_xlpm.p,_xlfn.ANCHORARRAY(CJ17)/$I$13,_xlpm.q,MATCH(_xlpm.p,List!$C$2:$C$6),_xlpm.a,INDEX(List!$D$2:$D$6,_xlpm.q),_xlpm.b,INDEX(List!$E$2:$E$6,_xlpm.q),_xlpm.c,INDEX(List!$F$2:$F$6,_xlpm.q),INT((_xlpm.a*(_xlpm.p-_xlpm.b)^2+_xlpm.c)*_xlfn.ANCHORARRAY(CJ17)*_xlpm.r)*_xlfn.ANCHORARRAY(AB17))</f>
        <v>0</v>
      </c>
      <c r="CQ17" s="10" cm="1">
        <f t="array" ref="CQ17:CQ90">_xlfn.LET(_xlpm.r,$I$14,_xlpm.p,_xlfn.ANCHORARRAY(CK17)/$I$13,_xlpm.q,MATCH(_xlpm.p,List!$C$2:$C$6),_xlpm.a,INDEX(List!$D$2:$D$6,_xlpm.q),_xlpm.b,INDEX(List!$E$2:$E$6,_xlpm.q),_xlpm.c,INDEX(List!$F$2:$F$6,_xlpm.q),INT((_xlpm.a*(_xlpm.p-_xlpm.b)^2+_xlpm.c)*_xlfn.ANCHORARRAY(CK17)*_xlpm.r)*_xlfn.ANCHORARRAY(AC17))</f>
        <v>0</v>
      </c>
      <c r="CR17" s="10" cm="1">
        <f t="array" ref="CR17:CR90">_xlfn.LET(_xlpm.r,$I$14,_xlpm.p,_xlfn.ANCHORARRAY(CL17)/$I$13,_xlpm.q,MATCH(_xlpm.p,List!$C$2:$C$6),_xlpm.a,INDEX(List!$D$2:$D$6,_xlpm.q),_xlpm.b,INDEX(List!$E$2:$E$6,_xlpm.q),_xlpm.c,INDEX(List!$F$2:$F$6,_xlpm.q),(_xlpm.a*(_xlpm.p-_xlpm.b)^2+_xlpm.c)*_xlfn.ANCHORARRAY(CL17)*_xlpm.r*_xlfn.ANCHORARRAY(AD17))</f>
        <v>0</v>
      </c>
      <c r="CS17" s="10" cm="1">
        <f t="array" ref="CS17:CS90">_xlfn.XLOOKUP(_xlfn.ANCHORARRAY(P17),AtkParam!$A:$A,AtkParam!$R:$R,0)</f>
        <v>3</v>
      </c>
      <c r="CT17" s="10" cm="1">
        <f t="array" ref="CT17:CT90">_xlfn.XLOOKUP(_xlfn.ANCHORARRAY(Q17),AtkParam!$A:$A,AtkParam!$R:$R,0)</f>
        <v>0</v>
      </c>
      <c r="CU17" s="10" cm="1">
        <f t="array" ref="CU17:CU90">_xlfn.XLOOKUP(_xlfn.ANCHORARRAY(R17),AtkParam!$A:$A,AtkParam!$R:$R,0)</f>
        <v>0</v>
      </c>
      <c r="CV17" s="10" cm="1">
        <f t="array" ref="CV17:CV90">_xlfn.XLOOKUP(_xlfn.ANCHORARRAY(S17),AtkParam!$A:$A,AtkParam!$R:$R,0)</f>
        <v>0</v>
      </c>
      <c r="CW17" s="10" cm="1">
        <f t="array" ref="CW17:CW90">_xlfn.XLOOKUP(_xlfn.ANCHORARRAY(T17),AtkParam!$A:$A,AtkParam!$R:$R,0)</f>
        <v>0</v>
      </c>
      <c r="CX17" s="10" cm="1">
        <f t="array" ref="CX17:CX90">_xlfn.XLOOKUP(_xlfn.ANCHORARRAY(U17),AtkParam!$A:$A,AtkParam!$R:$R,0)</f>
        <v>0</v>
      </c>
      <c r="CY17" s="10" cm="1">
        <f t="array" ref="CY17:CY90">_xlfn.XLOOKUP(_xlfn.ANCHORARRAY(P17),AtkParam!$A:$A,AtkParam!$S:$S,"")</f>
        <v>1</v>
      </c>
      <c r="CZ17" s="10" t="str" cm="1">
        <f t="array" ref="CZ17:CZ90">_xlfn.XLOOKUP(_xlfn.ANCHORARRAY(Q17),AtkParam!$A:$A,AtkParam!$S:$S,"")</f>
        <v/>
      </c>
      <c r="DA17" s="10" t="str" cm="1">
        <f t="array" ref="DA17:DA90">_xlfn.XLOOKUP(_xlfn.ANCHORARRAY(R17),AtkParam!$A:$A,AtkParam!$S:$S,"")</f>
        <v/>
      </c>
      <c r="DB17" s="10" t="str" cm="1">
        <f t="array" ref="DB17:DB90">_xlfn.XLOOKUP(_xlfn.ANCHORARRAY(S17),AtkParam!$A:$A,AtkParam!$S:$S,"")</f>
        <v/>
      </c>
      <c r="DC17" s="10" t="str" cm="1">
        <f t="array" ref="DC17:DC90">_xlfn.XLOOKUP(_xlfn.ANCHORARRAY(T17),AtkParam!$A:$A,AtkParam!$S:$S,"")</f>
        <v/>
      </c>
      <c r="DD17" s="10" t="str" cm="1">
        <f t="array" ref="DD17:DD90">_xlfn.XLOOKUP(_xlfn.ANCHORARRAY(U17),AtkParam!$A:$A,AtkParam!$S:$S,"")</f>
        <v/>
      </c>
      <c r="DE17" s="10" cm="1">
        <f t="array" ref="DE17:DE90">_xlfn.XLOOKUP(_xlfn.ANCHORARRAY(P17),AtkParam!$A:$A,AtkParam!$T:$T,0)</f>
        <v>0</v>
      </c>
      <c r="DF17" s="10" cm="1">
        <f t="array" ref="DF17:DF90">_xlfn.XLOOKUP(_xlfn.ANCHORARRAY(Q17),AtkParam!$A:$A,AtkParam!$T:$T,0)</f>
        <v>0</v>
      </c>
      <c r="DG17" s="10" cm="1">
        <f t="array" ref="DG17:DG90">_xlfn.XLOOKUP(_xlfn.ANCHORARRAY(R17),AtkParam!$A:$A,AtkParam!$T:$T,0)</f>
        <v>0</v>
      </c>
      <c r="DH17" s="10" cm="1">
        <f t="array" ref="DH17:DH90">_xlfn.XLOOKUP(_xlfn.ANCHORARRAY(S17),AtkParam!$A:$A,AtkParam!$T:$T,0)</f>
        <v>0</v>
      </c>
      <c r="DI17" s="10" cm="1">
        <f t="array" ref="DI17:DI90">_xlfn.XLOOKUP(_xlfn.ANCHORARRAY(T17),AtkParam!$A:$A,AtkParam!$T:$T,0)</f>
        <v>0</v>
      </c>
      <c r="DJ17" s="10" cm="1">
        <f t="array" ref="DJ17:DJ90">_xlfn.XLOOKUP(_xlfn.ANCHORARRAY(U17),AtkParam!$A:$A,AtkParam!$T:$T,0)</f>
        <v>0</v>
      </c>
      <c r="DK17" s="10" t="str" cm="1">
        <f t="array" ref="DK17:DK90">_xlfn.BYROW(_xlfn.XLOOKUP(_xlfn.ANCHORARRAY(P17):_xlfn.ANCHORARRAY(U17),AtkParam!A:A,AtkParam!U:U,""),_xlfn.LAMBDA(_xlpm.x,_xlfn.CONCAT(_xlfn.UNIQUE(_xlpm.x,1))))</f>
        <v/>
      </c>
      <c r="DL17" s="10" cm="1">
        <f t="array" ref="DL17:DL90">_xlfn.BYROW(_xlfn.XLOOKUP(_xlfn.ANCHORARRAY(P17):_xlfn.ANCHORARRAY(U17),AtkParam!A:A,AtkParam!W:W,0)*_xlfn.ANCHORARRAY(Y17):_xlfn.ANCHORARRAY(AD17),_xleta.SUM)</f>
        <v>0</v>
      </c>
    </row>
    <row r="18" spans="1:116" ht="21" customHeight="1" x14ac:dyDescent="0.3">
      <c r="A18" s="71" t="str">
        <v>辉石迅魔砾</v>
      </c>
      <c r="B18" s="82">
        <v>394</v>
      </c>
      <c r="C18" s="36" t="str">
        <v>魔</v>
      </c>
      <c r="D18" s="71" t="str">
        <v>否</v>
      </c>
      <c r="E18" s="75">
        <v>2</v>
      </c>
      <c r="F18" s="75">
        <v>2</v>
      </c>
      <c r="G18" s="77" t="str">
        <v>8</v>
      </c>
      <c r="H18" s="100" t="str">
        <v>无</v>
      </c>
      <c r="I18" s="75">
        <v>5</v>
      </c>
      <c r="J18" s="76">
        <v>0</v>
      </c>
      <c r="K18" s="76">
        <v>394</v>
      </c>
      <c r="L18" s="76">
        <v>0</v>
      </c>
      <c r="M18" s="76">
        <v>0</v>
      </c>
      <c r="N18" s="76">
        <v>0</v>
      </c>
      <c r="O18" s="76">
        <v>1</v>
      </c>
      <c r="P18" s="10">
        <v>40100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1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 t="str">
        <v>无</v>
      </c>
      <c r="AF18" s="10" t="str">
        <v>无</v>
      </c>
      <c r="AG18" s="10" t="str">
        <v>无</v>
      </c>
      <c r="AH18" s="10" t="str">
        <v>无</v>
      </c>
      <c r="AI18" s="10" t="str">
        <v>无</v>
      </c>
      <c r="AJ18" s="10" t="str">
        <v>无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490.2000000000001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394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2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8</v>
      </c>
      <c r="CZ18" s="10" t="str">
        <v/>
      </c>
      <c r="DA18" s="10" t="str">
        <v/>
      </c>
      <c r="DB18" s="10" t="str">
        <v/>
      </c>
      <c r="DC18" s="10" t="str">
        <v/>
      </c>
      <c r="DD18" s="10" t="str">
        <v/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 t="str">
        <v/>
      </c>
      <c r="DL18" s="10">
        <v>0</v>
      </c>
    </row>
    <row r="19" spans="1:116" ht="21" customHeight="1" x14ac:dyDescent="0.3">
      <c r="A19" s="71" t="str">
        <v>辉石大魔砾</v>
      </c>
      <c r="B19" s="82">
        <v>816</v>
      </c>
      <c r="C19" s="82" t="str">
        <v>魔</v>
      </c>
      <c r="D19" s="71" t="str">
        <v>否</v>
      </c>
      <c r="E19" s="75">
        <v>5.5</v>
      </c>
      <c r="F19" s="75">
        <v>5.5</v>
      </c>
      <c r="G19" s="77" t="str">
        <v>1</v>
      </c>
      <c r="H19" s="100" t="str">
        <v>无</v>
      </c>
      <c r="I19" s="75">
        <v>12</v>
      </c>
      <c r="J19" s="76">
        <v>0</v>
      </c>
      <c r="K19" s="76">
        <v>816</v>
      </c>
      <c r="L19" s="76">
        <v>0</v>
      </c>
      <c r="M19" s="76">
        <v>0</v>
      </c>
      <c r="N19" s="76">
        <v>0</v>
      </c>
      <c r="O19" s="76">
        <v>1</v>
      </c>
      <c r="P19" s="10">
        <v>40010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1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 t="str">
        <v>无</v>
      </c>
      <c r="AF19" s="10" t="str">
        <v>无</v>
      </c>
      <c r="AG19" s="10" t="str">
        <v>无</v>
      </c>
      <c r="AH19" s="10" t="str">
        <v>无</v>
      </c>
      <c r="AI19" s="10" t="str">
        <v>无</v>
      </c>
      <c r="AJ19" s="10" t="str">
        <v>无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907.30000000000018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816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5.5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1</v>
      </c>
      <c r="CZ19" s="10" t="str">
        <v/>
      </c>
      <c r="DA19" s="10" t="str">
        <v/>
      </c>
      <c r="DB19" s="10" t="str">
        <v/>
      </c>
      <c r="DC19" s="10" t="str">
        <v/>
      </c>
      <c r="DD19" s="10" t="str">
        <v/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 t="str">
        <v/>
      </c>
      <c r="DL19" s="10">
        <v>0</v>
      </c>
    </row>
    <row r="20" spans="1:116" ht="21" customHeight="1" x14ac:dyDescent="0.3">
      <c r="A20" s="71" t="str">
        <v>辉石彗星</v>
      </c>
      <c r="B20" s="82">
        <v>1253</v>
      </c>
      <c r="C20" s="82" t="str">
        <v>魔</v>
      </c>
      <c r="D20" s="71" t="str">
        <v>是</v>
      </c>
      <c r="E20" s="75">
        <v>10.18</v>
      </c>
      <c r="F20" s="75">
        <v>10.18</v>
      </c>
      <c r="G20" s="77" t="str">
        <v>1</v>
      </c>
      <c r="H20" s="100" t="str">
        <v>无</v>
      </c>
      <c r="I20" s="75">
        <v>17</v>
      </c>
      <c r="J20" s="76">
        <v>0</v>
      </c>
      <c r="K20" s="76">
        <v>1253</v>
      </c>
      <c r="L20" s="76">
        <v>0</v>
      </c>
      <c r="M20" s="76">
        <v>0</v>
      </c>
      <c r="N20" s="76">
        <v>0</v>
      </c>
      <c r="O20" s="76">
        <v>1</v>
      </c>
      <c r="P20" s="10">
        <v>40201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1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 t="str">
        <v>无</v>
      </c>
      <c r="AF20" s="10" t="str">
        <v>无</v>
      </c>
      <c r="AG20" s="10" t="str">
        <v>无</v>
      </c>
      <c r="AH20" s="10" t="str">
        <v>无</v>
      </c>
      <c r="AI20" s="10" t="str">
        <v>无</v>
      </c>
      <c r="AJ20" s="10" t="str">
        <v>无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1393.2000000000003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1253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10.175000000000001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1</v>
      </c>
      <c r="CZ20" s="10" t="str">
        <v/>
      </c>
      <c r="DA20" s="10" t="str">
        <v/>
      </c>
      <c r="DB20" s="10" t="str">
        <v/>
      </c>
      <c r="DC20" s="10" t="str">
        <v/>
      </c>
      <c r="DD20" s="10" t="str">
        <v/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 t="str">
        <v/>
      </c>
      <c r="DL20" s="10">
        <v>0</v>
      </c>
    </row>
    <row r="21" spans="1:116" ht="21" customHeight="1" x14ac:dyDescent="0.3">
      <c r="A21" s="71" t="str">
        <v>帚星</v>
      </c>
      <c r="B21" s="82">
        <v>1412</v>
      </c>
      <c r="C21" s="82" t="str">
        <v>魔</v>
      </c>
      <c r="D21" s="71" t="str">
        <v>是</v>
      </c>
      <c r="E21" s="75">
        <v>12.95</v>
      </c>
      <c r="F21" s="75">
        <v>12.95</v>
      </c>
      <c r="G21" s="77" t="str">
        <v>2</v>
      </c>
      <c r="H21" s="100" t="str">
        <v>无</v>
      </c>
      <c r="I21" s="75">
        <v>24</v>
      </c>
      <c r="J21" s="76">
        <v>0</v>
      </c>
      <c r="K21" s="76">
        <v>1412</v>
      </c>
      <c r="L21" s="76">
        <v>0</v>
      </c>
      <c r="M21" s="76">
        <v>0</v>
      </c>
      <c r="N21" s="76">
        <v>0</v>
      </c>
      <c r="O21" s="76">
        <v>1</v>
      </c>
      <c r="P21" s="10">
        <v>40211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1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 t="str">
        <v>无</v>
      </c>
      <c r="AF21" s="10" t="str">
        <v>无</v>
      </c>
      <c r="AG21" s="10" t="str">
        <v>无</v>
      </c>
      <c r="AH21" s="10" t="str">
        <v>无</v>
      </c>
      <c r="AI21" s="10" t="str">
        <v>无</v>
      </c>
      <c r="AJ21" s="10" t="str">
        <v>无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1569.5000000000002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1412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12.95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2</v>
      </c>
      <c r="CZ21" s="10" t="str">
        <v/>
      </c>
      <c r="DA21" s="10" t="str">
        <v/>
      </c>
      <c r="DB21" s="10" t="str">
        <v/>
      </c>
      <c r="DC21" s="10" t="str">
        <v/>
      </c>
      <c r="DD21" s="10" t="str">
        <v/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 t="str">
        <v/>
      </c>
      <c r="DL21" s="10">
        <v>0</v>
      </c>
    </row>
    <row r="22" spans="1:116" ht="21" customHeight="1" x14ac:dyDescent="0.3">
      <c r="A22" s="71" t="str">
        <v>旋飞魔砾</v>
      </c>
      <c r="B22" s="82">
        <v>1128</v>
      </c>
      <c r="C22" s="82" t="str">
        <v>魔</v>
      </c>
      <c r="D22" s="71" t="str">
        <v>是</v>
      </c>
      <c r="E22" s="75">
        <v>11.1</v>
      </c>
      <c r="F22" s="75">
        <v>11.1</v>
      </c>
      <c r="G22" s="77" t="str">
        <v>1</v>
      </c>
      <c r="H22" s="100" t="str">
        <v>无</v>
      </c>
      <c r="I22" s="75">
        <v>14</v>
      </c>
      <c r="J22" s="76">
        <v>0</v>
      </c>
      <c r="K22" s="76">
        <v>1128</v>
      </c>
      <c r="L22" s="76">
        <v>0</v>
      </c>
      <c r="M22" s="76">
        <v>0</v>
      </c>
      <c r="N22" s="76">
        <v>0</v>
      </c>
      <c r="O22" s="76">
        <v>1</v>
      </c>
      <c r="P22" s="10">
        <v>40301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3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 t="str">
        <v>无</v>
      </c>
      <c r="AF22" s="10" t="str">
        <v>无</v>
      </c>
      <c r="AG22" s="10" t="str">
        <v>无</v>
      </c>
      <c r="AH22" s="10" t="str">
        <v>无</v>
      </c>
      <c r="AI22" s="10" t="str">
        <v>无</v>
      </c>
      <c r="AJ22" s="10" t="str">
        <v>无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473.00000000000006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1128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3.7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1</v>
      </c>
      <c r="CZ22" s="10" t="str">
        <v/>
      </c>
      <c r="DA22" s="10" t="str">
        <v/>
      </c>
      <c r="DB22" s="10" t="str">
        <v/>
      </c>
      <c r="DC22" s="10" t="str">
        <v/>
      </c>
      <c r="DD22" s="10" t="str">
        <v/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 t="str">
        <v/>
      </c>
      <c r="DL22" s="10">
        <v>0</v>
      </c>
    </row>
    <row r="23" spans="1:116" ht="21" customHeight="1" x14ac:dyDescent="0.3">
      <c r="A23" s="71" t="str">
        <v>辉石流星</v>
      </c>
      <c r="B23" s="82">
        <v>871</v>
      </c>
      <c r="C23" s="82" t="str">
        <v>魔</v>
      </c>
      <c r="D23" s="71" t="str">
        <v>是</v>
      </c>
      <c r="E23" s="75">
        <v>11.1</v>
      </c>
      <c r="F23" s="75">
        <v>11.1</v>
      </c>
      <c r="G23" s="77" t="str">
        <v>1+1+1</v>
      </c>
      <c r="H23" s="100" t="str">
        <v>无</v>
      </c>
      <c r="I23" s="75">
        <v>12</v>
      </c>
      <c r="J23" s="76">
        <v>0</v>
      </c>
      <c r="K23" s="76">
        <v>871</v>
      </c>
      <c r="L23" s="76">
        <v>0</v>
      </c>
      <c r="M23" s="76">
        <v>0</v>
      </c>
      <c r="N23" s="76">
        <v>0</v>
      </c>
      <c r="O23" s="76">
        <v>1</v>
      </c>
      <c r="P23" s="10">
        <v>40405</v>
      </c>
      <c r="Q23" s="10">
        <v>40406</v>
      </c>
      <c r="R23" s="10">
        <v>40407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1</v>
      </c>
      <c r="Z23" s="10">
        <v>1</v>
      </c>
      <c r="AA23" s="10">
        <v>1</v>
      </c>
      <c r="AB23" s="10">
        <v>0</v>
      </c>
      <c r="AC23" s="10">
        <v>0</v>
      </c>
      <c r="AD23" s="10">
        <v>0</v>
      </c>
      <c r="AE23" s="10" t="str">
        <v>无</v>
      </c>
      <c r="AF23" s="10" t="str">
        <v>无</v>
      </c>
      <c r="AG23" s="10" t="str">
        <v>无</v>
      </c>
      <c r="AH23" s="10" t="str">
        <v>无</v>
      </c>
      <c r="AI23" s="10" t="str">
        <v>无</v>
      </c>
      <c r="AJ23" s="10" t="str">
        <v>无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425.70000000000005</v>
      </c>
      <c r="AX23" s="10">
        <v>387.00000000000006</v>
      </c>
      <c r="AY23" s="10">
        <v>344.00000000000006</v>
      </c>
      <c r="AZ23" s="10">
        <v>0</v>
      </c>
      <c r="BA23" s="10">
        <v>0</v>
      </c>
      <c r="BB23" s="10">
        <v>0</v>
      </c>
      <c r="BC23" s="10">
        <v>329</v>
      </c>
      <c r="BD23" s="10">
        <v>291</v>
      </c>
      <c r="BE23" s="10">
        <v>251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3.7</v>
      </c>
      <c r="CT23" s="10">
        <v>3.7</v>
      </c>
      <c r="CU23" s="10">
        <v>3.7</v>
      </c>
      <c r="CV23" s="10">
        <v>0</v>
      </c>
      <c r="CW23" s="10">
        <v>0</v>
      </c>
      <c r="CX23" s="10">
        <v>0</v>
      </c>
      <c r="CY23" s="10">
        <v>1</v>
      </c>
      <c r="CZ23" s="10">
        <v>1</v>
      </c>
      <c r="DA23" s="10">
        <v>1</v>
      </c>
      <c r="DB23" s="10" t="str">
        <v/>
      </c>
      <c r="DC23" s="10" t="str">
        <v/>
      </c>
      <c r="DD23" s="10" t="str">
        <v/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 t="str">
        <v/>
      </c>
      <c r="DL23" s="10">
        <v>0</v>
      </c>
    </row>
    <row r="24" spans="1:116" ht="21" customHeight="1" x14ac:dyDescent="0.3">
      <c r="A24" s="71" t="str">
        <v>流星雨</v>
      </c>
      <c r="B24" s="82">
        <v>1238</v>
      </c>
      <c r="C24" s="82" t="str">
        <v>魔</v>
      </c>
      <c r="D24" s="71" t="str">
        <v>是</v>
      </c>
      <c r="E24" s="75">
        <v>11.1</v>
      </c>
      <c r="F24" s="75">
        <v>11.1</v>
      </c>
      <c r="G24" s="77" t="str">
        <v>1+1+1+1+1+1</v>
      </c>
      <c r="H24" s="100" t="str">
        <v>无</v>
      </c>
      <c r="I24" s="75">
        <v>23</v>
      </c>
      <c r="J24" s="76">
        <v>0</v>
      </c>
      <c r="K24" s="76">
        <v>1238</v>
      </c>
      <c r="L24" s="76">
        <v>0</v>
      </c>
      <c r="M24" s="76">
        <v>0</v>
      </c>
      <c r="N24" s="76">
        <v>0</v>
      </c>
      <c r="O24" s="76">
        <v>1</v>
      </c>
      <c r="P24" s="10">
        <v>40510</v>
      </c>
      <c r="Q24" s="10">
        <v>40511</v>
      </c>
      <c r="R24" s="10">
        <v>40512</v>
      </c>
      <c r="S24" s="10">
        <v>40513</v>
      </c>
      <c r="T24" s="10">
        <v>40514</v>
      </c>
      <c r="U24" s="10">
        <v>40515</v>
      </c>
      <c r="V24" s="10">
        <v>0</v>
      </c>
      <c r="W24" s="10">
        <v>0</v>
      </c>
      <c r="X24" s="10">
        <v>0</v>
      </c>
      <c r="Y24" s="10">
        <v>1</v>
      </c>
      <c r="Z24" s="10">
        <v>1</v>
      </c>
      <c r="AA24" s="10">
        <v>1</v>
      </c>
      <c r="AB24" s="10">
        <v>1</v>
      </c>
      <c r="AC24" s="10">
        <v>1</v>
      </c>
      <c r="AD24" s="10">
        <v>1</v>
      </c>
      <c r="AE24" s="10" t="str">
        <v>无</v>
      </c>
      <c r="AF24" s="10" t="str">
        <v>无</v>
      </c>
      <c r="AG24" s="10" t="str">
        <v>无</v>
      </c>
      <c r="AH24" s="10" t="str">
        <v>无</v>
      </c>
      <c r="AI24" s="10" t="str">
        <v>无</v>
      </c>
      <c r="AJ24" s="10" t="str">
        <v>无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378.40000000000009</v>
      </c>
      <c r="AX24" s="10">
        <v>335.40000000000003</v>
      </c>
      <c r="AY24" s="10">
        <v>292.40000000000003</v>
      </c>
      <c r="AZ24" s="10">
        <v>270.90000000000003</v>
      </c>
      <c r="BA24" s="10">
        <v>249.40000000000003</v>
      </c>
      <c r="BB24" s="10">
        <v>227.90000000000003</v>
      </c>
      <c r="BC24" s="10">
        <v>283</v>
      </c>
      <c r="BD24" s="10">
        <v>243</v>
      </c>
      <c r="BE24" s="10">
        <v>204</v>
      </c>
      <c r="BF24" s="10">
        <v>188</v>
      </c>
      <c r="BG24" s="10">
        <v>170</v>
      </c>
      <c r="BH24" s="10">
        <v>150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1.85</v>
      </c>
      <c r="CT24" s="10">
        <v>1.85</v>
      </c>
      <c r="CU24" s="10">
        <v>1.85</v>
      </c>
      <c r="CV24" s="10">
        <v>1.85</v>
      </c>
      <c r="CW24" s="10">
        <v>1.85</v>
      </c>
      <c r="CX24" s="10">
        <v>1.85</v>
      </c>
      <c r="CY24" s="10">
        <v>1</v>
      </c>
      <c r="CZ24" s="10">
        <v>1</v>
      </c>
      <c r="DA24" s="10">
        <v>1</v>
      </c>
      <c r="DB24" s="10">
        <v>1</v>
      </c>
      <c r="DC24" s="10">
        <v>1</v>
      </c>
      <c r="DD24" s="10">
        <v>1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 t="str">
        <v/>
      </c>
      <c r="DL24" s="10">
        <v>0</v>
      </c>
    </row>
    <row r="25" spans="1:116" ht="21" customHeight="1" x14ac:dyDescent="0.3">
      <c r="A25" s="71" t="str">
        <v>辉石弯弧</v>
      </c>
      <c r="B25" s="82">
        <v>545</v>
      </c>
      <c r="C25" s="82" t="str">
        <v>魔</v>
      </c>
      <c r="D25" s="71" t="str">
        <v>否</v>
      </c>
      <c r="E25" s="75">
        <v>5</v>
      </c>
      <c r="F25" s="75">
        <v>5</v>
      </c>
      <c r="G25" s="77" t="str">
        <v>1</v>
      </c>
      <c r="H25" s="100" t="str">
        <v>无</v>
      </c>
      <c r="I25" s="75">
        <v>9</v>
      </c>
      <c r="J25" s="76">
        <v>0</v>
      </c>
      <c r="K25" s="76">
        <v>545</v>
      </c>
      <c r="L25" s="76">
        <v>0</v>
      </c>
      <c r="M25" s="76">
        <v>0</v>
      </c>
      <c r="N25" s="76">
        <v>0</v>
      </c>
      <c r="O25" s="76">
        <v>1</v>
      </c>
      <c r="P25" s="10">
        <v>40070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1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 t="str">
        <v>无</v>
      </c>
      <c r="AF25" s="10" t="str">
        <v>无</v>
      </c>
      <c r="AG25" s="10" t="str">
        <v>无</v>
      </c>
      <c r="AH25" s="10" t="str">
        <v>无</v>
      </c>
      <c r="AI25" s="10" t="str">
        <v>无</v>
      </c>
      <c r="AJ25" s="10" t="str">
        <v>无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636.40000000000009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545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5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1</v>
      </c>
      <c r="CZ25" s="10" t="str">
        <v/>
      </c>
      <c r="DA25" s="10" t="str">
        <v/>
      </c>
      <c r="DB25" s="10" t="str">
        <v/>
      </c>
      <c r="DC25" s="10" t="str">
        <v/>
      </c>
      <c r="DD25" s="10" t="str">
        <v/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 t="str">
        <v/>
      </c>
      <c r="DL25" s="10">
        <v>0</v>
      </c>
    </row>
    <row r="26" spans="1:116" ht="21" customHeight="1" x14ac:dyDescent="0.3">
      <c r="A26" s="71" t="str">
        <v>结晶连弹</v>
      </c>
      <c r="B26" s="82">
        <v>1264</v>
      </c>
      <c r="C26" s="82" t="str">
        <v>魔</v>
      </c>
      <c r="D26" s="71" t="str">
        <v>是</v>
      </c>
      <c r="E26" s="75">
        <v>8</v>
      </c>
      <c r="F26" s="75">
        <v>8</v>
      </c>
      <c r="G26" s="77" t="str">
        <v>0</v>
      </c>
      <c r="H26" s="100" t="str">
        <v>无</v>
      </c>
      <c r="I26" s="75">
        <v>24</v>
      </c>
      <c r="J26" s="76">
        <v>0</v>
      </c>
      <c r="K26" s="76">
        <v>1264</v>
      </c>
      <c r="L26" s="76">
        <v>0</v>
      </c>
      <c r="M26" s="76">
        <v>0</v>
      </c>
      <c r="N26" s="76">
        <v>0</v>
      </c>
      <c r="O26" s="76">
        <v>1</v>
      </c>
      <c r="P26" s="10">
        <v>40600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40600</v>
      </c>
      <c r="W26" s="10">
        <v>0</v>
      </c>
      <c r="X26" s="10">
        <v>0</v>
      </c>
      <c r="Y26" s="10">
        <v>16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 t="str">
        <v>无</v>
      </c>
      <c r="AF26" s="10" t="str">
        <v>无</v>
      </c>
      <c r="AG26" s="10" t="str">
        <v>无</v>
      </c>
      <c r="AH26" s="10" t="str">
        <v>无</v>
      </c>
      <c r="AI26" s="10" t="str">
        <v>无</v>
      </c>
      <c r="AJ26" s="10" t="str">
        <v>无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154.80000000000001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1264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0.5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 t="str">
        <v/>
      </c>
      <c r="DA26" s="10" t="str">
        <v/>
      </c>
      <c r="DB26" s="10" t="str">
        <v/>
      </c>
      <c r="DC26" s="10" t="str">
        <v/>
      </c>
      <c r="DD26" s="10" t="str">
        <v/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 t="str">
        <v/>
      </c>
      <c r="DL26" s="10">
        <v>0</v>
      </c>
    </row>
    <row r="27" spans="1:116" ht="21" customHeight="1" x14ac:dyDescent="0.3">
      <c r="A27" s="71" t="str">
        <v>结晶散射</v>
      </c>
      <c r="B27" s="82">
        <v>1508</v>
      </c>
      <c r="C27" s="82" t="str">
        <v>魔</v>
      </c>
      <c r="D27" s="71" t="str">
        <v>是</v>
      </c>
      <c r="E27" s="75">
        <v>24.05</v>
      </c>
      <c r="F27" s="75">
        <v>24.05</v>
      </c>
      <c r="G27" s="77" t="str">
        <v>8</v>
      </c>
      <c r="H27" s="100" t="str">
        <v>无</v>
      </c>
      <c r="I27" s="75">
        <v>14</v>
      </c>
      <c r="J27" s="76">
        <v>0</v>
      </c>
      <c r="K27" s="76">
        <v>1508</v>
      </c>
      <c r="L27" s="76">
        <v>0</v>
      </c>
      <c r="M27" s="76">
        <v>0</v>
      </c>
      <c r="N27" s="76">
        <v>0</v>
      </c>
      <c r="O27" s="76">
        <v>1</v>
      </c>
      <c r="P27" s="10">
        <v>40905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13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 t="str">
        <v>无</v>
      </c>
      <c r="AF27" s="10" t="str">
        <v>无</v>
      </c>
      <c r="AG27" s="10" t="str">
        <v>无</v>
      </c>
      <c r="AH27" s="10" t="str">
        <v>无</v>
      </c>
      <c r="AI27" s="10" t="str">
        <v>无</v>
      </c>
      <c r="AJ27" s="10" t="str">
        <v>无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193.50000000000003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1508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1.85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8</v>
      </c>
      <c r="CZ27" s="10" t="str">
        <v/>
      </c>
      <c r="DA27" s="10" t="str">
        <v/>
      </c>
      <c r="DB27" s="10" t="str">
        <v/>
      </c>
      <c r="DC27" s="10" t="str">
        <v/>
      </c>
      <c r="DD27" s="10" t="str">
        <v/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 t="str">
        <v/>
      </c>
      <c r="DL27" s="10">
        <v>0</v>
      </c>
    </row>
    <row r="28" spans="1:116" ht="21" customHeight="1" x14ac:dyDescent="0.3">
      <c r="A28" s="71" t="str">
        <v>海摩炮弹</v>
      </c>
      <c r="B28" s="82">
        <v>1284</v>
      </c>
      <c r="C28" s="82" t="str">
        <v>魔</v>
      </c>
      <c r="D28" s="71" t="str">
        <v>是</v>
      </c>
      <c r="E28" s="75">
        <v>19.3</v>
      </c>
      <c r="F28" s="75">
        <v>19.3</v>
      </c>
      <c r="G28" s="77" t="str">
        <v>7</v>
      </c>
      <c r="H28" s="100" t="str">
        <v>无</v>
      </c>
      <c r="I28" s="75">
        <v>38</v>
      </c>
      <c r="J28" s="76">
        <v>0</v>
      </c>
      <c r="K28" s="76">
        <v>1284</v>
      </c>
      <c r="L28" s="76">
        <v>0</v>
      </c>
      <c r="M28" s="76">
        <v>0</v>
      </c>
      <c r="N28" s="76">
        <v>0</v>
      </c>
      <c r="O28" s="76">
        <v>1</v>
      </c>
      <c r="P28" s="10">
        <v>40806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1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 t="str">
        <v>无</v>
      </c>
      <c r="AF28" s="10" t="str">
        <v>无</v>
      </c>
      <c r="AG28" s="10" t="str">
        <v>无</v>
      </c>
      <c r="AH28" s="10" t="str">
        <v>无</v>
      </c>
      <c r="AI28" s="10" t="str">
        <v>无</v>
      </c>
      <c r="AJ28" s="10" t="str">
        <v>无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1427.6000000000001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1284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19.295999999999999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7</v>
      </c>
      <c r="CZ28" s="10" t="str">
        <v/>
      </c>
      <c r="DA28" s="10" t="str">
        <v/>
      </c>
      <c r="DB28" s="10" t="str">
        <v/>
      </c>
      <c r="DC28" s="10" t="str">
        <v/>
      </c>
      <c r="DD28" s="10" t="str">
        <v/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 t="str">
        <v/>
      </c>
      <c r="DL28" s="10">
        <v>0</v>
      </c>
    </row>
    <row r="29" spans="1:116" ht="21" customHeight="1" x14ac:dyDescent="0.3">
      <c r="A29" s="71" t="str">
        <v>海摩大槌（本体）</v>
      </c>
      <c r="B29" s="82">
        <v>1149</v>
      </c>
      <c r="C29" s="82" t="str">
        <v>魔</v>
      </c>
      <c r="D29" s="71" t="str">
        <v>否</v>
      </c>
      <c r="E29" s="75">
        <v>22.51</v>
      </c>
      <c r="F29" s="75">
        <v>22.51</v>
      </c>
      <c r="G29" s="77" t="str">
        <v>6</v>
      </c>
      <c r="H29" s="100" t="str">
        <v>无</v>
      </c>
      <c r="I29" s="75">
        <v>22</v>
      </c>
      <c r="J29" s="76">
        <v>0</v>
      </c>
      <c r="K29" s="76">
        <v>1149</v>
      </c>
      <c r="L29" s="76">
        <v>0</v>
      </c>
      <c r="M29" s="76">
        <v>0</v>
      </c>
      <c r="N29" s="76">
        <v>0</v>
      </c>
      <c r="O29" s="76">
        <v>1</v>
      </c>
      <c r="P29" s="10">
        <v>41200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1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 t="str">
        <v>无</v>
      </c>
      <c r="AF29" s="10" t="str">
        <v>无</v>
      </c>
      <c r="AG29" s="10" t="str">
        <v>无</v>
      </c>
      <c r="AH29" s="10" t="str">
        <v>无</v>
      </c>
      <c r="AI29" s="10" t="str">
        <v>无</v>
      </c>
      <c r="AJ29" s="10" t="str">
        <v>无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1277.1000000000001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1149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22.512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6</v>
      </c>
      <c r="CZ29" s="10" t="str">
        <v/>
      </c>
      <c r="DA29" s="10" t="str">
        <v/>
      </c>
      <c r="DB29" s="10" t="str">
        <v/>
      </c>
      <c r="DC29" s="10" t="str">
        <v/>
      </c>
      <c r="DD29" s="10" t="str">
        <v/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 t="str">
        <v/>
      </c>
      <c r="DL29" s="10">
        <v>0</v>
      </c>
    </row>
    <row r="30" spans="1:116" ht="21" customHeight="1" x14ac:dyDescent="0.3">
      <c r="A30" s="72" t="str">
        <v>海摩大槌（溅射）</v>
      </c>
      <c r="B30" s="82">
        <v>936</v>
      </c>
      <c r="C30" s="82" t="str">
        <v>魔</v>
      </c>
      <c r="D30" s="72" t="str">
        <v>否</v>
      </c>
      <c r="E30" s="75">
        <v>16.11</v>
      </c>
      <c r="F30" s="75">
        <v>16.11</v>
      </c>
      <c r="G30" s="77" t="str">
        <v>6</v>
      </c>
      <c r="H30" s="100" t="str">
        <v>无</v>
      </c>
      <c r="I30" s="75">
        <v>22</v>
      </c>
      <c r="J30" s="76">
        <v>0</v>
      </c>
      <c r="K30" s="76">
        <v>936</v>
      </c>
      <c r="L30" s="76">
        <v>0</v>
      </c>
      <c r="M30" s="76">
        <v>0</v>
      </c>
      <c r="N30" s="76">
        <v>0</v>
      </c>
      <c r="O30" s="76">
        <v>1</v>
      </c>
      <c r="P30" s="10">
        <v>41205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1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 t="str">
        <v>无</v>
      </c>
      <c r="AF30" s="10" t="str">
        <v>无</v>
      </c>
      <c r="AG30" s="10" t="str">
        <v>无</v>
      </c>
      <c r="AH30" s="10" t="str">
        <v>无</v>
      </c>
      <c r="AI30" s="10" t="str">
        <v>无</v>
      </c>
      <c r="AJ30" s="10" t="str">
        <v>无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1040.6000000000001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936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16.113499999999998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6</v>
      </c>
      <c r="CZ30" s="10" t="str">
        <v/>
      </c>
      <c r="DA30" s="10" t="str">
        <v/>
      </c>
      <c r="DB30" s="10" t="str">
        <v/>
      </c>
      <c r="DC30" s="10" t="str">
        <v/>
      </c>
      <c r="DD30" s="10" t="str">
        <v/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 t="str">
        <v/>
      </c>
      <c r="DL30" s="10">
        <v>0</v>
      </c>
    </row>
    <row r="31" spans="1:116" ht="21" customHeight="1" x14ac:dyDescent="0.3">
      <c r="A31" s="71" t="str">
        <v>爆碎岩盘（一段）</v>
      </c>
      <c r="B31" s="82">
        <v>1337</v>
      </c>
      <c r="C31" s="82" t="str">
        <v>魔</v>
      </c>
      <c r="D31" s="71" t="str">
        <v>否</v>
      </c>
      <c r="E31" s="75">
        <v>28.18</v>
      </c>
      <c r="F31" s="75">
        <v>28.18</v>
      </c>
      <c r="G31" s="77" t="str">
        <v>1+8+2</v>
      </c>
      <c r="H31" s="100" t="str">
        <v>无</v>
      </c>
      <c r="I31" s="75">
        <v>10</v>
      </c>
      <c r="J31" s="76">
        <v>0</v>
      </c>
      <c r="K31" s="76">
        <v>1337</v>
      </c>
      <c r="L31" s="76">
        <v>0</v>
      </c>
      <c r="M31" s="76">
        <v>0</v>
      </c>
      <c r="N31" s="76">
        <v>0</v>
      </c>
      <c r="O31" s="76">
        <v>1</v>
      </c>
      <c r="P31" s="10">
        <v>41003</v>
      </c>
      <c r="Q31" s="10">
        <v>41002</v>
      </c>
      <c r="R31" s="10">
        <v>41000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1</v>
      </c>
      <c r="Z31" s="10">
        <v>3</v>
      </c>
      <c r="AA31" s="10">
        <v>1</v>
      </c>
      <c r="AB31" s="10">
        <v>0</v>
      </c>
      <c r="AC31" s="10">
        <v>0</v>
      </c>
      <c r="AD31" s="10">
        <v>0</v>
      </c>
      <c r="AE31" s="10" t="str">
        <v>无</v>
      </c>
      <c r="AF31" s="10" t="str">
        <v>无</v>
      </c>
      <c r="AG31" s="10" t="str">
        <v>无</v>
      </c>
      <c r="AH31" s="10" t="str">
        <v>无</v>
      </c>
      <c r="AI31" s="10" t="str">
        <v>无</v>
      </c>
      <c r="AJ31" s="10" t="str">
        <v>无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292.40000000000003</v>
      </c>
      <c r="AX31" s="10">
        <v>223.60000000000002</v>
      </c>
      <c r="AY31" s="10">
        <v>782.60000000000014</v>
      </c>
      <c r="AZ31" s="10">
        <v>0</v>
      </c>
      <c r="BA31" s="10">
        <v>0</v>
      </c>
      <c r="BB31" s="10">
        <v>0</v>
      </c>
      <c r="BC31" s="10">
        <v>204</v>
      </c>
      <c r="BD31" s="10">
        <v>438</v>
      </c>
      <c r="BE31" s="10">
        <v>695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6</v>
      </c>
      <c r="CT31" s="10">
        <v>4</v>
      </c>
      <c r="CU31" s="10">
        <v>10.175000000000001</v>
      </c>
      <c r="CV31" s="10">
        <v>0</v>
      </c>
      <c r="CW31" s="10">
        <v>0</v>
      </c>
      <c r="CX31" s="10">
        <v>0</v>
      </c>
      <c r="CY31" s="10">
        <v>1</v>
      </c>
      <c r="CZ31" s="10">
        <v>8</v>
      </c>
      <c r="DA31" s="10">
        <v>2</v>
      </c>
      <c r="DB31" s="10" t="str">
        <v/>
      </c>
      <c r="DC31" s="10" t="str">
        <v/>
      </c>
      <c r="DD31" s="10" t="str">
        <v/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 t="str">
        <v/>
      </c>
      <c r="DL31" s="10">
        <v>0</v>
      </c>
    </row>
    <row r="32" spans="1:116" ht="21" customHeight="1" x14ac:dyDescent="0.3">
      <c r="A32" s="71" t="str">
        <v>爆碎岩盘（二段）</v>
      </c>
      <c r="B32" s="82">
        <v>996</v>
      </c>
      <c r="C32" s="82" t="str">
        <v>魔</v>
      </c>
      <c r="D32" s="71" t="str">
        <v>否</v>
      </c>
      <c r="E32" s="75">
        <v>16.18</v>
      </c>
      <c r="F32" s="75">
        <v>16.18</v>
      </c>
      <c r="G32" s="77" t="str">
        <v>1+3</v>
      </c>
      <c r="H32" s="100" t="str">
        <v>无</v>
      </c>
      <c r="I32" s="75">
        <v>10</v>
      </c>
      <c r="J32" s="76">
        <v>0</v>
      </c>
      <c r="K32" s="76">
        <v>996</v>
      </c>
      <c r="L32" s="76">
        <v>0</v>
      </c>
      <c r="M32" s="76">
        <v>0</v>
      </c>
      <c r="N32" s="76">
        <v>0</v>
      </c>
      <c r="O32" s="76">
        <v>1</v>
      </c>
      <c r="P32" s="10">
        <v>41003</v>
      </c>
      <c r="Q32" s="10">
        <v>41001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1</v>
      </c>
      <c r="Z32" s="10">
        <v>1</v>
      </c>
      <c r="AA32" s="10">
        <v>0</v>
      </c>
      <c r="AB32" s="10">
        <v>0</v>
      </c>
      <c r="AC32" s="10">
        <v>0</v>
      </c>
      <c r="AD32" s="10">
        <v>0</v>
      </c>
      <c r="AE32" s="10" t="str">
        <v>无</v>
      </c>
      <c r="AF32" s="10" t="str">
        <v>无</v>
      </c>
      <c r="AG32" s="10" t="str">
        <v>无</v>
      </c>
      <c r="AH32" s="10" t="str">
        <v>无</v>
      </c>
      <c r="AI32" s="10" t="str">
        <v>无</v>
      </c>
      <c r="AJ32" s="10" t="str">
        <v>无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292.40000000000003</v>
      </c>
      <c r="AX32" s="10">
        <v>881.50000000000011</v>
      </c>
      <c r="AY32" s="10">
        <v>0</v>
      </c>
      <c r="AZ32" s="10">
        <v>0</v>
      </c>
      <c r="BA32" s="10">
        <v>0</v>
      </c>
      <c r="BB32" s="10">
        <v>0</v>
      </c>
      <c r="BC32" s="10">
        <v>204</v>
      </c>
      <c r="BD32" s="10">
        <v>792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6</v>
      </c>
      <c r="CT32" s="10">
        <v>10.175000000000001</v>
      </c>
      <c r="CU32" s="10">
        <v>0</v>
      </c>
      <c r="CV32" s="10">
        <v>0</v>
      </c>
      <c r="CW32" s="10">
        <v>0</v>
      </c>
      <c r="CX32" s="10">
        <v>0</v>
      </c>
      <c r="CY32" s="10">
        <v>1</v>
      </c>
      <c r="CZ32" s="10">
        <v>3</v>
      </c>
      <c r="DA32" s="10" t="str">
        <v/>
      </c>
      <c r="DB32" s="10" t="str">
        <v/>
      </c>
      <c r="DC32" s="10" t="str">
        <v/>
      </c>
      <c r="DD32" s="10" t="str">
        <v/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 t="str">
        <v/>
      </c>
      <c r="DL32" s="10">
        <v>0</v>
      </c>
    </row>
    <row r="33" spans="1:116" ht="21" customHeight="1" x14ac:dyDescent="0.3">
      <c r="A33" s="71" t="str">
        <v>爆破岩盘</v>
      </c>
      <c r="B33" s="82">
        <v>3107</v>
      </c>
      <c r="C33" s="82" t="str">
        <v>魔</v>
      </c>
      <c r="D33" s="71" t="str">
        <v>是</v>
      </c>
      <c r="E33" s="75">
        <v>38.11</v>
      </c>
      <c r="F33" s="75">
        <v>38.11</v>
      </c>
      <c r="G33" s="77" t="str">
        <v>1+2</v>
      </c>
      <c r="H33" s="100" t="str">
        <v>无</v>
      </c>
      <c r="I33" s="75">
        <v>47</v>
      </c>
      <c r="J33" s="76">
        <v>0</v>
      </c>
      <c r="K33" s="76">
        <v>3107</v>
      </c>
      <c r="L33" s="76">
        <v>0</v>
      </c>
      <c r="M33" s="76">
        <v>0</v>
      </c>
      <c r="N33" s="76">
        <v>0</v>
      </c>
      <c r="O33" s="76">
        <v>1</v>
      </c>
      <c r="P33" s="10">
        <v>41100</v>
      </c>
      <c r="Q33" s="10">
        <v>41101</v>
      </c>
      <c r="R33" s="10">
        <v>0</v>
      </c>
      <c r="S33" s="10">
        <v>0</v>
      </c>
      <c r="T33" s="10">
        <v>0</v>
      </c>
      <c r="U33" s="10">
        <v>0</v>
      </c>
      <c r="V33" s="10">
        <v>41100</v>
      </c>
      <c r="W33" s="10">
        <v>0</v>
      </c>
      <c r="X33" s="10">
        <v>0</v>
      </c>
      <c r="Y33" s="10">
        <v>11</v>
      </c>
      <c r="Z33" s="10">
        <v>1</v>
      </c>
      <c r="AA33" s="10">
        <v>0</v>
      </c>
      <c r="AB33" s="10">
        <v>0</v>
      </c>
      <c r="AC33" s="10">
        <v>0</v>
      </c>
      <c r="AD33" s="10">
        <v>0</v>
      </c>
      <c r="AE33" s="10" t="str">
        <v>无</v>
      </c>
      <c r="AF33" s="10" t="str">
        <v>无</v>
      </c>
      <c r="AG33" s="10" t="str">
        <v>无</v>
      </c>
      <c r="AH33" s="10" t="str">
        <v>无</v>
      </c>
      <c r="AI33" s="10" t="str">
        <v>无</v>
      </c>
      <c r="AJ33" s="10" t="str">
        <v>无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275.20000000000005</v>
      </c>
      <c r="AX33" s="10">
        <v>1118.0000000000002</v>
      </c>
      <c r="AY33" s="10">
        <v>0</v>
      </c>
      <c r="AZ33" s="10">
        <v>0</v>
      </c>
      <c r="BA33" s="10">
        <v>0</v>
      </c>
      <c r="BB33" s="10">
        <v>0</v>
      </c>
      <c r="BC33" s="10">
        <v>2101</v>
      </c>
      <c r="BD33" s="10">
        <v>1006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2</v>
      </c>
      <c r="CT33" s="10">
        <v>16.113499999999998</v>
      </c>
      <c r="CU33" s="10">
        <v>0</v>
      </c>
      <c r="CV33" s="10">
        <v>0</v>
      </c>
      <c r="CW33" s="10">
        <v>0</v>
      </c>
      <c r="CX33" s="10">
        <v>0</v>
      </c>
      <c r="CY33" s="10">
        <v>1</v>
      </c>
      <c r="CZ33" s="10">
        <v>2</v>
      </c>
      <c r="DA33" s="10" t="str">
        <v/>
      </c>
      <c r="DB33" s="10" t="str">
        <v/>
      </c>
      <c r="DC33" s="10" t="str">
        <v/>
      </c>
      <c r="DD33" s="10" t="str">
        <v/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 t="str">
        <v/>
      </c>
      <c r="DL33" s="10">
        <v>0</v>
      </c>
    </row>
    <row r="34" spans="1:116" ht="21" customHeight="1" x14ac:dyDescent="0.3">
      <c r="A34" s="71" t="str">
        <v>彗星亚兹勒</v>
      </c>
      <c r="B34" s="82">
        <v>6806</v>
      </c>
      <c r="C34" s="82" t="str">
        <v>魔</v>
      </c>
      <c r="D34" s="71" t="str">
        <v>是</v>
      </c>
      <c r="E34" s="75">
        <v>46</v>
      </c>
      <c r="F34" s="75">
        <v>46</v>
      </c>
      <c r="G34" s="77" t="str">
        <v>2+0+1+7+0</v>
      </c>
      <c r="H34" s="100" t="str">
        <v>无</v>
      </c>
      <c r="I34" s="75">
        <v>90</v>
      </c>
      <c r="J34" s="76">
        <v>0</v>
      </c>
      <c r="K34" s="76">
        <v>6806</v>
      </c>
      <c r="L34" s="76">
        <v>0</v>
      </c>
      <c r="M34" s="76">
        <v>0</v>
      </c>
      <c r="N34" s="76">
        <v>0</v>
      </c>
      <c r="O34" s="76">
        <v>1</v>
      </c>
      <c r="P34" s="10">
        <v>42000</v>
      </c>
      <c r="Q34" s="10">
        <v>42002</v>
      </c>
      <c r="R34" s="10">
        <v>42001</v>
      </c>
      <c r="S34" s="10">
        <v>42003</v>
      </c>
      <c r="T34" s="10">
        <v>42004</v>
      </c>
      <c r="U34" s="10">
        <v>0</v>
      </c>
      <c r="V34" s="10">
        <v>42002</v>
      </c>
      <c r="W34" s="10">
        <v>42001</v>
      </c>
      <c r="X34" s="10">
        <v>42003</v>
      </c>
      <c r="Y34" s="10">
        <v>3</v>
      </c>
      <c r="Z34" s="10">
        <v>8</v>
      </c>
      <c r="AA34" s="10">
        <v>8</v>
      </c>
      <c r="AB34" s="10">
        <v>6</v>
      </c>
      <c r="AC34" s="10">
        <v>1</v>
      </c>
      <c r="AD34" s="10">
        <v>0</v>
      </c>
      <c r="AE34" s="10" t="str">
        <v>无</v>
      </c>
      <c r="AF34" s="10" t="str">
        <v>无</v>
      </c>
      <c r="AG34" s="10" t="str">
        <v>无</v>
      </c>
      <c r="AH34" s="10" t="str">
        <v>无</v>
      </c>
      <c r="AI34" s="10" t="str">
        <v>无</v>
      </c>
      <c r="AJ34" s="10" t="str">
        <v>无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236.50000000000003</v>
      </c>
      <c r="AX34" s="10">
        <v>322.50000000000006</v>
      </c>
      <c r="AY34" s="10">
        <v>387.00000000000006</v>
      </c>
      <c r="AZ34" s="10">
        <v>430.00000000000006</v>
      </c>
      <c r="BA34" s="10">
        <v>236.50000000000003</v>
      </c>
      <c r="BB34" s="10">
        <v>0</v>
      </c>
      <c r="BC34" s="10">
        <v>474</v>
      </c>
      <c r="BD34" s="10">
        <v>1848</v>
      </c>
      <c r="BE34" s="10">
        <v>2328</v>
      </c>
      <c r="BF34" s="10">
        <v>1998</v>
      </c>
      <c r="BG34" s="10">
        <v>158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1</v>
      </c>
      <c r="CT34" s="10">
        <v>0.5</v>
      </c>
      <c r="CU34" s="10">
        <v>0.5</v>
      </c>
      <c r="CV34" s="10">
        <v>5</v>
      </c>
      <c r="CW34" s="10">
        <v>5</v>
      </c>
      <c r="CX34" s="10">
        <v>0</v>
      </c>
      <c r="CY34" s="10">
        <v>2</v>
      </c>
      <c r="CZ34" s="10">
        <v>0</v>
      </c>
      <c r="DA34" s="10">
        <v>1</v>
      </c>
      <c r="DB34" s="10">
        <v>7</v>
      </c>
      <c r="DC34" s="10">
        <v>0</v>
      </c>
      <c r="DD34" s="10" t="str">
        <v/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 t="str">
        <v/>
      </c>
      <c r="DL34" s="10">
        <v>0</v>
      </c>
    </row>
    <row r="35" spans="1:116" ht="21" customHeight="1" x14ac:dyDescent="0.3">
      <c r="A35" s="71" t="str">
        <v>毁灭流星</v>
      </c>
      <c r="B35" s="82">
        <v>1384</v>
      </c>
      <c r="C35" s="82" t="str">
        <v>魔</v>
      </c>
      <c r="D35" s="71" t="str">
        <v>是</v>
      </c>
      <c r="E35" s="75">
        <v>7.4</v>
      </c>
      <c r="F35" s="75">
        <v>7.4</v>
      </c>
      <c r="G35" s="77" t="str">
        <v>0+0+0+0</v>
      </c>
      <c r="H35" s="100" t="str">
        <v>无</v>
      </c>
      <c r="I35" s="75">
        <v>32</v>
      </c>
      <c r="J35" s="76">
        <v>0</v>
      </c>
      <c r="K35" s="76">
        <v>1384</v>
      </c>
      <c r="L35" s="76">
        <v>0</v>
      </c>
      <c r="M35" s="76">
        <v>0</v>
      </c>
      <c r="N35" s="76">
        <v>0</v>
      </c>
      <c r="O35" s="76">
        <v>1</v>
      </c>
      <c r="P35" s="10">
        <v>42210</v>
      </c>
      <c r="Q35" s="10">
        <v>42212</v>
      </c>
      <c r="R35" s="10">
        <v>42214</v>
      </c>
      <c r="S35" s="10">
        <v>42216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2</v>
      </c>
      <c r="Z35" s="10">
        <v>2</v>
      </c>
      <c r="AA35" s="10">
        <v>2</v>
      </c>
      <c r="AB35" s="10">
        <v>2</v>
      </c>
      <c r="AC35" s="10">
        <v>0</v>
      </c>
      <c r="AD35" s="10">
        <v>0</v>
      </c>
      <c r="AE35" s="10" t="str">
        <v>无</v>
      </c>
      <c r="AF35" s="10" t="str">
        <v>无</v>
      </c>
      <c r="AG35" s="10" t="str">
        <v>无</v>
      </c>
      <c r="AH35" s="10" t="str">
        <v>无</v>
      </c>
      <c r="AI35" s="10" t="str">
        <v>无</v>
      </c>
      <c r="AJ35" s="10" t="str">
        <v>无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279.50000000000006</v>
      </c>
      <c r="AX35" s="10">
        <v>258.00000000000006</v>
      </c>
      <c r="AY35" s="10">
        <v>245.10000000000005</v>
      </c>
      <c r="AZ35" s="10">
        <v>232.20000000000005</v>
      </c>
      <c r="BA35" s="10">
        <v>0</v>
      </c>
      <c r="BB35" s="10">
        <v>0</v>
      </c>
      <c r="BC35" s="10">
        <v>390</v>
      </c>
      <c r="BD35" s="10">
        <v>354</v>
      </c>
      <c r="BE35" s="10">
        <v>332</v>
      </c>
      <c r="BF35" s="10">
        <v>308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0.92500000000000004</v>
      </c>
      <c r="CT35" s="10">
        <v>0.92500000000000004</v>
      </c>
      <c r="CU35" s="10">
        <v>0.92500000000000004</v>
      </c>
      <c r="CV35" s="10">
        <v>0.92500000000000004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 t="str">
        <v/>
      </c>
      <c r="DD35" s="10" t="str">
        <v/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 t="str">
        <v/>
      </c>
      <c r="DL35" s="10">
        <v>0</v>
      </c>
    </row>
    <row r="36" spans="1:116" ht="21" customHeight="1" x14ac:dyDescent="0.3">
      <c r="A36" s="71" t="str">
        <v>创星雨</v>
      </c>
      <c r="B36" s="82">
        <v>770</v>
      </c>
      <c r="C36" s="82" t="str">
        <v>魔</v>
      </c>
      <c r="D36" s="71" t="str">
        <v>是</v>
      </c>
      <c r="E36" s="75">
        <v>4.63</v>
      </c>
      <c r="F36" s="75">
        <v>4.63</v>
      </c>
      <c r="G36" s="77" t="str">
        <v>0</v>
      </c>
      <c r="H36" s="100" t="str">
        <v>无</v>
      </c>
      <c r="I36" s="75">
        <v>27</v>
      </c>
      <c r="J36" s="76">
        <v>0</v>
      </c>
      <c r="K36" s="76">
        <v>770</v>
      </c>
      <c r="L36" s="76">
        <v>0</v>
      </c>
      <c r="M36" s="76">
        <v>0</v>
      </c>
      <c r="N36" s="76">
        <v>0</v>
      </c>
      <c r="O36" s="76">
        <v>1</v>
      </c>
      <c r="P36" s="10">
        <v>42105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5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 t="str">
        <v>无</v>
      </c>
      <c r="AF36" s="10" t="str">
        <v>无</v>
      </c>
      <c r="AG36" s="10" t="str">
        <v>无</v>
      </c>
      <c r="AH36" s="10" t="str">
        <v>无</v>
      </c>
      <c r="AI36" s="10" t="str">
        <v>无</v>
      </c>
      <c r="AJ36" s="10" t="str">
        <v>无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232.20000000000005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770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0.92500000000000004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 t="str">
        <v/>
      </c>
      <c r="DA36" s="10" t="str">
        <v/>
      </c>
      <c r="DB36" s="10" t="str">
        <v/>
      </c>
      <c r="DC36" s="10" t="str">
        <v/>
      </c>
      <c r="DD36" s="10" t="str">
        <v/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 t="str">
        <v/>
      </c>
      <c r="DL36" s="10">
        <v>0</v>
      </c>
    </row>
    <row r="37" spans="1:116" ht="21" customHeight="1" x14ac:dyDescent="0.3">
      <c r="A37" s="71" t="str">
        <v>魔法辉剑</v>
      </c>
      <c r="B37" s="82">
        <v>890</v>
      </c>
      <c r="C37" s="82" t="str">
        <v>魔</v>
      </c>
      <c r="D37" s="71" t="str">
        <v>是</v>
      </c>
      <c r="E37" s="75">
        <v>10.18</v>
      </c>
      <c r="F37" s="75">
        <v>10.18</v>
      </c>
      <c r="G37" s="77" t="str">
        <v>1</v>
      </c>
      <c r="H37" s="100" t="str">
        <v>无</v>
      </c>
      <c r="I37" s="75">
        <v>12</v>
      </c>
      <c r="J37" s="76">
        <v>0</v>
      </c>
      <c r="K37" s="76">
        <v>890</v>
      </c>
      <c r="L37" s="76">
        <v>0</v>
      </c>
      <c r="M37" s="76">
        <v>0</v>
      </c>
      <c r="N37" s="76">
        <v>0</v>
      </c>
      <c r="O37" s="76">
        <v>1</v>
      </c>
      <c r="P37" s="10">
        <v>43905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1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 t="str">
        <v>无</v>
      </c>
      <c r="AF37" s="10" t="str">
        <v>无</v>
      </c>
      <c r="AG37" s="10" t="str">
        <v>无</v>
      </c>
      <c r="AH37" s="10" t="str">
        <v>无</v>
      </c>
      <c r="AI37" s="10" t="str">
        <v>无</v>
      </c>
      <c r="AJ37" s="10" t="str">
        <v>无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989.00000000000011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890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10.175000000000001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1</v>
      </c>
      <c r="CZ37" s="10" t="str">
        <v/>
      </c>
      <c r="DA37" s="10" t="str">
        <v/>
      </c>
      <c r="DB37" s="10" t="str">
        <v/>
      </c>
      <c r="DC37" s="10" t="str">
        <v/>
      </c>
      <c r="DD37" s="10" t="str">
        <v/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 t="str">
        <v/>
      </c>
      <c r="DL37" s="10">
        <v>0</v>
      </c>
    </row>
    <row r="38" spans="1:116" ht="21" customHeight="1" x14ac:dyDescent="0.3">
      <c r="A38" s="71" t="str">
        <v>魔法三辉剑</v>
      </c>
      <c r="B38" s="82">
        <v>1353</v>
      </c>
      <c r="C38" s="82" t="str">
        <v>魔</v>
      </c>
      <c r="D38" s="71" t="str">
        <v>是</v>
      </c>
      <c r="E38" s="75">
        <v>18</v>
      </c>
      <c r="F38" s="75">
        <v>18</v>
      </c>
      <c r="G38" s="77" t="str">
        <v>1</v>
      </c>
      <c r="H38" s="100" t="str">
        <v>无</v>
      </c>
      <c r="I38" s="75">
        <v>19</v>
      </c>
      <c r="J38" s="76">
        <v>0</v>
      </c>
      <c r="K38" s="76">
        <v>1353</v>
      </c>
      <c r="L38" s="76">
        <v>0</v>
      </c>
      <c r="M38" s="76">
        <v>0</v>
      </c>
      <c r="N38" s="76">
        <v>0</v>
      </c>
      <c r="O38" s="76">
        <v>1</v>
      </c>
      <c r="P38" s="10">
        <v>210431050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3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 t="str">
        <v>无</v>
      </c>
      <c r="AF38" s="10" t="str">
        <v>无</v>
      </c>
      <c r="AG38" s="10" t="str">
        <v>无</v>
      </c>
      <c r="AH38" s="10" t="str">
        <v>无</v>
      </c>
      <c r="AI38" s="10" t="str">
        <v>无</v>
      </c>
      <c r="AJ38" s="10" t="str">
        <v>无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546.10000000000014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1353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6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1</v>
      </c>
      <c r="CZ38" s="10" t="str">
        <v/>
      </c>
      <c r="DA38" s="10" t="str">
        <v/>
      </c>
      <c r="DB38" s="10" t="str">
        <v/>
      </c>
      <c r="DC38" s="10" t="str">
        <v/>
      </c>
      <c r="DD38" s="10" t="str">
        <v/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 t="str">
        <v/>
      </c>
      <c r="DL38" s="10">
        <v>0</v>
      </c>
    </row>
    <row r="39" spans="1:116" ht="21" customHeight="1" x14ac:dyDescent="0.3">
      <c r="A39" s="71" t="str">
        <v>辉剑圆阵</v>
      </c>
      <c r="B39" s="82">
        <v>885</v>
      </c>
      <c r="C39" s="82" t="str">
        <v>魔</v>
      </c>
      <c r="D39" s="71" t="str">
        <v>否</v>
      </c>
      <c r="E39" s="75">
        <v>5</v>
      </c>
      <c r="F39" s="75">
        <v>5</v>
      </c>
      <c r="G39" s="77" t="str">
        <v>1</v>
      </c>
      <c r="H39" s="100" t="str">
        <v>无</v>
      </c>
      <c r="I39" s="75">
        <v>18</v>
      </c>
      <c r="J39" s="76">
        <v>0</v>
      </c>
      <c r="K39" s="76">
        <v>885</v>
      </c>
      <c r="L39" s="76">
        <v>0</v>
      </c>
      <c r="M39" s="76">
        <v>0</v>
      </c>
      <c r="N39" s="76">
        <v>0</v>
      </c>
      <c r="O39" s="76">
        <v>1</v>
      </c>
      <c r="P39" s="10">
        <v>43000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5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 t="str">
        <v>无</v>
      </c>
      <c r="AF39" s="10" t="str">
        <v>无</v>
      </c>
      <c r="AG39" s="10" t="str">
        <v>无</v>
      </c>
      <c r="AH39" s="10" t="str">
        <v>无</v>
      </c>
      <c r="AI39" s="10" t="str">
        <v>无</v>
      </c>
      <c r="AJ39" s="10" t="str">
        <v>无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258.00000000000006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885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1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1</v>
      </c>
      <c r="CZ39" s="10" t="str">
        <v/>
      </c>
      <c r="DA39" s="10" t="str">
        <v/>
      </c>
      <c r="DB39" s="10" t="str">
        <v/>
      </c>
      <c r="DC39" s="10" t="str">
        <v/>
      </c>
      <c r="DD39" s="10" t="str">
        <v/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 t="str">
        <v/>
      </c>
      <c r="DL39" s="10">
        <v>0</v>
      </c>
    </row>
    <row r="40" spans="1:116" ht="21" customHeight="1" x14ac:dyDescent="0.3">
      <c r="A40" s="71" t="str">
        <v>卡利亚圆阵</v>
      </c>
      <c r="B40" s="82">
        <v>1161</v>
      </c>
      <c r="C40" s="82" t="str">
        <v>魔</v>
      </c>
      <c r="D40" s="71" t="str">
        <v>否</v>
      </c>
      <c r="E40" s="75">
        <v>9</v>
      </c>
      <c r="F40" s="75">
        <v>9</v>
      </c>
      <c r="G40" s="77" t="str">
        <v>1</v>
      </c>
      <c r="H40" s="100" t="str">
        <v>无</v>
      </c>
      <c r="I40" s="75">
        <v>24</v>
      </c>
      <c r="J40" s="76">
        <v>0</v>
      </c>
      <c r="K40" s="76">
        <v>1161</v>
      </c>
      <c r="L40" s="76">
        <v>0</v>
      </c>
      <c r="M40" s="76">
        <v>0</v>
      </c>
      <c r="N40" s="76">
        <v>0</v>
      </c>
      <c r="O40" s="76">
        <v>1</v>
      </c>
      <c r="P40" s="10">
        <v>43010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9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 t="str">
        <v>无</v>
      </c>
      <c r="AF40" s="10" t="str">
        <v>无</v>
      </c>
      <c r="AG40" s="10" t="str">
        <v>无</v>
      </c>
      <c r="AH40" s="10" t="str">
        <v>无</v>
      </c>
      <c r="AI40" s="10" t="str">
        <v>无</v>
      </c>
      <c r="AJ40" s="10" t="str">
        <v>无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206.40000000000003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1161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1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1</v>
      </c>
      <c r="CZ40" s="10" t="str">
        <v/>
      </c>
      <c r="DA40" s="10" t="str">
        <v/>
      </c>
      <c r="DB40" s="10" t="str">
        <v/>
      </c>
      <c r="DC40" s="10" t="str">
        <v/>
      </c>
      <c r="DD40" s="10" t="str">
        <v/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 t="str">
        <v/>
      </c>
      <c r="DL40" s="10">
        <v>0</v>
      </c>
    </row>
    <row r="41" spans="1:116" ht="21" customHeight="1" x14ac:dyDescent="0.3">
      <c r="A41" s="71" t="str">
        <v>巨剑阵</v>
      </c>
      <c r="B41" s="82">
        <v>999</v>
      </c>
      <c r="C41" s="82" t="str">
        <v>魔</v>
      </c>
      <c r="D41" s="71" t="str">
        <v>否</v>
      </c>
      <c r="E41" s="75">
        <v>30.53</v>
      </c>
      <c r="F41" s="75">
        <v>30.53</v>
      </c>
      <c r="G41" s="77" t="str">
        <v>2</v>
      </c>
      <c r="H41" s="100" t="str">
        <v>无</v>
      </c>
      <c r="I41" s="75">
        <v>30</v>
      </c>
      <c r="J41" s="76">
        <v>0</v>
      </c>
      <c r="K41" s="76">
        <v>999</v>
      </c>
      <c r="L41" s="76">
        <v>0</v>
      </c>
      <c r="M41" s="76">
        <v>0</v>
      </c>
      <c r="N41" s="76">
        <v>0</v>
      </c>
      <c r="O41" s="76">
        <v>1</v>
      </c>
      <c r="P41" s="10">
        <v>43020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3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 t="str">
        <v>无</v>
      </c>
      <c r="AF41" s="10" t="str">
        <v>无</v>
      </c>
      <c r="AG41" s="10" t="str">
        <v>无</v>
      </c>
      <c r="AH41" s="10" t="str">
        <v>无</v>
      </c>
      <c r="AI41" s="10" t="str">
        <v>无</v>
      </c>
      <c r="AJ41" s="10" t="str">
        <v>无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430.00000000000006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999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10.175000000000001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2</v>
      </c>
      <c r="CZ41" s="10" t="str">
        <v/>
      </c>
      <c r="DA41" s="10" t="str">
        <v/>
      </c>
      <c r="DB41" s="10" t="str">
        <v/>
      </c>
      <c r="DC41" s="10" t="str">
        <v/>
      </c>
      <c r="DD41" s="10" t="str">
        <v/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 t="str">
        <v/>
      </c>
      <c r="DL41" s="10">
        <v>0</v>
      </c>
    </row>
    <row r="42" spans="1:116" ht="21" customHeight="1" x14ac:dyDescent="0.3">
      <c r="A42" s="71" t="str">
        <v>天降魔力</v>
      </c>
      <c r="B42" s="82">
        <v>850</v>
      </c>
      <c r="C42" s="82" t="str">
        <v>魔</v>
      </c>
      <c r="D42" s="71" t="str">
        <v>否</v>
      </c>
      <c r="E42" s="75">
        <v>2.5</v>
      </c>
      <c r="F42" s="75">
        <v>2.5</v>
      </c>
      <c r="G42" s="77" t="str">
        <v>8</v>
      </c>
      <c r="H42" s="100" t="str">
        <v>无</v>
      </c>
      <c r="I42" s="75">
        <v>18</v>
      </c>
      <c r="J42" s="76">
        <v>0</v>
      </c>
      <c r="K42" s="76">
        <v>850</v>
      </c>
      <c r="L42" s="76">
        <v>0</v>
      </c>
      <c r="M42" s="76">
        <v>0</v>
      </c>
      <c r="N42" s="76">
        <v>0</v>
      </c>
      <c r="O42" s="76">
        <v>1</v>
      </c>
      <c r="P42" s="10">
        <v>43702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5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 t="str">
        <v>无</v>
      </c>
      <c r="AF42" s="10" t="str">
        <v>无</v>
      </c>
      <c r="AG42" s="10" t="str">
        <v>无</v>
      </c>
      <c r="AH42" s="10" t="str">
        <v>无</v>
      </c>
      <c r="AI42" s="10" t="str">
        <v>无</v>
      </c>
      <c r="AJ42" s="10" t="str">
        <v>无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249.40000000000003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850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0.5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8</v>
      </c>
      <c r="CZ42" s="10" t="str">
        <v/>
      </c>
      <c r="DA42" s="10" t="str">
        <v/>
      </c>
      <c r="DB42" s="10" t="str">
        <v/>
      </c>
      <c r="DC42" s="10" t="str">
        <v/>
      </c>
      <c r="DD42" s="10" t="str">
        <v/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 t="str">
        <v/>
      </c>
      <c r="DL42" s="10">
        <v>0</v>
      </c>
    </row>
    <row r="43" spans="1:116" ht="21" customHeight="1" x14ac:dyDescent="0.3">
      <c r="A43" s="71" t="str">
        <v>罗蕾塔的大弓</v>
      </c>
      <c r="B43" s="82">
        <v>1277</v>
      </c>
      <c r="C43" s="82" t="str">
        <v>魔</v>
      </c>
      <c r="D43" s="71" t="str">
        <v>是</v>
      </c>
      <c r="E43" s="75">
        <v>12.95</v>
      </c>
      <c r="F43" s="75">
        <v>12.95</v>
      </c>
      <c r="G43" s="77" t="str">
        <v>3</v>
      </c>
      <c r="H43" s="100" t="str">
        <v>无</v>
      </c>
      <c r="I43" s="75">
        <v>24</v>
      </c>
      <c r="J43" s="76">
        <v>0</v>
      </c>
      <c r="K43" s="76">
        <v>1277</v>
      </c>
      <c r="L43" s="76">
        <v>0</v>
      </c>
      <c r="M43" s="76">
        <v>0</v>
      </c>
      <c r="N43" s="76">
        <v>0</v>
      </c>
      <c r="O43" s="76">
        <v>1</v>
      </c>
      <c r="P43" s="10">
        <v>43805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1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 t="str">
        <v>无</v>
      </c>
      <c r="AF43" s="10" t="str">
        <v>无</v>
      </c>
      <c r="AG43" s="10" t="str">
        <v>无</v>
      </c>
      <c r="AH43" s="10" t="str">
        <v>无</v>
      </c>
      <c r="AI43" s="10" t="str">
        <v>无</v>
      </c>
      <c r="AJ43" s="10" t="str">
        <v>无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1419.0000000000002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1277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12.95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3</v>
      </c>
      <c r="CZ43" s="10" t="str">
        <v/>
      </c>
      <c r="DA43" s="10" t="str">
        <v/>
      </c>
      <c r="DB43" s="10" t="str">
        <v/>
      </c>
      <c r="DC43" s="10" t="str">
        <v/>
      </c>
      <c r="DD43" s="10" t="str">
        <v/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 t="str">
        <v/>
      </c>
      <c r="DL43" s="10">
        <v>0</v>
      </c>
    </row>
    <row r="44" spans="1:116" ht="21" customHeight="1" x14ac:dyDescent="0.3">
      <c r="A44" s="71" t="str">
        <v>罗蕾塔的绝招</v>
      </c>
      <c r="B44" s="82">
        <v>1804</v>
      </c>
      <c r="C44" s="82" t="str">
        <v>魔</v>
      </c>
      <c r="D44" s="71" t="str">
        <v>是</v>
      </c>
      <c r="E44" s="75">
        <v>37</v>
      </c>
      <c r="F44" s="75">
        <v>37</v>
      </c>
      <c r="G44" s="77" t="str">
        <v>3</v>
      </c>
      <c r="H44" s="100" t="str">
        <v>无</v>
      </c>
      <c r="I44" s="75">
        <v>39</v>
      </c>
      <c r="J44" s="76">
        <v>0</v>
      </c>
      <c r="K44" s="76">
        <v>1804</v>
      </c>
      <c r="L44" s="76">
        <v>0</v>
      </c>
      <c r="M44" s="76">
        <v>0</v>
      </c>
      <c r="N44" s="76">
        <v>0</v>
      </c>
      <c r="O44" s="76">
        <v>1</v>
      </c>
      <c r="P44" s="10">
        <v>43815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4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 t="str">
        <v>无</v>
      </c>
      <c r="AF44" s="10" t="str">
        <v>无</v>
      </c>
      <c r="AG44" s="10" t="str">
        <v>无</v>
      </c>
      <c r="AH44" s="10" t="str">
        <v>无</v>
      </c>
      <c r="AI44" s="10" t="str">
        <v>无</v>
      </c>
      <c r="AJ44" s="10" t="str">
        <v>无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546.10000000000014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1804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9.25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3</v>
      </c>
      <c r="CZ44" s="10" t="str">
        <v/>
      </c>
      <c r="DA44" s="10" t="str">
        <v/>
      </c>
      <c r="DB44" s="10" t="str">
        <v/>
      </c>
      <c r="DC44" s="10" t="str">
        <v/>
      </c>
      <c r="DD44" s="10" t="str">
        <v/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 t="str">
        <v/>
      </c>
      <c r="DL44" s="10">
        <v>0</v>
      </c>
    </row>
    <row r="45" spans="1:116" ht="21" customHeight="1" x14ac:dyDescent="0.3">
      <c r="A45" s="71" t="str">
        <v>蕾娜菈的满月</v>
      </c>
      <c r="B45" s="82">
        <v>1393</v>
      </c>
      <c r="C45" s="82" t="str">
        <v>魔</v>
      </c>
      <c r="D45" s="71" t="str">
        <v>否</v>
      </c>
      <c r="E45" s="75">
        <v>13.63</v>
      </c>
      <c r="F45" s="75">
        <v>13.63</v>
      </c>
      <c r="G45" s="77" t="str">
        <v>3</v>
      </c>
      <c r="H45" s="100" t="str">
        <v>无</v>
      </c>
      <c r="I45" s="75">
        <v>47</v>
      </c>
      <c r="J45" s="76">
        <v>0</v>
      </c>
      <c r="K45" s="76">
        <v>1393</v>
      </c>
      <c r="L45" s="76">
        <v>0</v>
      </c>
      <c r="M45" s="76">
        <v>0</v>
      </c>
      <c r="N45" s="76">
        <v>0</v>
      </c>
      <c r="O45" s="76">
        <v>1</v>
      </c>
      <c r="P45" s="10">
        <v>43600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1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 t="str">
        <v>无</v>
      </c>
      <c r="AF45" s="10" t="str">
        <v>无</v>
      </c>
      <c r="AG45" s="10" t="str">
        <v>无</v>
      </c>
      <c r="AH45" s="10" t="str">
        <v>无</v>
      </c>
      <c r="AI45" s="10" t="str">
        <v>无</v>
      </c>
      <c r="AJ45" s="10" t="str">
        <v>无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1548.0000000000002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1393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13.634499999999999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3</v>
      </c>
      <c r="CZ45" s="10" t="str">
        <v/>
      </c>
      <c r="DA45" s="10" t="str">
        <v/>
      </c>
      <c r="DB45" s="10" t="str">
        <v/>
      </c>
      <c r="DC45" s="10" t="str">
        <v/>
      </c>
      <c r="DD45" s="10" t="str">
        <v/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 t="str">
        <v/>
      </c>
      <c r="DL45" s="10">
        <v>0</v>
      </c>
    </row>
    <row r="46" spans="1:116" ht="21" customHeight="1" x14ac:dyDescent="0.3">
      <c r="A46" s="71" t="str">
        <v>菈妮的暗月</v>
      </c>
      <c r="B46" s="82">
        <v>1277</v>
      </c>
      <c r="C46" s="82" t="str">
        <v>魔</v>
      </c>
      <c r="D46" s="71" t="str">
        <v>否</v>
      </c>
      <c r="E46" s="75">
        <v>13.63</v>
      </c>
      <c r="F46" s="75">
        <v>13.63</v>
      </c>
      <c r="G46" s="77" t="str">
        <v>3</v>
      </c>
      <c r="H46" s="100" t="str">
        <v>270冰冻值</v>
      </c>
      <c r="I46" s="75">
        <v>57</v>
      </c>
      <c r="J46" s="76">
        <v>0</v>
      </c>
      <c r="K46" s="76">
        <v>1277</v>
      </c>
      <c r="L46" s="76">
        <v>0</v>
      </c>
      <c r="M46" s="76">
        <v>0</v>
      </c>
      <c r="N46" s="76">
        <v>0</v>
      </c>
      <c r="O46" s="76">
        <v>1</v>
      </c>
      <c r="P46" s="10">
        <v>43610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1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 t="str">
        <v>无</v>
      </c>
      <c r="AF46" s="10" t="str">
        <v>无</v>
      </c>
      <c r="AG46" s="10" t="str">
        <v>无</v>
      </c>
      <c r="AH46" s="10" t="str">
        <v>无</v>
      </c>
      <c r="AI46" s="10" t="str">
        <v>无</v>
      </c>
      <c r="AJ46" s="10" t="str">
        <v>无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1419.0000000000002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1277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13.634499999999999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3</v>
      </c>
      <c r="CZ46" s="10" t="str">
        <v/>
      </c>
      <c r="DA46" s="10" t="str">
        <v/>
      </c>
      <c r="DB46" s="10" t="str">
        <v/>
      </c>
      <c r="DC46" s="10" t="str">
        <v/>
      </c>
      <c r="DD46" s="10" t="str">
        <v/>
      </c>
      <c r="DE46" s="10">
        <v>270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 t="str">
        <v>冰冻值</v>
      </c>
      <c r="DL46" s="10">
        <v>0</v>
      </c>
    </row>
    <row r="47" spans="1:116" ht="21" customHeight="1" x14ac:dyDescent="0.3">
      <c r="A47" s="71" t="str">
        <v>蕾菈娜的双月</v>
      </c>
      <c r="B47" s="82">
        <v>3870</v>
      </c>
      <c r="C47" s="82" t="str">
        <v>魔</v>
      </c>
      <c r="D47" s="71" t="str">
        <v>否</v>
      </c>
      <c r="E47" s="75">
        <v>30</v>
      </c>
      <c r="F47" s="75">
        <v>30</v>
      </c>
      <c r="G47" s="77" t="str">
        <v>3+9</v>
      </c>
      <c r="H47" s="100" t="str">
        <v>无</v>
      </c>
      <c r="I47" s="75">
        <v>47</v>
      </c>
      <c r="J47" s="76">
        <v>0</v>
      </c>
      <c r="K47" s="76">
        <v>3870</v>
      </c>
      <c r="L47" s="76">
        <v>0</v>
      </c>
      <c r="M47" s="76">
        <v>0</v>
      </c>
      <c r="N47" s="76">
        <v>0</v>
      </c>
      <c r="O47" s="76">
        <v>1</v>
      </c>
      <c r="P47" s="10">
        <v>210432000</v>
      </c>
      <c r="Q47" s="10">
        <v>210432002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2</v>
      </c>
      <c r="Z47" s="10">
        <v>1</v>
      </c>
      <c r="AA47" s="10">
        <v>0</v>
      </c>
      <c r="AB47" s="10">
        <v>0</v>
      </c>
      <c r="AC47" s="10">
        <v>0</v>
      </c>
      <c r="AD47" s="10">
        <v>0</v>
      </c>
      <c r="AE47" s="10" t="str">
        <v>无</v>
      </c>
      <c r="AF47" s="10" t="str">
        <v>无</v>
      </c>
      <c r="AG47" s="10" t="str">
        <v>无</v>
      </c>
      <c r="AH47" s="10" t="str">
        <v>无</v>
      </c>
      <c r="AI47" s="10" t="str">
        <v>无</v>
      </c>
      <c r="AJ47" s="10" t="str">
        <v>无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1290.0000000000002</v>
      </c>
      <c r="AX47" s="10">
        <v>1720.0000000000002</v>
      </c>
      <c r="AY47" s="10">
        <v>0</v>
      </c>
      <c r="AZ47" s="10">
        <v>0</v>
      </c>
      <c r="BA47" s="10">
        <v>0</v>
      </c>
      <c r="BB47" s="10">
        <v>0</v>
      </c>
      <c r="BC47" s="10">
        <v>2322</v>
      </c>
      <c r="BD47" s="10">
        <v>1548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10</v>
      </c>
      <c r="CT47" s="10">
        <v>10</v>
      </c>
      <c r="CU47" s="10">
        <v>0</v>
      </c>
      <c r="CV47" s="10">
        <v>0</v>
      </c>
      <c r="CW47" s="10">
        <v>0</v>
      </c>
      <c r="CX47" s="10">
        <v>0</v>
      </c>
      <c r="CY47" s="10">
        <v>3</v>
      </c>
      <c r="CZ47" s="10">
        <v>9</v>
      </c>
      <c r="DA47" s="10" t="str">
        <v/>
      </c>
      <c r="DB47" s="10" t="str">
        <v/>
      </c>
      <c r="DC47" s="10" t="str">
        <v/>
      </c>
      <c r="DD47" s="10" t="str">
        <v/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 t="str">
        <v/>
      </c>
      <c r="DL47" s="10">
        <v>0</v>
      </c>
    </row>
    <row r="48" spans="1:116" ht="21" customHeight="1" x14ac:dyDescent="0.3">
      <c r="A48" s="71" t="str">
        <v>卡利亚迅剑</v>
      </c>
      <c r="B48" s="82">
        <v>686</v>
      </c>
      <c r="C48" s="82" t="str">
        <v>魔</v>
      </c>
      <c r="D48" s="71" t="str">
        <v>否</v>
      </c>
      <c r="E48" s="75">
        <v>3</v>
      </c>
      <c r="F48" s="75">
        <v>3</v>
      </c>
      <c r="G48" s="77" t="str">
        <v>1</v>
      </c>
      <c r="H48" s="100" t="str">
        <v>无</v>
      </c>
      <c r="I48" s="75">
        <v>4</v>
      </c>
      <c r="J48" s="76">
        <v>0</v>
      </c>
      <c r="K48" s="76">
        <v>686</v>
      </c>
      <c r="L48" s="76">
        <v>0</v>
      </c>
      <c r="M48" s="76">
        <v>0</v>
      </c>
      <c r="N48" s="76">
        <v>0</v>
      </c>
      <c r="O48" s="76">
        <v>1</v>
      </c>
      <c r="P48" s="10">
        <v>44400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1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 t="str">
        <v>无</v>
      </c>
      <c r="AF48" s="10" t="str">
        <v>无</v>
      </c>
      <c r="AG48" s="10" t="str">
        <v>无</v>
      </c>
      <c r="AH48" s="10" t="str">
        <v>无</v>
      </c>
      <c r="AI48" s="10" t="str">
        <v>无</v>
      </c>
      <c r="AJ48" s="10" t="str">
        <v>无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774.00000000000011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686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3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1</v>
      </c>
      <c r="CZ48" s="10" t="str">
        <v/>
      </c>
      <c r="DA48" s="10" t="str">
        <v/>
      </c>
      <c r="DB48" s="10" t="str">
        <v/>
      </c>
      <c r="DC48" s="10" t="str">
        <v/>
      </c>
      <c r="DD48" s="10" t="str">
        <v/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 t="str">
        <v/>
      </c>
      <c r="DL48" s="10">
        <v>0</v>
      </c>
    </row>
    <row r="49" spans="1:116" ht="21" customHeight="1" x14ac:dyDescent="0.3">
      <c r="A49" s="71" t="str">
        <v>卡利亚大剑</v>
      </c>
      <c r="B49" s="82">
        <v>1037</v>
      </c>
      <c r="C49" s="82" t="str">
        <v>魔</v>
      </c>
      <c r="D49" s="71" t="str">
        <v>否</v>
      </c>
      <c r="E49" s="75">
        <v>10.18</v>
      </c>
      <c r="F49" s="75">
        <v>10.18</v>
      </c>
      <c r="G49" s="77" t="str">
        <v>3</v>
      </c>
      <c r="H49" s="100" t="str">
        <v>无</v>
      </c>
      <c r="I49" s="75">
        <v>12</v>
      </c>
      <c r="J49" s="76">
        <v>0</v>
      </c>
      <c r="K49" s="76">
        <v>1037</v>
      </c>
      <c r="L49" s="76">
        <v>0</v>
      </c>
      <c r="M49" s="76">
        <v>0</v>
      </c>
      <c r="N49" s="76">
        <v>0</v>
      </c>
      <c r="O49" s="76">
        <v>1</v>
      </c>
      <c r="P49" s="10">
        <v>44300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1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 t="str">
        <v>无</v>
      </c>
      <c r="AF49" s="10" t="str">
        <v>无</v>
      </c>
      <c r="AG49" s="10" t="str">
        <v>无</v>
      </c>
      <c r="AH49" s="10" t="str">
        <v>无</v>
      </c>
      <c r="AI49" s="10" t="str">
        <v>无</v>
      </c>
      <c r="AJ49" s="10" t="str">
        <v>无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1152.4000000000001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1037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10.175000000000001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3</v>
      </c>
      <c r="CZ49" s="10" t="str">
        <v/>
      </c>
      <c r="DA49" s="10" t="str">
        <v/>
      </c>
      <c r="DB49" s="10" t="str">
        <v/>
      </c>
      <c r="DC49" s="10" t="str">
        <v/>
      </c>
      <c r="DD49" s="10" t="str">
        <v/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 t="str">
        <v/>
      </c>
      <c r="DL49" s="10">
        <v>0</v>
      </c>
    </row>
    <row r="50" spans="1:116" ht="21" customHeight="1" x14ac:dyDescent="0.3">
      <c r="A50" s="71" t="str">
        <v>卡利亚贯刺</v>
      </c>
      <c r="B50" s="82">
        <v>1373</v>
      </c>
      <c r="C50" s="82" t="str">
        <v>魔</v>
      </c>
      <c r="D50" s="71" t="str">
        <v>是</v>
      </c>
      <c r="E50" s="75">
        <v>12.95</v>
      </c>
      <c r="F50" s="75">
        <v>12.95</v>
      </c>
      <c r="G50" s="77" t="str">
        <v>7</v>
      </c>
      <c r="H50" s="100" t="str">
        <v>无</v>
      </c>
      <c r="I50" s="75">
        <v>17</v>
      </c>
      <c r="J50" s="76">
        <v>0</v>
      </c>
      <c r="K50" s="76">
        <v>1373</v>
      </c>
      <c r="L50" s="76">
        <v>0</v>
      </c>
      <c r="M50" s="76">
        <v>0</v>
      </c>
      <c r="N50" s="76">
        <v>0</v>
      </c>
      <c r="O50" s="76">
        <v>1</v>
      </c>
      <c r="P50" s="10">
        <v>44505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1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 t="str">
        <v>无</v>
      </c>
      <c r="AF50" s="10" t="str">
        <v>无</v>
      </c>
      <c r="AG50" s="10" t="str">
        <v>无</v>
      </c>
      <c r="AH50" s="10" t="str">
        <v>无</v>
      </c>
      <c r="AI50" s="10" t="str">
        <v>无</v>
      </c>
      <c r="AJ50" s="10" t="str">
        <v>无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1526.5000000000002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1373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12.95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7</v>
      </c>
      <c r="CZ50" s="10" t="str">
        <v/>
      </c>
      <c r="DA50" s="10" t="str">
        <v/>
      </c>
      <c r="DB50" s="10" t="str">
        <v/>
      </c>
      <c r="DC50" s="10" t="str">
        <v/>
      </c>
      <c r="DD50" s="10" t="str">
        <v/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 t="str">
        <v/>
      </c>
      <c r="DL50" s="10">
        <v>0</v>
      </c>
    </row>
    <row r="51" spans="1:116" ht="21" customHeight="1" x14ac:dyDescent="0.3">
      <c r="A51" s="71" t="str">
        <v>亚杜拉的月光剑</v>
      </c>
      <c r="B51" s="82">
        <v>1203</v>
      </c>
      <c r="C51" s="82" t="str">
        <v>魔</v>
      </c>
      <c r="D51" s="71" t="str">
        <v>否</v>
      </c>
      <c r="E51" s="75">
        <v>12</v>
      </c>
      <c r="F51" s="75">
        <v>12</v>
      </c>
      <c r="G51" s="77" t="str">
        <v>3+2</v>
      </c>
      <c r="H51" s="100" t="str">
        <v>155冰冻值</v>
      </c>
      <c r="I51" s="75">
        <v>22</v>
      </c>
      <c r="J51" s="76">
        <v>0</v>
      </c>
      <c r="K51" s="76">
        <v>1203</v>
      </c>
      <c r="L51" s="76">
        <v>0</v>
      </c>
      <c r="M51" s="76">
        <v>0</v>
      </c>
      <c r="N51" s="76">
        <v>0</v>
      </c>
      <c r="O51" s="76">
        <v>1</v>
      </c>
      <c r="P51" s="10">
        <v>44310</v>
      </c>
      <c r="Q51" s="10">
        <v>44319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1</v>
      </c>
      <c r="Z51" s="10">
        <v>1</v>
      </c>
      <c r="AA51" s="10">
        <v>0</v>
      </c>
      <c r="AB51" s="10">
        <v>0</v>
      </c>
      <c r="AC51" s="10">
        <v>0</v>
      </c>
      <c r="AD51" s="10">
        <v>0</v>
      </c>
      <c r="AE51" s="10" t="str">
        <v>无</v>
      </c>
      <c r="AF51" s="10" t="str">
        <v>无</v>
      </c>
      <c r="AG51" s="10" t="str">
        <v>无</v>
      </c>
      <c r="AH51" s="10" t="str">
        <v>无</v>
      </c>
      <c r="AI51" s="10" t="str">
        <v>无</v>
      </c>
      <c r="AJ51" s="10" t="str">
        <v>无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571.90000000000009</v>
      </c>
      <c r="AX51" s="10">
        <v>812.70000000000016</v>
      </c>
      <c r="AY51" s="10">
        <v>0</v>
      </c>
      <c r="AZ51" s="10">
        <v>0</v>
      </c>
      <c r="BA51" s="10">
        <v>0</v>
      </c>
      <c r="BB51" s="10">
        <v>0</v>
      </c>
      <c r="BC51" s="10">
        <v>478</v>
      </c>
      <c r="BD51" s="10">
        <v>725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8.5</v>
      </c>
      <c r="CT51" s="10">
        <v>3.5</v>
      </c>
      <c r="CU51" s="10">
        <v>0</v>
      </c>
      <c r="CV51" s="10">
        <v>0</v>
      </c>
      <c r="CW51" s="10">
        <v>0</v>
      </c>
      <c r="CX51" s="10">
        <v>0</v>
      </c>
      <c r="CY51" s="10">
        <v>3</v>
      </c>
      <c r="CZ51" s="10">
        <v>2</v>
      </c>
      <c r="DA51" s="10" t="str">
        <v/>
      </c>
      <c r="DB51" s="10" t="str">
        <v/>
      </c>
      <c r="DC51" s="10" t="str">
        <v/>
      </c>
      <c r="DD51" s="10" t="str">
        <v/>
      </c>
      <c r="DE51" s="10">
        <v>120</v>
      </c>
      <c r="DF51" s="10">
        <v>35</v>
      </c>
      <c r="DG51" s="10">
        <v>0</v>
      </c>
      <c r="DH51" s="10">
        <v>0</v>
      </c>
      <c r="DI51" s="10">
        <v>0</v>
      </c>
      <c r="DJ51" s="10">
        <v>0</v>
      </c>
      <c r="DK51" s="10" t="str">
        <v>冰冻值</v>
      </c>
      <c r="DL51" s="10">
        <v>0</v>
      </c>
    </row>
    <row r="52" spans="1:116" ht="21" customHeight="1" x14ac:dyDescent="0.3">
      <c r="A52" s="71" t="str">
        <v>奇袭魔砾</v>
      </c>
      <c r="B52" s="82">
        <v>536</v>
      </c>
      <c r="C52" s="82" t="str">
        <v>魔</v>
      </c>
      <c r="D52" s="71" t="str">
        <v>否</v>
      </c>
      <c r="E52" s="75">
        <v>3</v>
      </c>
      <c r="F52" s="75">
        <v>3</v>
      </c>
      <c r="G52" s="77" t="str">
        <v>8</v>
      </c>
      <c r="H52" s="100" t="str">
        <v>无</v>
      </c>
      <c r="I52" s="75">
        <v>13</v>
      </c>
      <c r="J52" s="76">
        <v>0</v>
      </c>
      <c r="K52" s="76">
        <v>536</v>
      </c>
      <c r="L52" s="76">
        <v>0</v>
      </c>
      <c r="M52" s="76">
        <v>0</v>
      </c>
      <c r="N52" s="76">
        <v>0</v>
      </c>
      <c r="O52" s="76">
        <v>1</v>
      </c>
      <c r="P52" s="10">
        <v>46000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1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 t="str">
        <v>无</v>
      </c>
      <c r="AF52" s="10" t="str">
        <v>无</v>
      </c>
      <c r="AG52" s="10" t="str">
        <v>无</v>
      </c>
      <c r="AH52" s="10" t="str">
        <v>无</v>
      </c>
      <c r="AI52" s="10" t="str">
        <v>无</v>
      </c>
      <c r="AJ52" s="10" t="str">
        <v>无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627.80000000000007</v>
      </c>
      <c r="AX52" s="10">
        <v>0</v>
      </c>
      <c r="AY52" s="10">
        <v>0</v>
      </c>
      <c r="AZ52" s="10">
        <v>0</v>
      </c>
      <c r="BA52" s="10">
        <v>0</v>
      </c>
      <c r="BB52" s="10">
        <v>0</v>
      </c>
      <c r="BC52" s="10">
        <v>536</v>
      </c>
      <c r="BD52" s="10">
        <v>0</v>
      </c>
      <c r="BE52" s="10">
        <v>0</v>
      </c>
      <c r="BF52" s="10">
        <v>0</v>
      </c>
      <c r="BG52" s="10">
        <v>0</v>
      </c>
      <c r="BH52" s="10">
        <v>0</v>
      </c>
      <c r="BI52" s="10">
        <v>0</v>
      </c>
      <c r="BJ52" s="10">
        <v>0</v>
      </c>
      <c r="BK52" s="10">
        <v>0</v>
      </c>
      <c r="BL52" s="10">
        <v>0</v>
      </c>
      <c r="BM52" s="10">
        <v>0</v>
      </c>
      <c r="BN52" s="10">
        <v>0</v>
      </c>
      <c r="BO52" s="10">
        <v>0</v>
      </c>
      <c r="BP52" s="10">
        <v>0</v>
      </c>
      <c r="BQ52" s="10">
        <v>0</v>
      </c>
      <c r="BR52" s="10">
        <v>0</v>
      </c>
      <c r="BS52" s="10">
        <v>0</v>
      </c>
      <c r="BT52" s="10">
        <v>0</v>
      </c>
      <c r="BU52" s="10">
        <v>0</v>
      </c>
      <c r="BV52" s="10">
        <v>0</v>
      </c>
      <c r="BW52" s="10">
        <v>0</v>
      </c>
      <c r="BX52" s="10">
        <v>0</v>
      </c>
      <c r="BY52" s="10">
        <v>0</v>
      </c>
      <c r="BZ52" s="10">
        <v>0</v>
      </c>
      <c r="CA52" s="10">
        <v>0</v>
      </c>
      <c r="CB52" s="10">
        <v>0</v>
      </c>
      <c r="CC52" s="10">
        <v>0</v>
      </c>
      <c r="CD52" s="10">
        <v>0</v>
      </c>
      <c r="CE52" s="10">
        <v>0</v>
      </c>
      <c r="CF52" s="10">
        <v>0</v>
      </c>
      <c r="CG52" s="10">
        <v>0</v>
      </c>
      <c r="CH52" s="10">
        <v>0</v>
      </c>
      <c r="CI52" s="10">
        <v>0</v>
      </c>
      <c r="CJ52" s="10">
        <v>0</v>
      </c>
      <c r="CK52" s="10">
        <v>0</v>
      </c>
      <c r="CL52" s="10">
        <v>0</v>
      </c>
      <c r="CM52" s="10">
        <v>0</v>
      </c>
      <c r="CN52" s="10">
        <v>0</v>
      </c>
      <c r="CO52" s="10">
        <v>0</v>
      </c>
      <c r="CP52" s="10">
        <v>0</v>
      </c>
      <c r="CQ52" s="10">
        <v>0</v>
      </c>
      <c r="CR52" s="10">
        <v>0</v>
      </c>
      <c r="CS52" s="10">
        <v>3</v>
      </c>
      <c r="CT52" s="10">
        <v>0</v>
      </c>
      <c r="CU52" s="10">
        <v>0</v>
      </c>
      <c r="CV52" s="10">
        <v>0</v>
      </c>
      <c r="CW52" s="10">
        <v>0</v>
      </c>
      <c r="CX52" s="10">
        <v>0</v>
      </c>
      <c r="CY52" s="10">
        <v>8</v>
      </c>
      <c r="CZ52" s="10" t="str">
        <v/>
      </c>
      <c r="DA52" s="10" t="str">
        <v/>
      </c>
      <c r="DB52" s="10" t="str">
        <v/>
      </c>
      <c r="DC52" s="10" t="str">
        <v/>
      </c>
      <c r="DD52" s="10" t="str">
        <v/>
      </c>
      <c r="DE52" s="10">
        <v>0</v>
      </c>
      <c r="DF52" s="10">
        <v>0</v>
      </c>
      <c r="DG52" s="10">
        <v>0</v>
      </c>
      <c r="DH52" s="10">
        <v>0</v>
      </c>
      <c r="DI52" s="10">
        <v>0</v>
      </c>
      <c r="DJ52" s="10">
        <v>0</v>
      </c>
      <c r="DK52" s="10" t="str">
        <v/>
      </c>
      <c r="DL52" s="10">
        <v>0</v>
      </c>
    </row>
    <row r="53" spans="1:116" ht="21" customHeight="1" x14ac:dyDescent="0.3">
      <c r="A53" s="71" t="str">
        <v>黑夜魔砾</v>
      </c>
      <c r="B53" s="82">
        <v>381</v>
      </c>
      <c r="C53" s="82" t="str">
        <v>魔</v>
      </c>
      <c r="D53" s="71" t="str">
        <v>否</v>
      </c>
      <c r="E53" s="75">
        <v>2</v>
      </c>
      <c r="F53" s="75">
        <v>2</v>
      </c>
      <c r="G53" s="77" t="str">
        <v>8</v>
      </c>
      <c r="H53" s="100" t="str">
        <v>无</v>
      </c>
      <c r="I53" s="75">
        <v>7</v>
      </c>
      <c r="J53" s="76">
        <v>0</v>
      </c>
      <c r="K53" s="76">
        <v>381</v>
      </c>
      <c r="L53" s="76">
        <v>0</v>
      </c>
      <c r="M53" s="76">
        <v>0</v>
      </c>
      <c r="N53" s="76">
        <v>0</v>
      </c>
      <c r="O53" s="76">
        <v>1</v>
      </c>
      <c r="P53" s="10">
        <v>46100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1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 t="str">
        <v>无</v>
      </c>
      <c r="AF53" s="10" t="str">
        <v>无</v>
      </c>
      <c r="AG53" s="10" t="str">
        <v>无</v>
      </c>
      <c r="AH53" s="10" t="str">
        <v>无</v>
      </c>
      <c r="AI53" s="10" t="str">
        <v>无</v>
      </c>
      <c r="AJ53" s="10" t="str">
        <v>无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477.30000000000007</v>
      </c>
      <c r="AX53" s="10">
        <v>0</v>
      </c>
      <c r="AY53" s="10">
        <v>0</v>
      </c>
      <c r="AZ53" s="10">
        <v>0</v>
      </c>
      <c r="BA53" s="10">
        <v>0</v>
      </c>
      <c r="BB53" s="10">
        <v>0</v>
      </c>
      <c r="BC53" s="10">
        <v>381</v>
      </c>
      <c r="BD53" s="10">
        <v>0</v>
      </c>
      <c r="BE53" s="10">
        <v>0</v>
      </c>
      <c r="BF53" s="10">
        <v>0</v>
      </c>
      <c r="BG53" s="10">
        <v>0</v>
      </c>
      <c r="BH53" s="10">
        <v>0</v>
      </c>
      <c r="BI53" s="10">
        <v>0</v>
      </c>
      <c r="BJ53" s="10">
        <v>0</v>
      </c>
      <c r="BK53" s="10">
        <v>0</v>
      </c>
      <c r="BL53" s="10">
        <v>0</v>
      </c>
      <c r="BM53" s="10">
        <v>0</v>
      </c>
      <c r="BN53" s="10">
        <v>0</v>
      </c>
      <c r="BO53" s="10">
        <v>0</v>
      </c>
      <c r="BP53" s="10">
        <v>0</v>
      </c>
      <c r="BQ53" s="10">
        <v>0</v>
      </c>
      <c r="BR53" s="10">
        <v>0</v>
      </c>
      <c r="BS53" s="10">
        <v>0</v>
      </c>
      <c r="BT53" s="10">
        <v>0</v>
      </c>
      <c r="BU53" s="10">
        <v>0</v>
      </c>
      <c r="BV53" s="10">
        <v>0</v>
      </c>
      <c r="BW53" s="10">
        <v>0</v>
      </c>
      <c r="BX53" s="10">
        <v>0</v>
      </c>
      <c r="BY53" s="10">
        <v>0</v>
      </c>
      <c r="BZ53" s="10">
        <v>0</v>
      </c>
      <c r="CA53" s="10">
        <v>0</v>
      </c>
      <c r="CB53" s="10">
        <v>0</v>
      </c>
      <c r="CC53" s="10">
        <v>0</v>
      </c>
      <c r="CD53" s="10">
        <v>0</v>
      </c>
      <c r="CE53" s="10">
        <v>0</v>
      </c>
      <c r="CF53" s="10">
        <v>0</v>
      </c>
      <c r="CG53" s="10">
        <v>0</v>
      </c>
      <c r="CH53" s="10">
        <v>0</v>
      </c>
      <c r="CI53" s="10">
        <v>0</v>
      </c>
      <c r="CJ53" s="10">
        <v>0</v>
      </c>
      <c r="CK53" s="10">
        <v>0</v>
      </c>
      <c r="CL53" s="10">
        <v>0</v>
      </c>
      <c r="CM53" s="10">
        <v>0</v>
      </c>
      <c r="CN53" s="10">
        <v>0</v>
      </c>
      <c r="CO53" s="10">
        <v>0</v>
      </c>
      <c r="CP53" s="10">
        <v>0</v>
      </c>
      <c r="CQ53" s="10">
        <v>0</v>
      </c>
      <c r="CR53" s="10">
        <v>0</v>
      </c>
      <c r="CS53" s="10">
        <v>2</v>
      </c>
      <c r="CT53" s="10">
        <v>0</v>
      </c>
      <c r="CU53" s="10">
        <v>0</v>
      </c>
      <c r="CV53" s="10">
        <v>0</v>
      </c>
      <c r="CW53" s="10">
        <v>0</v>
      </c>
      <c r="CX53" s="10">
        <v>0</v>
      </c>
      <c r="CY53" s="10">
        <v>8</v>
      </c>
      <c r="CZ53" s="10" t="str">
        <v/>
      </c>
      <c r="DA53" s="10" t="str">
        <v/>
      </c>
      <c r="DB53" s="10" t="str">
        <v/>
      </c>
      <c r="DC53" s="10" t="str">
        <v/>
      </c>
      <c r="DD53" s="10" t="str">
        <v/>
      </c>
      <c r="DE53" s="10">
        <v>0</v>
      </c>
      <c r="DF53" s="10">
        <v>0</v>
      </c>
      <c r="DG53" s="10">
        <v>0</v>
      </c>
      <c r="DH53" s="10">
        <v>0</v>
      </c>
      <c r="DI53" s="10">
        <v>0</v>
      </c>
      <c r="DJ53" s="10">
        <v>0</v>
      </c>
      <c r="DK53" s="10" t="str">
        <v/>
      </c>
      <c r="DL53" s="10">
        <v>0</v>
      </c>
    </row>
    <row r="54" spans="1:116" ht="21" customHeight="1" x14ac:dyDescent="0.3">
      <c r="A54" s="71" t="str">
        <v>黑夜彗星</v>
      </c>
      <c r="B54" s="82">
        <v>1068</v>
      </c>
      <c r="C54" s="82" t="str">
        <v>魔</v>
      </c>
      <c r="D54" s="71" t="str">
        <v>是</v>
      </c>
      <c r="E54" s="75">
        <v>10.18</v>
      </c>
      <c r="F54" s="75">
        <v>10.18</v>
      </c>
      <c r="G54" s="77" t="str">
        <v>1</v>
      </c>
      <c r="H54" s="100" t="str">
        <v>无</v>
      </c>
      <c r="I54" s="75">
        <v>21</v>
      </c>
      <c r="J54" s="76">
        <v>0</v>
      </c>
      <c r="K54" s="76">
        <v>1068</v>
      </c>
      <c r="L54" s="76">
        <v>0</v>
      </c>
      <c r="M54" s="76">
        <v>0</v>
      </c>
      <c r="N54" s="76">
        <v>0</v>
      </c>
      <c r="O54" s="76">
        <v>1</v>
      </c>
      <c r="P54" s="10">
        <v>46201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1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 t="str">
        <v>无</v>
      </c>
      <c r="AF54" s="10" t="str">
        <v>无</v>
      </c>
      <c r="AG54" s="10" t="str">
        <v>无</v>
      </c>
      <c r="AH54" s="10" t="str">
        <v>无</v>
      </c>
      <c r="AI54" s="10" t="str">
        <v>无</v>
      </c>
      <c r="AJ54" s="10" t="str">
        <v>无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1186.8000000000002</v>
      </c>
      <c r="AX54" s="10">
        <v>0</v>
      </c>
      <c r="AY54" s="10">
        <v>0</v>
      </c>
      <c r="AZ54" s="10">
        <v>0</v>
      </c>
      <c r="BA54" s="10">
        <v>0</v>
      </c>
      <c r="BB54" s="10">
        <v>0</v>
      </c>
      <c r="BC54" s="10">
        <v>1068</v>
      </c>
      <c r="BD54" s="10">
        <v>0</v>
      </c>
      <c r="BE54" s="10">
        <v>0</v>
      </c>
      <c r="BF54" s="10">
        <v>0</v>
      </c>
      <c r="BG54" s="10">
        <v>0</v>
      </c>
      <c r="BH54" s="10">
        <v>0</v>
      </c>
      <c r="BI54" s="10">
        <v>0</v>
      </c>
      <c r="BJ54" s="10">
        <v>0</v>
      </c>
      <c r="BK54" s="10">
        <v>0</v>
      </c>
      <c r="BL54" s="10">
        <v>0</v>
      </c>
      <c r="BM54" s="10">
        <v>0</v>
      </c>
      <c r="BN54" s="10">
        <v>0</v>
      </c>
      <c r="BO54" s="10">
        <v>0</v>
      </c>
      <c r="BP54" s="10">
        <v>0</v>
      </c>
      <c r="BQ54" s="10">
        <v>0</v>
      </c>
      <c r="BR54" s="10">
        <v>0</v>
      </c>
      <c r="BS54" s="10">
        <v>0</v>
      </c>
      <c r="BT54" s="10">
        <v>0</v>
      </c>
      <c r="BU54" s="10">
        <v>0</v>
      </c>
      <c r="BV54" s="10">
        <v>0</v>
      </c>
      <c r="BW54" s="10">
        <v>0</v>
      </c>
      <c r="BX54" s="10">
        <v>0</v>
      </c>
      <c r="BY54" s="10">
        <v>0</v>
      </c>
      <c r="BZ54" s="10">
        <v>0</v>
      </c>
      <c r="CA54" s="10">
        <v>0</v>
      </c>
      <c r="CB54" s="10">
        <v>0</v>
      </c>
      <c r="CC54" s="10">
        <v>0</v>
      </c>
      <c r="CD54" s="10">
        <v>0</v>
      </c>
      <c r="CE54" s="10">
        <v>0</v>
      </c>
      <c r="CF54" s="10">
        <v>0</v>
      </c>
      <c r="CG54" s="10">
        <v>0</v>
      </c>
      <c r="CH54" s="10">
        <v>0</v>
      </c>
      <c r="CI54" s="10">
        <v>0</v>
      </c>
      <c r="CJ54" s="10">
        <v>0</v>
      </c>
      <c r="CK54" s="10">
        <v>0</v>
      </c>
      <c r="CL54" s="10">
        <v>0</v>
      </c>
      <c r="CM54" s="10">
        <v>0</v>
      </c>
      <c r="CN54" s="10">
        <v>0</v>
      </c>
      <c r="CO54" s="10">
        <v>0</v>
      </c>
      <c r="CP54" s="10">
        <v>0</v>
      </c>
      <c r="CQ54" s="10">
        <v>0</v>
      </c>
      <c r="CR54" s="10">
        <v>0</v>
      </c>
      <c r="CS54" s="10">
        <v>10.175000000000001</v>
      </c>
      <c r="CT54" s="10">
        <v>0</v>
      </c>
      <c r="CU54" s="10">
        <v>0</v>
      </c>
      <c r="CV54" s="10">
        <v>0</v>
      </c>
      <c r="CW54" s="10">
        <v>0</v>
      </c>
      <c r="CX54" s="10">
        <v>0</v>
      </c>
      <c r="CY54" s="10">
        <v>1</v>
      </c>
      <c r="CZ54" s="10" t="str">
        <v/>
      </c>
      <c r="DA54" s="10" t="str">
        <v/>
      </c>
      <c r="DB54" s="10" t="str">
        <v/>
      </c>
      <c r="DC54" s="10" t="str">
        <v/>
      </c>
      <c r="DD54" s="10" t="str">
        <v/>
      </c>
      <c r="DE54" s="10">
        <v>0</v>
      </c>
      <c r="DF54" s="10">
        <v>0</v>
      </c>
      <c r="DG54" s="10">
        <v>0</v>
      </c>
      <c r="DH54" s="10">
        <v>0</v>
      </c>
      <c r="DI54" s="10">
        <v>0</v>
      </c>
      <c r="DJ54" s="10">
        <v>0</v>
      </c>
      <c r="DK54" s="10" t="str">
        <v/>
      </c>
      <c r="DL54" s="10">
        <v>0</v>
      </c>
    </row>
    <row r="55" spans="1:116" ht="21" customHeight="1" x14ac:dyDescent="0.3">
      <c r="A55" s="71" t="str">
        <v>熔岩球</v>
      </c>
      <c r="B55" s="82">
        <v>1567</v>
      </c>
      <c r="C55" s="82" t="str">
        <v>火</v>
      </c>
      <c r="D55" s="71" t="str">
        <v>是</v>
      </c>
      <c r="E55" s="75">
        <v>9.25</v>
      </c>
      <c r="F55" s="75">
        <v>9.25</v>
      </c>
      <c r="G55" s="77" t="str">
        <v>3+0</v>
      </c>
      <c r="H55" s="100" t="str">
        <v>无</v>
      </c>
      <c r="I55" s="75">
        <v>16</v>
      </c>
      <c r="J55" s="76">
        <v>0</v>
      </c>
      <c r="K55" s="76">
        <v>0</v>
      </c>
      <c r="L55" s="76">
        <v>1567</v>
      </c>
      <c r="M55" s="76">
        <v>0</v>
      </c>
      <c r="N55" s="76">
        <v>0</v>
      </c>
      <c r="O55" s="76">
        <v>1</v>
      </c>
      <c r="P55" s="10">
        <v>48005</v>
      </c>
      <c r="Q55" s="10">
        <v>48007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1</v>
      </c>
      <c r="Z55" s="10">
        <v>4</v>
      </c>
      <c r="AA55" s="10">
        <v>0</v>
      </c>
      <c r="AB55" s="10">
        <v>0</v>
      </c>
      <c r="AC55" s="10">
        <v>0</v>
      </c>
      <c r="AD55" s="10">
        <v>0</v>
      </c>
      <c r="AE55" s="10" t="str">
        <v>无</v>
      </c>
      <c r="AF55" s="10" t="str">
        <v>无</v>
      </c>
      <c r="AG55" s="10" t="str">
        <v>无</v>
      </c>
      <c r="AH55" s="10" t="str">
        <v>无</v>
      </c>
      <c r="AI55" s="10" t="str">
        <v>无</v>
      </c>
      <c r="AJ55" s="10" t="str">
        <v>无</v>
      </c>
      <c r="AK55" s="10">
        <v>0</v>
      </c>
      <c r="AL55" s="10">
        <v>0</v>
      </c>
      <c r="AM55" s="10">
        <v>0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0</v>
      </c>
      <c r="BB55" s="10">
        <v>0</v>
      </c>
      <c r="BC55" s="10">
        <v>0</v>
      </c>
      <c r="BD55" s="10">
        <v>0</v>
      </c>
      <c r="BE55" s="10">
        <v>0</v>
      </c>
      <c r="BF55" s="10">
        <v>0</v>
      </c>
      <c r="BG55" s="10">
        <v>0</v>
      </c>
      <c r="BH55" s="10">
        <v>0</v>
      </c>
      <c r="BI55" s="10">
        <v>1075.0000000000002</v>
      </c>
      <c r="BJ55" s="10">
        <v>227.90000000000003</v>
      </c>
      <c r="BK55" s="10">
        <v>0</v>
      </c>
      <c r="BL55" s="10">
        <v>0</v>
      </c>
      <c r="BM55" s="10">
        <v>0</v>
      </c>
      <c r="BN55" s="10">
        <v>0</v>
      </c>
      <c r="BO55" s="10">
        <v>967</v>
      </c>
      <c r="BP55" s="10">
        <v>600</v>
      </c>
      <c r="BQ55" s="10">
        <v>0</v>
      </c>
      <c r="BR55" s="10">
        <v>0</v>
      </c>
      <c r="BS55" s="10">
        <v>0</v>
      </c>
      <c r="BT55" s="10">
        <v>0</v>
      </c>
      <c r="BU55" s="10">
        <v>0</v>
      </c>
      <c r="BV55" s="10">
        <v>0</v>
      </c>
      <c r="BW55" s="10">
        <v>0</v>
      </c>
      <c r="BX55" s="10">
        <v>0</v>
      </c>
      <c r="BY55" s="10">
        <v>0</v>
      </c>
      <c r="BZ55" s="10">
        <v>0</v>
      </c>
      <c r="CA55" s="10">
        <v>0</v>
      </c>
      <c r="CB55" s="10">
        <v>0</v>
      </c>
      <c r="CC55" s="10">
        <v>0</v>
      </c>
      <c r="CD55" s="10">
        <v>0</v>
      </c>
      <c r="CE55" s="10">
        <v>0</v>
      </c>
      <c r="CF55" s="10">
        <v>0</v>
      </c>
      <c r="CG55" s="10">
        <v>0</v>
      </c>
      <c r="CH55" s="10">
        <v>0</v>
      </c>
      <c r="CI55" s="10">
        <v>0</v>
      </c>
      <c r="CJ55" s="10">
        <v>0</v>
      </c>
      <c r="CK55" s="10">
        <v>0</v>
      </c>
      <c r="CL55" s="10">
        <v>0</v>
      </c>
      <c r="CM55" s="10">
        <v>0</v>
      </c>
      <c r="CN55" s="10">
        <v>0</v>
      </c>
      <c r="CO55" s="10">
        <v>0</v>
      </c>
      <c r="CP55" s="10">
        <v>0</v>
      </c>
      <c r="CQ55" s="10">
        <v>0</v>
      </c>
      <c r="CR55" s="10">
        <v>0</v>
      </c>
      <c r="CS55" s="10">
        <v>9.25</v>
      </c>
      <c r="CT55" s="10">
        <v>0</v>
      </c>
      <c r="CU55" s="10">
        <v>0</v>
      </c>
      <c r="CV55" s="10">
        <v>0</v>
      </c>
      <c r="CW55" s="10">
        <v>0</v>
      </c>
      <c r="CX55" s="10">
        <v>0</v>
      </c>
      <c r="CY55" s="10">
        <v>3</v>
      </c>
      <c r="CZ55" s="10">
        <v>0</v>
      </c>
      <c r="DA55" s="10" t="str">
        <v/>
      </c>
      <c r="DB55" s="10" t="str">
        <v/>
      </c>
      <c r="DC55" s="10" t="str">
        <v/>
      </c>
      <c r="DD55" s="10" t="str">
        <v/>
      </c>
      <c r="DE55" s="10">
        <v>0</v>
      </c>
      <c r="DF55" s="10">
        <v>0</v>
      </c>
      <c r="DG55" s="10">
        <v>0</v>
      </c>
      <c r="DH55" s="10">
        <v>0</v>
      </c>
      <c r="DI55" s="10">
        <v>0</v>
      </c>
      <c r="DJ55" s="10">
        <v>0</v>
      </c>
      <c r="DK55" s="10" t="str">
        <v/>
      </c>
      <c r="DL55" s="10">
        <v>0</v>
      </c>
    </row>
    <row r="56" spans="1:116" ht="21" customHeight="1" x14ac:dyDescent="0.3">
      <c r="A56" s="71" t="str">
        <v>格密尔之怒</v>
      </c>
      <c r="B56" s="82">
        <v>4134</v>
      </c>
      <c r="C56" s="82" t="str">
        <v>火</v>
      </c>
      <c r="D56" s="71" t="str">
        <v>是</v>
      </c>
      <c r="E56" s="75">
        <v>29.1</v>
      </c>
      <c r="F56" s="75">
        <v>29.1</v>
      </c>
      <c r="G56" s="77" t="str">
        <v>1+2</v>
      </c>
      <c r="H56" s="100" t="str">
        <v>无</v>
      </c>
      <c r="I56" s="75">
        <v>31</v>
      </c>
      <c r="J56" s="76">
        <v>0</v>
      </c>
      <c r="K56" s="76">
        <v>0</v>
      </c>
      <c r="L56" s="76">
        <v>4134</v>
      </c>
      <c r="M56" s="76">
        <v>0</v>
      </c>
      <c r="N56" s="76">
        <v>0</v>
      </c>
      <c r="O56" s="76">
        <v>1</v>
      </c>
      <c r="P56" s="10">
        <v>48108</v>
      </c>
      <c r="Q56" s="10">
        <v>48100</v>
      </c>
      <c r="R56" s="10">
        <v>0</v>
      </c>
      <c r="S56" s="10">
        <v>0</v>
      </c>
      <c r="T56" s="10">
        <v>0</v>
      </c>
      <c r="U56" s="10">
        <v>0</v>
      </c>
      <c r="V56" s="10">
        <v>48100</v>
      </c>
      <c r="W56" s="10">
        <v>0</v>
      </c>
      <c r="X56" s="10">
        <v>0</v>
      </c>
      <c r="Y56" s="10">
        <v>1</v>
      </c>
      <c r="Z56" s="10">
        <v>8</v>
      </c>
      <c r="AA56" s="10">
        <v>0</v>
      </c>
      <c r="AB56" s="10">
        <v>0</v>
      </c>
      <c r="AC56" s="10">
        <v>0</v>
      </c>
      <c r="AD56" s="10">
        <v>0</v>
      </c>
      <c r="AE56" s="10" t="str">
        <v>无</v>
      </c>
      <c r="AF56" s="10" t="str">
        <v>无</v>
      </c>
      <c r="AG56" s="10" t="str">
        <v>无</v>
      </c>
      <c r="AH56" s="10" t="str">
        <v>无</v>
      </c>
      <c r="AI56" s="10" t="str">
        <v>无</v>
      </c>
      <c r="AJ56" s="10" t="str">
        <v>无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0</v>
      </c>
      <c r="BB56" s="10">
        <v>0</v>
      </c>
      <c r="BC56" s="10">
        <v>0</v>
      </c>
      <c r="BD56" s="10">
        <v>0</v>
      </c>
      <c r="BE56" s="10">
        <v>0</v>
      </c>
      <c r="BF56" s="10">
        <v>0</v>
      </c>
      <c r="BG56" s="10">
        <v>0</v>
      </c>
      <c r="BH56" s="10">
        <v>0</v>
      </c>
      <c r="BI56" s="10">
        <v>688.00000000000011</v>
      </c>
      <c r="BJ56" s="10">
        <v>537.50000000000011</v>
      </c>
      <c r="BK56" s="10">
        <v>0</v>
      </c>
      <c r="BL56" s="10">
        <v>0</v>
      </c>
      <c r="BM56" s="10">
        <v>0</v>
      </c>
      <c r="BN56" s="10">
        <v>0</v>
      </c>
      <c r="BO56" s="10">
        <v>598</v>
      </c>
      <c r="BP56" s="10">
        <v>3536</v>
      </c>
      <c r="BQ56" s="10">
        <v>0</v>
      </c>
      <c r="BR56" s="10">
        <v>0</v>
      </c>
      <c r="BS56" s="10">
        <v>0</v>
      </c>
      <c r="BT56" s="10">
        <v>0</v>
      </c>
      <c r="BU56" s="10">
        <v>0</v>
      </c>
      <c r="BV56" s="10">
        <v>0</v>
      </c>
      <c r="BW56" s="10">
        <v>0</v>
      </c>
      <c r="BX56" s="10">
        <v>0</v>
      </c>
      <c r="BY56" s="10">
        <v>0</v>
      </c>
      <c r="BZ56" s="10">
        <v>0</v>
      </c>
      <c r="CA56" s="10">
        <v>0</v>
      </c>
      <c r="CB56" s="10">
        <v>0</v>
      </c>
      <c r="CC56" s="10">
        <v>0</v>
      </c>
      <c r="CD56" s="10">
        <v>0</v>
      </c>
      <c r="CE56" s="10">
        <v>0</v>
      </c>
      <c r="CF56" s="10">
        <v>0</v>
      </c>
      <c r="CG56" s="10">
        <v>0</v>
      </c>
      <c r="CH56" s="10">
        <v>0</v>
      </c>
      <c r="CI56" s="10">
        <v>0</v>
      </c>
      <c r="CJ56" s="10">
        <v>0</v>
      </c>
      <c r="CK56" s="10">
        <v>0</v>
      </c>
      <c r="CL56" s="10">
        <v>0</v>
      </c>
      <c r="CM56" s="10">
        <v>0</v>
      </c>
      <c r="CN56" s="10">
        <v>0</v>
      </c>
      <c r="CO56" s="10">
        <v>0</v>
      </c>
      <c r="CP56" s="10">
        <v>0</v>
      </c>
      <c r="CQ56" s="10">
        <v>0</v>
      </c>
      <c r="CR56" s="10">
        <v>0</v>
      </c>
      <c r="CS56" s="10">
        <v>5.0999999999999996</v>
      </c>
      <c r="CT56" s="10">
        <v>3</v>
      </c>
      <c r="CU56" s="10">
        <v>0</v>
      </c>
      <c r="CV56" s="10">
        <v>0</v>
      </c>
      <c r="CW56" s="10">
        <v>0</v>
      </c>
      <c r="CX56" s="10">
        <v>0</v>
      </c>
      <c r="CY56" s="10">
        <v>1</v>
      </c>
      <c r="CZ56" s="10">
        <v>2</v>
      </c>
      <c r="DA56" s="10" t="str">
        <v/>
      </c>
      <c r="DB56" s="10" t="str">
        <v/>
      </c>
      <c r="DC56" s="10" t="str">
        <v/>
      </c>
      <c r="DD56" s="10" t="str">
        <v/>
      </c>
      <c r="DE56" s="10">
        <v>0</v>
      </c>
      <c r="DF56" s="10">
        <v>0</v>
      </c>
      <c r="DG56" s="10">
        <v>0</v>
      </c>
      <c r="DH56" s="10">
        <v>0</v>
      </c>
      <c r="DI56" s="10">
        <v>0</v>
      </c>
      <c r="DJ56" s="10">
        <v>0</v>
      </c>
      <c r="DK56" s="10" t="str">
        <v/>
      </c>
      <c r="DL56" s="10">
        <v>0</v>
      </c>
    </row>
    <row r="57" spans="1:116" ht="21" customHeight="1" x14ac:dyDescent="0.3">
      <c r="A57" s="71" t="str">
        <v>滚烫熔岩（直击）</v>
      </c>
      <c r="B57" s="82">
        <v>1257</v>
      </c>
      <c r="C57" s="82" t="str">
        <v>火</v>
      </c>
      <c r="D57" s="71" t="str">
        <v>是</v>
      </c>
      <c r="E57" s="75">
        <v>9.25</v>
      </c>
      <c r="F57" s="75">
        <v>9.25</v>
      </c>
      <c r="G57" s="77" t="str">
        <v>1</v>
      </c>
      <c r="H57" s="100" t="str">
        <v>无</v>
      </c>
      <c r="I57" s="75">
        <v>28</v>
      </c>
      <c r="J57" s="76">
        <v>0</v>
      </c>
      <c r="K57" s="76">
        <v>0</v>
      </c>
      <c r="L57" s="76">
        <v>1257</v>
      </c>
      <c r="M57" s="76">
        <v>0</v>
      </c>
      <c r="N57" s="76">
        <v>0</v>
      </c>
      <c r="O57" s="76">
        <v>1</v>
      </c>
      <c r="P57" s="10">
        <v>48210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1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 t="str">
        <v>无</v>
      </c>
      <c r="AF57" s="10" t="str">
        <v>无</v>
      </c>
      <c r="AG57" s="10" t="str">
        <v>无</v>
      </c>
      <c r="AH57" s="10" t="str">
        <v>无</v>
      </c>
      <c r="AI57" s="10" t="str">
        <v>无</v>
      </c>
      <c r="AJ57" s="10" t="str">
        <v>无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>
        <v>0</v>
      </c>
      <c r="BB57" s="10">
        <v>0</v>
      </c>
      <c r="BC57" s="10">
        <v>0</v>
      </c>
      <c r="BD57" s="10">
        <v>0</v>
      </c>
      <c r="BE57" s="10">
        <v>0</v>
      </c>
      <c r="BF57" s="10">
        <v>0</v>
      </c>
      <c r="BG57" s="10">
        <v>0</v>
      </c>
      <c r="BH57" s="10">
        <v>0</v>
      </c>
      <c r="BI57" s="10">
        <v>1397.5000000000002</v>
      </c>
      <c r="BJ57" s="10">
        <v>0</v>
      </c>
      <c r="BK57" s="10">
        <v>0</v>
      </c>
      <c r="BL57" s="10">
        <v>0</v>
      </c>
      <c r="BM57" s="10">
        <v>0</v>
      </c>
      <c r="BN57" s="10">
        <v>0</v>
      </c>
      <c r="BO57" s="10">
        <v>1257</v>
      </c>
      <c r="BP57" s="10">
        <v>0</v>
      </c>
      <c r="BQ57" s="10">
        <v>0</v>
      </c>
      <c r="BR57" s="10">
        <v>0</v>
      </c>
      <c r="BS57" s="10">
        <v>0</v>
      </c>
      <c r="BT57" s="10">
        <v>0</v>
      </c>
      <c r="BU57" s="10">
        <v>0</v>
      </c>
      <c r="BV57" s="10">
        <v>0</v>
      </c>
      <c r="BW57" s="10">
        <v>0</v>
      </c>
      <c r="BX57" s="10">
        <v>0</v>
      </c>
      <c r="BY57" s="10">
        <v>0</v>
      </c>
      <c r="BZ57" s="10">
        <v>0</v>
      </c>
      <c r="CA57" s="10">
        <v>0</v>
      </c>
      <c r="CB57" s="10">
        <v>0</v>
      </c>
      <c r="CC57" s="10">
        <v>0</v>
      </c>
      <c r="CD57" s="10">
        <v>0</v>
      </c>
      <c r="CE57" s="10">
        <v>0</v>
      </c>
      <c r="CF57" s="10">
        <v>0</v>
      </c>
      <c r="CG57" s="10">
        <v>0</v>
      </c>
      <c r="CH57" s="10">
        <v>0</v>
      </c>
      <c r="CI57" s="10">
        <v>0</v>
      </c>
      <c r="CJ57" s="10">
        <v>0</v>
      </c>
      <c r="CK57" s="10">
        <v>0</v>
      </c>
      <c r="CL57" s="10">
        <v>0</v>
      </c>
      <c r="CM57" s="10">
        <v>0</v>
      </c>
      <c r="CN57" s="10">
        <v>0</v>
      </c>
      <c r="CO57" s="10">
        <v>0</v>
      </c>
      <c r="CP57" s="10">
        <v>0</v>
      </c>
      <c r="CQ57" s="10">
        <v>0</v>
      </c>
      <c r="CR57" s="10">
        <v>0</v>
      </c>
      <c r="CS57" s="10">
        <v>9.25</v>
      </c>
      <c r="CT57" s="10">
        <v>0</v>
      </c>
      <c r="CU57" s="10">
        <v>0</v>
      </c>
      <c r="CV57" s="10">
        <v>0</v>
      </c>
      <c r="CW57" s="10">
        <v>0</v>
      </c>
      <c r="CX57" s="10">
        <v>0</v>
      </c>
      <c r="CY57" s="10">
        <v>1</v>
      </c>
      <c r="CZ57" s="10" t="str">
        <v/>
      </c>
      <c r="DA57" s="10" t="str">
        <v/>
      </c>
      <c r="DB57" s="10" t="str">
        <v/>
      </c>
      <c r="DC57" s="10" t="str">
        <v/>
      </c>
      <c r="DD57" s="10" t="str">
        <v/>
      </c>
      <c r="DE57" s="10">
        <v>0</v>
      </c>
      <c r="DF57" s="10">
        <v>0</v>
      </c>
      <c r="DG57" s="10">
        <v>0</v>
      </c>
      <c r="DH57" s="10">
        <v>0</v>
      </c>
      <c r="DI57" s="10">
        <v>0</v>
      </c>
      <c r="DJ57" s="10">
        <v>0</v>
      </c>
      <c r="DK57" s="10" t="str">
        <v/>
      </c>
      <c r="DL57" s="10">
        <v>0</v>
      </c>
    </row>
    <row r="58" spans="1:116" ht="21" customHeight="1" x14ac:dyDescent="0.3">
      <c r="A58" s="71" t="str">
        <v>滚烫熔岩（爆炸）</v>
      </c>
      <c r="B58" s="82">
        <v>1554</v>
      </c>
      <c r="C58" s="82" t="str">
        <v>火</v>
      </c>
      <c r="D58" s="71" t="str">
        <v>否</v>
      </c>
      <c r="E58" s="75">
        <v>10.18</v>
      </c>
      <c r="F58" s="75">
        <v>10.18</v>
      </c>
      <c r="G58" s="77" t="str">
        <v>3+0</v>
      </c>
      <c r="H58" s="100" t="str">
        <v>无</v>
      </c>
      <c r="I58" s="75">
        <v>28</v>
      </c>
      <c r="J58" s="76">
        <v>0</v>
      </c>
      <c r="K58" s="76">
        <v>0</v>
      </c>
      <c r="L58" s="76">
        <v>1554</v>
      </c>
      <c r="M58" s="76">
        <v>0</v>
      </c>
      <c r="N58" s="76">
        <v>0</v>
      </c>
      <c r="O58" s="76">
        <v>1</v>
      </c>
      <c r="P58" s="10">
        <v>48204</v>
      </c>
      <c r="Q58" s="10">
        <v>48206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1</v>
      </c>
      <c r="Z58" s="10">
        <v>3</v>
      </c>
      <c r="AA58" s="10">
        <v>0</v>
      </c>
      <c r="AB58" s="10">
        <v>0</v>
      </c>
      <c r="AC58" s="10">
        <v>0</v>
      </c>
      <c r="AD58" s="10">
        <v>0</v>
      </c>
      <c r="AE58" s="10" t="str">
        <v>无</v>
      </c>
      <c r="AF58" s="10" t="str">
        <v>无</v>
      </c>
      <c r="AG58" s="10" t="str">
        <v>无</v>
      </c>
      <c r="AH58" s="10" t="str">
        <v>无</v>
      </c>
      <c r="AI58" s="10" t="str">
        <v>无</v>
      </c>
      <c r="AJ58" s="10" t="str">
        <v>无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0</v>
      </c>
      <c r="BB58" s="10">
        <v>0</v>
      </c>
      <c r="BC58" s="10">
        <v>0</v>
      </c>
      <c r="BD58" s="10">
        <v>0</v>
      </c>
      <c r="BE58" s="10">
        <v>0</v>
      </c>
      <c r="BF58" s="10">
        <v>0</v>
      </c>
      <c r="BG58" s="10">
        <v>0</v>
      </c>
      <c r="BH58" s="10">
        <v>0</v>
      </c>
      <c r="BI58" s="10">
        <v>1367.4000000000003</v>
      </c>
      <c r="BJ58" s="10">
        <v>184.90000000000003</v>
      </c>
      <c r="BK58" s="10">
        <v>0</v>
      </c>
      <c r="BL58" s="10">
        <v>0</v>
      </c>
      <c r="BM58" s="10">
        <v>0</v>
      </c>
      <c r="BN58" s="10">
        <v>0</v>
      </c>
      <c r="BO58" s="10">
        <v>1230</v>
      </c>
      <c r="BP58" s="10">
        <v>324</v>
      </c>
      <c r="BQ58" s="10">
        <v>0</v>
      </c>
      <c r="BR58" s="10">
        <v>0</v>
      </c>
      <c r="BS58" s="10">
        <v>0</v>
      </c>
      <c r="BT58" s="10">
        <v>0</v>
      </c>
      <c r="BU58" s="10">
        <v>0</v>
      </c>
      <c r="BV58" s="10">
        <v>0</v>
      </c>
      <c r="BW58" s="10">
        <v>0</v>
      </c>
      <c r="BX58" s="10">
        <v>0</v>
      </c>
      <c r="BY58" s="10">
        <v>0</v>
      </c>
      <c r="BZ58" s="10">
        <v>0</v>
      </c>
      <c r="CA58" s="10">
        <v>0</v>
      </c>
      <c r="CB58" s="10">
        <v>0</v>
      </c>
      <c r="CC58" s="10">
        <v>0</v>
      </c>
      <c r="CD58" s="10">
        <v>0</v>
      </c>
      <c r="CE58" s="10">
        <v>0</v>
      </c>
      <c r="CF58" s="10">
        <v>0</v>
      </c>
      <c r="CG58" s="10">
        <v>0</v>
      </c>
      <c r="CH58" s="10">
        <v>0</v>
      </c>
      <c r="CI58" s="10">
        <v>0</v>
      </c>
      <c r="CJ58" s="10">
        <v>0</v>
      </c>
      <c r="CK58" s="10">
        <v>0</v>
      </c>
      <c r="CL58" s="10">
        <v>0</v>
      </c>
      <c r="CM58" s="10">
        <v>0</v>
      </c>
      <c r="CN58" s="10">
        <v>0</v>
      </c>
      <c r="CO58" s="10">
        <v>0</v>
      </c>
      <c r="CP58" s="10">
        <v>0</v>
      </c>
      <c r="CQ58" s="10">
        <v>0</v>
      </c>
      <c r="CR58" s="10">
        <v>0</v>
      </c>
      <c r="CS58" s="10">
        <v>10.175000000000001</v>
      </c>
      <c r="CT58" s="10">
        <v>0</v>
      </c>
      <c r="CU58" s="10">
        <v>0</v>
      </c>
      <c r="CV58" s="10">
        <v>0</v>
      </c>
      <c r="CW58" s="10">
        <v>0</v>
      </c>
      <c r="CX58" s="10">
        <v>0</v>
      </c>
      <c r="CY58" s="10">
        <v>3</v>
      </c>
      <c r="CZ58" s="10">
        <v>0</v>
      </c>
      <c r="DA58" s="10" t="str">
        <v/>
      </c>
      <c r="DB58" s="10" t="str">
        <v/>
      </c>
      <c r="DC58" s="10" t="str">
        <v/>
      </c>
      <c r="DD58" s="10" t="str">
        <v/>
      </c>
      <c r="DE58" s="10">
        <v>0</v>
      </c>
      <c r="DF58" s="10">
        <v>0</v>
      </c>
      <c r="DG58" s="10">
        <v>0</v>
      </c>
      <c r="DH58" s="10">
        <v>0</v>
      </c>
      <c r="DI58" s="10">
        <v>0</v>
      </c>
      <c r="DJ58" s="10">
        <v>0</v>
      </c>
      <c r="DK58" s="10" t="str">
        <v/>
      </c>
      <c r="DL58" s="10">
        <v>0</v>
      </c>
    </row>
    <row r="59" spans="1:116" ht="21" customHeight="1" x14ac:dyDescent="0.3">
      <c r="A59" s="71" t="str">
        <v>拉卡德的怨魂</v>
      </c>
      <c r="B59" s="82">
        <v>554</v>
      </c>
      <c r="C59" s="82" t="str">
        <v>火</v>
      </c>
      <c r="D59" s="71" t="str">
        <v>否</v>
      </c>
      <c r="E59" s="75">
        <v>5</v>
      </c>
      <c r="F59" s="75">
        <v>5</v>
      </c>
      <c r="G59" s="77" t="str">
        <v>2</v>
      </c>
      <c r="H59" s="100" t="str">
        <v>无</v>
      </c>
      <c r="I59" s="75">
        <v>23</v>
      </c>
      <c r="J59" s="76">
        <v>0</v>
      </c>
      <c r="K59" s="76">
        <v>0</v>
      </c>
      <c r="L59" s="76">
        <v>554</v>
      </c>
      <c r="M59" s="76">
        <v>0</v>
      </c>
      <c r="N59" s="76">
        <v>0</v>
      </c>
      <c r="O59" s="76">
        <v>1</v>
      </c>
      <c r="P59" s="10">
        <v>48300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1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 t="str">
        <v>无</v>
      </c>
      <c r="AF59" s="10" t="str">
        <v>无</v>
      </c>
      <c r="AG59" s="10" t="str">
        <v>无</v>
      </c>
      <c r="AH59" s="10" t="str">
        <v>无</v>
      </c>
      <c r="AI59" s="10" t="str">
        <v>无</v>
      </c>
      <c r="AJ59" s="10" t="str">
        <v>无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</v>
      </c>
      <c r="BB59" s="10">
        <v>0</v>
      </c>
      <c r="BC59" s="10">
        <v>0</v>
      </c>
      <c r="BD59" s="10">
        <v>0</v>
      </c>
      <c r="BE59" s="10">
        <v>0</v>
      </c>
      <c r="BF59" s="10">
        <v>0</v>
      </c>
      <c r="BG59" s="10">
        <v>0</v>
      </c>
      <c r="BH59" s="10">
        <v>0</v>
      </c>
      <c r="BI59" s="10">
        <v>645.00000000000011</v>
      </c>
      <c r="BJ59" s="10">
        <v>0</v>
      </c>
      <c r="BK59" s="10">
        <v>0</v>
      </c>
      <c r="BL59" s="10">
        <v>0</v>
      </c>
      <c r="BM59" s="10">
        <v>0</v>
      </c>
      <c r="BN59" s="10">
        <v>0</v>
      </c>
      <c r="BO59" s="10">
        <v>554</v>
      </c>
      <c r="BP59" s="10">
        <v>0</v>
      </c>
      <c r="BQ59" s="10">
        <v>0</v>
      </c>
      <c r="BR59" s="10">
        <v>0</v>
      </c>
      <c r="BS59" s="10">
        <v>0</v>
      </c>
      <c r="BT59" s="10">
        <v>0</v>
      </c>
      <c r="BU59" s="10">
        <v>0</v>
      </c>
      <c r="BV59" s="10">
        <v>0</v>
      </c>
      <c r="BW59" s="10">
        <v>0</v>
      </c>
      <c r="BX59" s="10">
        <v>0</v>
      </c>
      <c r="BY59" s="10">
        <v>0</v>
      </c>
      <c r="BZ59" s="10">
        <v>0</v>
      </c>
      <c r="CA59" s="10">
        <v>0</v>
      </c>
      <c r="CB59" s="10">
        <v>0</v>
      </c>
      <c r="CC59" s="10">
        <v>0</v>
      </c>
      <c r="CD59" s="10">
        <v>0</v>
      </c>
      <c r="CE59" s="10">
        <v>0</v>
      </c>
      <c r="CF59" s="10">
        <v>0</v>
      </c>
      <c r="CG59" s="10">
        <v>0</v>
      </c>
      <c r="CH59" s="10">
        <v>0</v>
      </c>
      <c r="CI59" s="10">
        <v>0</v>
      </c>
      <c r="CJ59" s="10">
        <v>0</v>
      </c>
      <c r="CK59" s="10">
        <v>0</v>
      </c>
      <c r="CL59" s="10">
        <v>0</v>
      </c>
      <c r="CM59" s="10">
        <v>0</v>
      </c>
      <c r="CN59" s="10">
        <v>0</v>
      </c>
      <c r="CO59" s="10">
        <v>0</v>
      </c>
      <c r="CP59" s="10">
        <v>0</v>
      </c>
      <c r="CQ59" s="10">
        <v>0</v>
      </c>
      <c r="CR59" s="10">
        <v>0</v>
      </c>
      <c r="CS59" s="10">
        <v>5</v>
      </c>
      <c r="CT59" s="10">
        <v>0</v>
      </c>
      <c r="CU59" s="10">
        <v>0</v>
      </c>
      <c r="CV59" s="10">
        <v>0</v>
      </c>
      <c r="CW59" s="10">
        <v>0</v>
      </c>
      <c r="CX59" s="10">
        <v>0</v>
      </c>
      <c r="CY59" s="10">
        <v>2</v>
      </c>
      <c r="CZ59" s="10" t="str">
        <v/>
      </c>
      <c r="DA59" s="10" t="str">
        <v/>
      </c>
      <c r="DB59" s="10" t="str">
        <v/>
      </c>
      <c r="DC59" s="10" t="str">
        <v/>
      </c>
      <c r="DD59" s="10" t="str">
        <v/>
      </c>
      <c r="DE59" s="10">
        <v>0</v>
      </c>
      <c r="DF59" s="10">
        <v>0</v>
      </c>
      <c r="DG59" s="10">
        <v>0</v>
      </c>
      <c r="DH59" s="10">
        <v>0</v>
      </c>
      <c r="DI59" s="10">
        <v>0</v>
      </c>
      <c r="DJ59" s="10">
        <v>0</v>
      </c>
      <c r="DK59" s="10" t="str">
        <v/>
      </c>
      <c r="DL59" s="10">
        <v>0</v>
      </c>
    </row>
    <row r="60" spans="1:116" ht="21" customHeight="1" x14ac:dyDescent="0.3">
      <c r="A60" s="71" t="str">
        <v>辉石冰块</v>
      </c>
      <c r="B60" s="82">
        <v>767</v>
      </c>
      <c r="C60" s="82" t="str">
        <v>魔</v>
      </c>
      <c r="D60" s="71" t="str">
        <v>否</v>
      </c>
      <c r="E60" s="75">
        <v>5.5</v>
      </c>
      <c r="F60" s="75">
        <v>5.5</v>
      </c>
      <c r="G60" s="77" t="str">
        <v>1</v>
      </c>
      <c r="H60" s="100" t="str">
        <v>100冰冻值</v>
      </c>
      <c r="I60" s="75">
        <v>12</v>
      </c>
      <c r="J60" s="76">
        <v>0</v>
      </c>
      <c r="K60" s="76">
        <v>767</v>
      </c>
      <c r="L60" s="76">
        <v>0</v>
      </c>
      <c r="M60" s="76">
        <v>0</v>
      </c>
      <c r="N60" s="76">
        <v>0</v>
      </c>
      <c r="O60" s="76">
        <v>1</v>
      </c>
      <c r="P60" s="10">
        <v>44000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1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 t="str">
        <v>无</v>
      </c>
      <c r="AF60" s="10" t="str">
        <v>无</v>
      </c>
      <c r="AG60" s="10" t="str">
        <v>无</v>
      </c>
      <c r="AH60" s="10" t="str">
        <v>无</v>
      </c>
      <c r="AI60" s="10" t="str">
        <v>无</v>
      </c>
      <c r="AJ60" s="10" t="str">
        <v>无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855.70000000000016</v>
      </c>
      <c r="AX60" s="10">
        <v>0</v>
      </c>
      <c r="AY60" s="10">
        <v>0</v>
      </c>
      <c r="AZ60" s="10">
        <v>0</v>
      </c>
      <c r="BA60" s="10">
        <v>0</v>
      </c>
      <c r="BB60" s="10">
        <v>0</v>
      </c>
      <c r="BC60" s="10">
        <v>767</v>
      </c>
      <c r="BD60" s="10">
        <v>0</v>
      </c>
      <c r="BE60" s="10">
        <v>0</v>
      </c>
      <c r="BF60" s="10">
        <v>0</v>
      </c>
      <c r="BG60" s="10">
        <v>0</v>
      </c>
      <c r="BH60" s="10">
        <v>0</v>
      </c>
      <c r="BI60" s="10">
        <v>0</v>
      </c>
      <c r="BJ60" s="10">
        <v>0</v>
      </c>
      <c r="BK60" s="10">
        <v>0</v>
      </c>
      <c r="BL60" s="10">
        <v>0</v>
      </c>
      <c r="BM60" s="10">
        <v>0</v>
      </c>
      <c r="BN60" s="10">
        <v>0</v>
      </c>
      <c r="BO60" s="10">
        <v>0</v>
      </c>
      <c r="BP60" s="10">
        <v>0</v>
      </c>
      <c r="BQ60" s="10">
        <v>0</v>
      </c>
      <c r="BR60" s="10">
        <v>0</v>
      </c>
      <c r="BS60" s="10">
        <v>0</v>
      </c>
      <c r="BT60" s="10">
        <v>0</v>
      </c>
      <c r="BU60" s="10">
        <v>0</v>
      </c>
      <c r="BV60" s="10">
        <v>0</v>
      </c>
      <c r="BW60" s="10">
        <v>0</v>
      </c>
      <c r="BX60" s="10">
        <v>0</v>
      </c>
      <c r="BY60" s="10">
        <v>0</v>
      </c>
      <c r="BZ60" s="10">
        <v>0</v>
      </c>
      <c r="CA60" s="10">
        <v>0</v>
      </c>
      <c r="CB60" s="10">
        <v>0</v>
      </c>
      <c r="CC60" s="10">
        <v>0</v>
      </c>
      <c r="CD60" s="10">
        <v>0</v>
      </c>
      <c r="CE60" s="10">
        <v>0</v>
      </c>
      <c r="CF60" s="10">
        <v>0</v>
      </c>
      <c r="CG60" s="10">
        <v>0</v>
      </c>
      <c r="CH60" s="10">
        <v>0</v>
      </c>
      <c r="CI60" s="10">
        <v>0</v>
      </c>
      <c r="CJ60" s="10">
        <v>0</v>
      </c>
      <c r="CK60" s="10">
        <v>0</v>
      </c>
      <c r="CL60" s="10">
        <v>0</v>
      </c>
      <c r="CM60" s="10">
        <v>0</v>
      </c>
      <c r="CN60" s="10">
        <v>0</v>
      </c>
      <c r="CO60" s="10">
        <v>0</v>
      </c>
      <c r="CP60" s="10">
        <v>0</v>
      </c>
      <c r="CQ60" s="10">
        <v>0</v>
      </c>
      <c r="CR60" s="10">
        <v>0</v>
      </c>
      <c r="CS60" s="10">
        <v>5.5</v>
      </c>
      <c r="CT60" s="10">
        <v>0</v>
      </c>
      <c r="CU60" s="10">
        <v>0</v>
      </c>
      <c r="CV60" s="10">
        <v>0</v>
      </c>
      <c r="CW60" s="10">
        <v>0</v>
      </c>
      <c r="CX60" s="10">
        <v>0</v>
      </c>
      <c r="CY60" s="10">
        <v>1</v>
      </c>
      <c r="CZ60" s="10" t="str">
        <v/>
      </c>
      <c r="DA60" s="10" t="str">
        <v/>
      </c>
      <c r="DB60" s="10" t="str">
        <v/>
      </c>
      <c r="DC60" s="10" t="str">
        <v/>
      </c>
      <c r="DD60" s="10" t="str">
        <v/>
      </c>
      <c r="DE60" s="10">
        <v>100</v>
      </c>
      <c r="DF60" s="10">
        <v>0</v>
      </c>
      <c r="DG60" s="10">
        <v>0</v>
      </c>
      <c r="DH60" s="10">
        <v>0</v>
      </c>
      <c r="DI60" s="10">
        <v>0</v>
      </c>
      <c r="DJ60" s="10">
        <v>0</v>
      </c>
      <c r="DK60" s="10" t="str">
        <v>冰冻值</v>
      </c>
      <c r="DL60" s="10">
        <v>0</v>
      </c>
    </row>
    <row r="61" spans="1:116" ht="21" customHeight="1" x14ac:dyDescent="0.3">
      <c r="A61" s="71" t="str">
        <v>萨米尔冰风暴</v>
      </c>
      <c r="B61" s="82">
        <v>2326</v>
      </c>
      <c r="C61" s="82" t="str">
        <v>魔</v>
      </c>
      <c r="D61" s="71" t="str">
        <v>是</v>
      </c>
      <c r="E61" s="75">
        <v>39.78</v>
      </c>
      <c r="F61" s="75">
        <v>39.78</v>
      </c>
      <c r="G61" s="77" t="str">
        <v>8+8</v>
      </c>
      <c r="H61" s="100" t="str">
        <v>720冰冻值</v>
      </c>
      <c r="I61" s="75">
        <v>17</v>
      </c>
      <c r="J61" s="76">
        <v>0</v>
      </c>
      <c r="K61" s="76">
        <v>2326</v>
      </c>
      <c r="L61" s="76">
        <v>0</v>
      </c>
      <c r="M61" s="76">
        <v>0</v>
      </c>
      <c r="N61" s="76">
        <v>0</v>
      </c>
      <c r="O61" s="76">
        <v>1</v>
      </c>
      <c r="P61" s="10">
        <v>44105</v>
      </c>
      <c r="Q61" s="10">
        <v>44106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1</v>
      </c>
      <c r="Z61" s="10">
        <v>8</v>
      </c>
      <c r="AA61" s="10">
        <v>0</v>
      </c>
      <c r="AB61" s="10">
        <v>0</v>
      </c>
      <c r="AC61" s="10">
        <v>0</v>
      </c>
      <c r="AD61" s="10">
        <v>0</v>
      </c>
      <c r="AE61" s="10" t="str">
        <v>无</v>
      </c>
      <c r="AF61" s="10" t="str">
        <v>无</v>
      </c>
      <c r="AG61" s="10" t="str">
        <v>无</v>
      </c>
      <c r="AH61" s="10" t="str">
        <v>无</v>
      </c>
      <c r="AI61" s="10" t="str">
        <v>无</v>
      </c>
      <c r="AJ61" s="10" t="str">
        <v>无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447.20000000000005</v>
      </c>
      <c r="AX61" s="10">
        <v>339.70000000000005</v>
      </c>
      <c r="AY61" s="10">
        <v>0</v>
      </c>
      <c r="AZ61" s="10">
        <v>0</v>
      </c>
      <c r="BA61" s="10">
        <v>0</v>
      </c>
      <c r="BB61" s="10">
        <v>0</v>
      </c>
      <c r="BC61" s="10">
        <v>350</v>
      </c>
      <c r="BD61" s="10">
        <v>1976</v>
      </c>
      <c r="BE61" s="10">
        <v>0</v>
      </c>
      <c r="BF61" s="10">
        <v>0</v>
      </c>
      <c r="BG61" s="10">
        <v>0</v>
      </c>
      <c r="BH61" s="10">
        <v>0</v>
      </c>
      <c r="BI61" s="10">
        <v>0</v>
      </c>
      <c r="BJ61" s="10">
        <v>0</v>
      </c>
      <c r="BK61" s="10">
        <v>0</v>
      </c>
      <c r="BL61" s="10">
        <v>0</v>
      </c>
      <c r="BM61" s="10">
        <v>0</v>
      </c>
      <c r="BN61" s="10">
        <v>0</v>
      </c>
      <c r="BO61" s="10">
        <v>0</v>
      </c>
      <c r="BP61" s="10">
        <v>0</v>
      </c>
      <c r="BQ61" s="10">
        <v>0</v>
      </c>
      <c r="BR61" s="10">
        <v>0</v>
      </c>
      <c r="BS61" s="10">
        <v>0</v>
      </c>
      <c r="BT61" s="10">
        <v>0</v>
      </c>
      <c r="BU61" s="10">
        <v>0</v>
      </c>
      <c r="BV61" s="10">
        <v>0</v>
      </c>
      <c r="BW61" s="10">
        <v>0</v>
      </c>
      <c r="BX61" s="10">
        <v>0</v>
      </c>
      <c r="BY61" s="10">
        <v>0</v>
      </c>
      <c r="BZ61" s="10">
        <v>0</v>
      </c>
      <c r="CA61" s="10">
        <v>0</v>
      </c>
      <c r="CB61" s="10">
        <v>0</v>
      </c>
      <c r="CC61" s="10">
        <v>0</v>
      </c>
      <c r="CD61" s="10">
        <v>0</v>
      </c>
      <c r="CE61" s="10">
        <v>0</v>
      </c>
      <c r="CF61" s="10">
        <v>0</v>
      </c>
      <c r="CG61" s="10">
        <v>0</v>
      </c>
      <c r="CH61" s="10">
        <v>0</v>
      </c>
      <c r="CI61" s="10">
        <v>0</v>
      </c>
      <c r="CJ61" s="10">
        <v>0</v>
      </c>
      <c r="CK61" s="10">
        <v>0</v>
      </c>
      <c r="CL61" s="10">
        <v>0</v>
      </c>
      <c r="CM61" s="10">
        <v>0</v>
      </c>
      <c r="CN61" s="10">
        <v>0</v>
      </c>
      <c r="CO61" s="10">
        <v>0</v>
      </c>
      <c r="CP61" s="10">
        <v>0</v>
      </c>
      <c r="CQ61" s="10">
        <v>0</v>
      </c>
      <c r="CR61" s="10">
        <v>0</v>
      </c>
      <c r="CS61" s="10">
        <v>10.175000000000001</v>
      </c>
      <c r="CT61" s="10">
        <v>3.7</v>
      </c>
      <c r="CU61" s="10">
        <v>0</v>
      </c>
      <c r="CV61" s="10">
        <v>0</v>
      </c>
      <c r="CW61" s="10">
        <v>0</v>
      </c>
      <c r="CX61" s="10">
        <v>0</v>
      </c>
      <c r="CY61" s="10">
        <v>8</v>
      </c>
      <c r="CZ61" s="10">
        <v>8</v>
      </c>
      <c r="DA61" s="10" t="str">
        <v/>
      </c>
      <c r="DB61" s="10" t="str">
        <v/>
      </c>
      <c r="DC61" s="10" t="str">
        <v/>
      </c>
      <c r="DD61" s="10" t="str">
        <v/>
      </c>
      <c r="DE61" s="10">
        <v>80</v>
      </c>
      <c r="DF61" s="10">
        <v>80</v>
      </c>
      <c r="DG61" s="10">
        <v>0</v>
      </c>
      <c r="DH61" s="10">
        <v>0</v>
      </c>
      <c r="DI61" s="10">
        <v>0</v>
      </c>
      <c r="DJ61" s="10">
        <v>0</v>
      </c>
      <c r="DK61" s="10" t="str">
        <v>冰冻值</v>
      </c>
      <c r="DL61" s="10">
        <v>0</v>
      </c>
    </row>
    <row r="62" spans="1:116" ht="21" customHeight="1" x14ac:dyDescent="0.3">
      <c r="A62" s="71" t="str">
        <v>爆散结晶</v>
      </c>
      <c r="B62" s="82">
        <v>1794</v>
      </c>
      <c r="C62" s="82" t="str">
        <v>魔</v>
      </c>
      <c r="D62" s="71" t="str">
        <v>是</v>
      </c>
      <c r="E62" s="75">
        <v>12.6</v>
      </c>
      <c r="F62" s="75">
        <v>12.6</v>
      </c>
      <c r="G62" s="77" t="str">
        <v>1</v>
      </c>
      <c r="H62" s="100" t="str">
        <v>无</v>
      </c>
      <c r="I62" s="75">
        <v>21</v>
      </c>
      <c r="J62" s="76">
        <v>0</v>
      </c>
      <c r="K62" s="76">
        <v>1794</v>
      </c>
      <c r="L62" s="76">
        <v>0</v>
      </c>
      <c r="M62" s="76">
        <v>0</v>
      </c>
      <c r="N62" s="76">
        <v>0</v>
      </c>
      <c r="O62" s="76">
        <v>1</v>
      </c>
      <c r="P62" s="10">
        <v>45005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3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 t="str">
        <v>无</v>
      </c>
      <c r="AF62" s="10" t="str">
        <v>无</v>
      </c>
      <c r="AG62" s="10" t="str">
        <v>无</v>
      </c>
      <c r="AH62" s="10" t="str">
        <v>无</v>
      </c>
      <c r="AI62" s="10" t="str">
        <v>无</v>
      </c>
      <c r="AJ62" s="10" t="str">
        <v>无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688.00000000000011</v>
      </c>
      <c r="AX62" s="10">
        <v>0</v>
      </c>
      <c r="AY62" s="10">
        <v>0</v>
      </c>
      <c r="AZ62" s="10">
        <v>0</v>
      </c>
      <c r="BA62" s="10">
        <v>0</v>
      </c>
      <c r="BB62" s="10">
        <v>0</v>
      </c>
      <c r="BC62" s="10">
        <v>1794</v>
      </c>
      <c r="BD62" s="10">
        <v>0</v>
      </c>
      <c r="BE62" s="10">
        <v>0</v>
      </c>
      <c r="BF62" s="10">
        <v>0</v>
      </c>
      <c r="BG62" s="10">
        <v>0</v>
      </c>
      <c r="BH62" s="10">
        <v>0</v>
      </c>
      <c r="BI62" s="10">
        <v>0</v>
      </c>
      <c r="BJ62" s="10">
        <v>0</v>
      </c>
      <c r="BK62" s="10">
        <v>0</v>
      </c>
      <c r="BL62" s="10">
        <v>0</v>
      </c>
      <c r="BM62" s="10">
        <v>0</v>
      </c>
      <c r="BN62" s="10">
        <v>0</v>
      </c>
      <c r="BO62" s="10">
        <v>0</v>
      </c>
      <c r="BP62" s="10">
        <v>0</v>
      </c>
      <c r="BQ62" s="10">
        <v>0</v>
      </c>
      <c r="BR62" s="10">
        <v>0</v>
      </c>
      <c r="BS62" s="10">
        <v>0</v>
      </c>
      <c r="BT62" s="10">
        <v>0</v>
      </c>
      <c r="BU62" s="10">
        <v>0</v>
      </c>
      <c r="BV62" s="10">
        <v>0</v>
      </c>
      <c r="BW62" s="10">
        <v>0</v>
      </c>
      <c r="BX62" s="10">
        <v>0</v>
      </c>
      <c r="BY62" s="10">
        <v>0</v>
      </c>
      <c r="BZ62" s="10">
        <v>0</v>
      </c>
      <c r="CA62" s="10">
        <v>0</v>
      </c>
      <c r="CB62" s="10">
        <v>0</v>
      </c>
      <c r="CC62" s="10">
        <v>0</v>
      </c>
      <c r="CD62" s="10">
        <v>0</v>
      </c>
      <c r="CE62" s="10">
        <v>0</v>
      </c>
      <c r="CF62" s="10">
        <v>0</v>
      </c>
      <c r="CG62" s="10">
        <v>0</v>
      </c>
      <c r="CH62" s="10">
        <v>0</v>
      </c>
      <c r="CI62" s="10">
        <v>0</v>
      </c>
      <c r="CJ62" s="10">
        <v>0</v>
      </c>
      <c r="CK62" s="10">
        <v>0</v>
      </c>
      <c r="CL62" s="10">
        <v>0</v>
      </c>
      <c r="CM62" s="10">
        <v>0</v>
      </c>
      <c r="CN62" s="10">
        <v>0</v>
      </c>
      <c r="CO62" s="10">
        <v>0</v>
      </c>
      <c r="CP62" s="10">
        <v>0</v>
      </c>
      <c r="CQ62" s="10">
        <v>0</v>
      </c>
      <c r="CR62" s="10">
        <v>0</v>
      </c>
      <c r="CS62" s="10">
        <v>4.2</v>
      </c>
      <c r="CT62" s="10">
        <v>0</v>
      </c>
      <c r="CU62" s="10">
        <v>0</v>
      </c>
      <c r="CV62" s="10">
        <v>0</v>
      </c>
      <c r="CW62" s="10">
        <v>0</v>
      </c>
      <c r="CX62" s="10">
        <v>0</v>
      </c>
      <c r="CY62" s="10">
        <v>1</v>
      </c>
      <c r="CZ62" s="10" t="str">
        <v/>
      </c>
      <c r="DA62" s="10" t="str">
        <v/>
      </c>
      <c r="DB62" s="10" t="str">
        <v/>
      </c>
      <c r="DC62" s="10" t="str">
        <v/>
      </c>
      <c r="DD62" s="10" t="str">
        <v/>
      </c>
      <c r="DE62" s="10">
        <v>0</v>
      </c>
      <c r="DF62" s="10">
        <v>0</v>
      </c>
      <c r="DG62" s="10">
        <v>0</v>
      </c>
      <c r="DH62" s="10">
        <v>0</v>
      </c>
      <c r="DI62" s="10">
        <v>0</v>
      </c>
      <c r="DJ62" s="10">
        <v>0</v>
      </c>
      <c r="DK62" s="10" t="str">
        <v/>
      </c>
      <c r="DL62" s="10">
        <v>0</v>
      </c>
    </row>
    <row r="63" spans="1:116" ht="21" customHeight="1" x14ac:dyDescent="0.3">
      <c r="A63" s="71" t="str">
        <v>奔放结晶</v>
      </c>
      <c r="B63" s="82">
        <v>830</v>
      </c>
      <c r="C63" s="82" t="str">
        <v>魔</v>
      </c>
      <c r="D63" s="71" t="str">
        <v>否</v>
      </c>
      <c r="E63" s="75">
        <v>2.5</v>
      </c>
      <c r="F63" s="75">
        <v>2.5</v>
      </c>
      <c r="G63" s="77" t="str">
        <v>8</v>
      </c>
      <c r="H63" s="100" t="str">
        <v>无</v>
      </c>
      <c r="I63" s="75">
        <v>45</v>
      </c>
      <c r="J63" s="76">
        <v>0</v>
      </c>
      <c r="K63" s="76">
        <v>830</v>
      </c>
      <c r="L63" s="76">
        <v>0</v>
      </c>
      <c r="M63" s="76">
        <v>0</v>
      </c>
      <c r="N63" s="76">
        <v>0</v>
      </c>
      <c r="O63" s="76">
        <v>1</v>
      </c>
      <c r="P63" s="10">
        <v>45200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5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 t="str">
        <v>无</v>
      </c>
      <c r="AF63" s="10" t="str">
        <v>无</v>
      </c>
      <c r="AG63" s="10" t="str">
        <v>无</v>
      </c>
      <c r="AH63" s="10" t="str">
        <v>无</v>
      </c>
      <c r="AI63" s="10" t="str">
        <v>无</v>
      </c>
      <c r="AJ63" s="10" t="str">
        <v>无</v>
      </c>
      <c r="AK63" s="10">
        <v>0</v>
      </c>
      <c r="AL63" s="10">
        <v>0</v>
      </c>
      <c r="AM63" s="10">
        <v>0</v>
      </c>
      <c r="AN63" s="10">
        <v>0</v>
      </c>
      <c r="AO63" s="10">
        <v>0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245.10000000000005</v>
      </c>
      <c r="AX63" s="10">
        <v>0</v>
      </c>
      <c r="AY63" s="10">
        <v>0</v>
      </c>
      <c r="AZ63" s="10">
        <v>0</v>
      </c>
      <c r="BA63" s="10">
        <v>0</v>
      </c>
      <c r="BB63" s="10">
        <v>0</v>
      </c>
      <c r="BC63" s="10">
        <v>830</v>
      </c>
      <c r="BD63" s="10">
        <v>0</v>
      </c>
      <c r="BE63" s="10">
        <v>0</v>
      </c>
      <c r="BF63" s="10">
        <v>0</v>
      </c>
      <c r="BG63" s="10">
        <v>0</v>
      </c>
      <c r="BH63" s="10">
        <v>0</v>
      </c>
      <c r="BI63" s="10">
        <v>0</v>
      </c>
      <c r="BJ63" s="10">
        <v>0</v>
      </c>
      <c r="BK63" s="10">
        <v>0</v>
      </c>
      <c r="BL63" s="10">
        <v>0</v>
      </c>
      <c r="BM63" s="10">
        <v>0</v>
      </c>
      <c r="BN63" s="10">
        <v>0</v>
      </c>
      <c r="BO63" s="10">
        <v>0</v>
      </c>
      <c r="BP63" s="10">
        <v>0</v>
      </c>
      <c r="BQ63" s="10">
        <v>0</v>
      </c>
      <c r="BR63" s="10">
        <v>0</v>
      </c>
      <c r="BS63" s="10">
        <v>0</v>
      </c>
      <c r="BT63" s="10">
        <v>0</v>
      </c>
      <c r="BU63" s="10">
        <v>0</v>
      </c>
      <c r="BV63" s="10">
        <v>0</v>
      </c>
      <c r="BW63" s="10">
        <v>0</v>
      </c>
      <c r="BX63" s="10">
        <v>0</v>
      </c>
      <c r="BY63" s="10">
        <v>0</v>
      </c>
      <c r="BZ63" s="10">
        <v>0</v>
      </c>
      <c r="CA63" s="10">
        <v>0</v>
      </c>
      <c r="CB63" s="10">
        <v>0</v>
      </c>
      <c r="CC63" s="10">
        <v>0</v>
      </c>
      <c r="CD63" s="10">
        <v>0</v>
      </c>
      <c r="CE63" s="10">
        <v>0</v>
      </c>
      <c r="CF63" s="10">
        <v>0</v>
      </c>
      <c r="CG63" s="10">
        <v>0</v>
      </c>
      <c r="CH63" s="10">
        <v>0</v>
      </c>
      <c r="CI63" s="10">
        <v>0</v>
      </c>
      <c r="CJ63" s="10">
        <v>0</v>
      </c>
      <c r="CK63" s="10">
        <v>0</v>
      </c>
      <c r="CL63" s="10">
        <v>0</v>
      </c>
      <c r="CM63" s="10">
        <v>0</v>
      </c>
      <c r="CN63" s="10">
        <v>0</v>
      </c>
      <c r="CO63" s="10">
        <v>0</v>
      </c>
      <c r="CP63" s="10">
        <v>0</v>
      </c>
      <c r="CQ63" s="10">
        <v>0</v>
      </c>
      <c r="CR63" s="10">
        <v>0</v>
      </c>
      <c r="CS63" s="10">
        <v>0.5</v>
      </c>
      <c r="CT63" s="10">
        <v>0</v>
      </c>
      <c r="CU63" s="10">
        <v>0</v>
      </c>
      <c r="CV63" s="10">
        <v>0</v>
      </c>
      <c r="CW63" s="10">
        <v>0</v>
      </c>
      <c r="CX63" s="10">
        <v>0</v>
      </c>
      <c r="CY63" s="10">
        <v>8</v>
      </c>
      <c r="CZ63" s="10" t="str">
        <v/>
      </c>
      <c r="DA63" s="10" t="str">
        <v/>
      </c>
      <c r="DB63" s="10" t="str">
        <v/>
      </c>
      <c r="DC63" s="10" t="str">
        <v/>
      </c>
      <c r="DD63" s="10" t="str">
        <v/>
      </c>
      <c r="DE63" s="10">
        <v>0</v>
      </c>
      <c r="DF63" s="10">
        <v>0</v>
      </c>
      <c r="DG63" s="10">
        <v>0</v>
      </c>
      <c r="DH63" s="10">
        <v>0</v>
      </c>
      <c r="DI63" s="10">
        <v>0</v>
      </c>
      <c r="DJ63" s="10">
        <v>0</v>
      </c>
      <c r="DK63" s="10" t="str">
        <v/>
      </c>
      <c r="DL63" s="10">
        <v>0</v>
      </c>
    </row>
    <row r="64" spans="1:116" ht="21" customHeight="1" x14ac:dyDescent="0.3">
      <c r="A64" s="71" t="str">
        <v>飞散结晶</v>
      </c>
      <c r="B64" s="82">
        <v>4438</v>
      </c>
      <c r="C64" s="82" t="str">
        <v>魔</v>
      </c>
      <c r="D64" s="71" t="str">
        <v>否</v>
      </c>
      <c r="E64" s="75">
        <v>33.799999999999997</v>
      </c>
      <c r="F64" s="75">
        <v>33.799999999999997</v>
      </c>
      <c r="G64" s="77" t="str">
        <v>1+8</v>
      </c>
      <c r="H64" s="100" t="str">
        <v>无</v>
      </c>
      <c r="I64" s="75">
        <v>34</v>
      </c>
      <c r="J64" s="76">
        <v>0</v>
      </c>
      <c r="K64" s="76">
        <v>4438</v>
      </c>
      <c r="L64" s="76">
        <v>0</v>
      </c>
      <c r="M64" s="76">
        <v>0</v>
      </c>
      <c r="N64" s="76">
        <v>0</v>
      </c>
      <c r="O64" s="76">
        <v>1</v>
      </c>
      <c r="P64" s="10">
        <v>45101</v>
      </c>
      <c r="Q64" s="10">
        <v>45100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1</v>
      </c>
      <c r="Z64" s="10">
        <v>12</v>
      </c>
      <c r="AA64" s="10">
        <v>0</v>
      </c>
      <c r="AB64" s="10">
        <v>0</v>
      </c>
      <c r="AC64" s="10">
        <v>0</v>
      </c>
      <c r="AD64" s="10">
        <v>0</v>
      </c>
      <c r="AE64" s="10" t="str">
        <v>无</v>
      </c>
      <c r="AF64" s="10" t="str">
        <v>无</v>
      </c>
      <c r="AG64" s="10" t="str">
        <v>无</v>
      </c>
      <c r="AH64" s="10" t="str">
        <v>无</v>
      </c>
      <c r="AI64" s="10" t="str">
        <v>无</v>
      </c>
      <c r="AJ64" s="10" t="str">
        <v>无</v>
      </c>
      <c r="AK64" s="10">
        <v>0</v>
      </c>
      <c r="AL64" s="10">
        <v>0</v>
      </c>
      <c r="AM64" s="10">
        <v>0</v>
      </c>
      <c r="AN64" s="10">
        <v>0</v>
      </c>
      <c r="AO64" s="10">
        <v>0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537.50000000000011</v>
      </c>
      <c r="AX64" s="10">
        <v>430.00000000000006</v>
      </c>
      <c r="AY64" s="10">
        <v>0</v>
      </c>
      <c r="AZ64" s="10">
        <v>0</v>
      </c>
      <c r="BA64" s="10">
        <v>0</v>
      </c>
      <c r="BB64" s="10">
        <v>0</v>
      </c>
      <c r="BC64" s="10">
        <v>442</v>
      </c>
      <c r="BD64" s="10">
        <v>3996</v>
      </c>
      <c r="BE64" s="10">
        <v>0</v>
      </c>
      <c r="BF64" s="10">
        <v>0</v>
      </c>
      <c r="BG64" s="10">
        <v>0</v>
      </c>
      <c r="BH64" s="10">
        <v>0</v>
      </c>
      <c r="BI64" s="10">
        <v>0</v>
      </c>
      <c r="BJ64" s="10">
        <v>0</v>
      </c>
      <c r="BK64" s="10">
        <v>0</v>
      </c>
      <c r="BL64" s="10">
        <v>0</v>
      </c>
      <c r="BM64" s="10">
        <v>0</v>
      </c>
      <c r="BN64" s="10">
        <v>0</v>
      </c>
      <c r="BO64" s="10">
        <v>0</v>
      </c>
      <c r="BP64" s="10">
        <v>0</v>
      </c>
      <c r="BQ64" s="10">
        <v>0</v>
      </c>
      <c r="BR64" s="10">
        <v>0</v>
      </c>
      <c r="BS64" s="10">
        <v>0</v>
      </c>
      <c r="BT64" s="10">
        <v>0</v>
      </c>
      <c r="BU64" s="10">
        <v>0</v>
      </c>
      <c r="BV64" s="10">
        <v>0</v>
      </c>
      <c r="BW64" s="10">
        <v>0</v>
      </c>
      <c r="BX64" s="10">
        <v>0</v>
      </c>
      <c r="BY64" s="10">
        <v>0</v>
      </c>
      <c r="BZ64" s="10">
        <v>0</v>
      </c>
      <c r="CA64" s="10">
        <v>0</v>
      </c>
      <c r="CB64" s="10">
        <v>0</v>
      </c>
      <c r="CC64" s="10">
        <v>0</v>
      </c>
      <c r="CD64" s="10">
        <v>0</v>
      </c>
      <c r="CE64" s="10">
        <v>0</v>
      </c>
      <c r="CF64" s="10">
        <v>0</v>
      </c>
      <c r="CG64" s="10">
        <v>0</v>
      </c>
      <c r="CH64" s="10">
        <v>0</v>
      </c>
      <c r="CI64" s="10">
        <v>0</v>
      </c>
      <c r="CJ64" s="10">
        <v>0</v>
      </c>
      <c r="CK64" s="10">
        <v>0</v>
      </c>
      <c r="CL64" s="10">
        <v>0</v>
      </c>
      <c r="CM64" s="10">
        <v>0</v>
      </c>
      <c r="CN64" s="10">
        <v>0</v>
      </c>
      <c r="CO64" s="10">
        <v>0</v>
      </c>
      <c r="CP64" s="10">
        <v>0</v>
      </c>
      <c r="CQ64" s="10">
        <v>0</v>
      </c>
      <c r="CR64" s="10">
        <v>0</v>
      </c>
      <c r="CS64" s="10">
        <v>2.6</v>
      </c>
      <c r="CT64" s="10">
        <v>2.6</v>
      </c>
      <c r="CU64" s="10">
        <v>0</v>
      </c>
      <c r="CV64" s="10">
        <v>0</v>
      </c>
      <c r="CW64" s="10">
        <v>0</v>
      </c>
      <c r="CX64" s="10">
        <v>0</v>
      </c>
      <c r="CY64" s="10">
        <v>1</v>
      </c>
      <c r="CZ64" s="10">
        <v>8</v>
      </c>
      <c r="DA64" s="10" t="str">
        <v/>
      </c>
      <c r="DB64" s="10" t="str">
        <v/>
      </c>
      <c r="DC64" s="10" t="str">
        <v/>
      </c>
      <c r="DD64" s="10" t="str">
        <v/>
      </c>
      <c r="DE64" s="10">
        <v>0</v>
      </c>
      <c r="DF64" s="10">
        <v>0</v>
      </c>
      <c r="DG64" s="10">
        <v>0</v>
      </c>
      <c r="DH64" s="10">
        <v>0</v>
      </c>
      <c r="DI64" s="10">
        <v>0</v>
      </c>
      <c r="DJ64" s="10">
        <v>0</v>
      </c>
      <c r="DK64" s="10" t="str">
        <v/>
      </c>
      <c r="DL64" s="10">
        <v>0</v>
      </c>
    </row>
    <row r="65" spans="1:116" ht="21" customHeight="1" x14ac:dyDescent="0.3">
      <c r="A65" s="71" t="str">
        <v>重力球</v>
      </c>
      <c r="B65" s="82">
        <v>686</v>
      </c>
      <c r="C65" s="82" t="str">
        <v>魔</v>
      </c>
      <c r="D65" s="71" t="str">
        <v>是</v>
      </c>
      <c r="E65" s="75">
        <v>9.25</v>
      </c>
      <c r="F65" s="75">
        <v>9.25</v>
      </c>
      <c r="G65" s="77" t="str">
        <v>2</v>
      </c>
      <c r="H65" s="100" t="str">
        <v>无</v>
      </c>
      <c r="I65" s="75">
        <v>12</v>
      </c>
      <c r="J65" s="76">
        <v>0</v>
      </c>
      <c r="K65" s="76">
        <v>686</v>
      </c>
      <c r="L65" s="76">
        <v>0</v>
      </c>
      <c r="M65" s="76">
        <v>0</v>
      </c>
      <c r="N65" s="76">
        <v>0</v>
      </c>
      <c r="O65" s="76">
        <v>1</v>
      </c>
      <c r="P65" s="10">
        <v>47205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1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 t="str">
        <v>无</v>
      </c>
      <c r="AF65" s="10" t="str">
        <v>无</v>
      </c>
      <c r="AG65" s="10" t="str">
        <v>无</v>
      </c>
      <c r="AH65" s="10" t="str">
        <v>无</v>
      </c>
      <c r="AI65" s="10" t="str">
        <v>无</v>
      </c>
      <c r="AJ65" s="10" t="str">
        <v>无</v>
      </c>
      <c r="AK65" s="10">
        <v>0</v>
      </c>
      <c r="AL65" s="10">
        <v>0</v>
      </c>
      <c r="AM65" s="10">
        <v>0</v>
      </c>
      <c r="AN65" s="10">
        <v>0</v>
      </c>
      <c r="AO65" s="10">
        <v>0</v>
      </c>
      <c r="AP65" s="10">
        <v>0</v>
      </c>
      <c r="AQ65" s="10">
        <v>0</v>
      </c>
      <c r="AR65" s="10">
        <v>0</v>
      </c>
      <c r="AS65" s="10">
        <v>0</v>
      </c>
      <c r="AT65" s="10">
        <v>0</v>
      </c>
      <c r="AU65" s="10">
        <v>0</v>
      </c>
      <c r="AV65" s="10">
        <v>0</v>
      </c>
      <c r="AW65" s="10">
        <v>774.00000000000011</v>
      </c>
      <c r="AX65" s="10">
        <v>0</v>
      </c>
      <c r="AY65" s="10">
        <v>0</v>
      </c>
      <c r="AZ65" s="10">
        <v>0</v>
      </c>
      <c r="BA65" s="10">
        <v>0</v>
      </c>
      <c r="BB65" s="10">
        <v>0</v>
      </c>
      <c r="BC65" s="10">
        <v>686</v>
      </c>
      <c r="BD65" s="10">
        <v>0</v>
      </c>
      <c r="BE65" s="10">
        <v>0</v>
      </c>
      <c r="BF65" s="10">
        <v>0</v>
      </c>
      <c r="BG65" s="10">
        <v>0</v>
      </c>
      <c r="BH65" s="10">
        <v>0</v>
      </c>
      <c r="BI65" s="10">
        <v>0</v>
      </c>
      <c r="BJ65" s="10">
        <v>0</v>
      </c>
      <c r="BK65" s="10">
        <v>0</v>
      </c>
      <c r="BL65" s="10">
        <v>0</v>
      </c>
      <c r="BM65" s="10">
        <v>0</v>
      </c>
      <c r="BN65" s="10">
        <v>0</v>
      </c>
      <c r="BO65" s="10">
        <v>0</v>
      </c>
      <c r="BP65" s="10">
        <v>0</v>
      </c>
      <c r="BQ65" s="10">
        <v>0</v>
      </c>
      <c r="BR65" s="10">
        <v>0</v>
      </c>
      <c r="BS65" s="10">
        <v>0</v>
      </c>
      <c r="BT65" s="10">
        <v>0</v>
      </c>
      <c r="BU65" s="10">
        <v>0</v>
      </c>
      <c r="BV65" s="10">
        <v>0</v>
      </c>
      <c r="BW65" s="10">
        <v>0</v>
      </c>
      <c r="BX65" s="10">
        <v>0</v>
      </c>
      <c r="BY65" s="10">
        <v>0</v>
      </c>
      <c r="BZ65" s="10">
        <v>0</v>
      </c>
      <c r="CA65" s="10">
        <v>0</v>
      </c>
      <c r="CB65" s="10">
        <v>0</v>
      </c>
      <c r="CC65" s="10">
        <v>0</v>
      </c>
      <c r="CD65" s="10">
        <v>0</v>
      </c>
      <c r="CE65" s="10">
        <v>0</v>
      </c>
      <c r="CF65" s="10">
        <v>0</v>
      </c>
      <c r="CG65" s="10">
        <v>0</v>
      </c>
      <c r="CH65" s="10">
        <v>0</v>
      </c>
      <c r="CI65" s="10">
        <v>0</v>
      </c>
      <c r="CJ65" s="10">
        <v>0</v>
      </c>
      <c r="CK65" s="10">
        <v>0</v>
      </c>
      <c r="CL65" s="10">
        <v>0</v>
      </c>
      <c r="CM65" s="10">
        <v>0</v>
      </c>
      <c r="CN65" s="10">
        <v>0</v>
      </c>
      <c r="CO65" s="10">
        <v>0</v>
      </c>
      <c r="CP65" s="10">
        <v>0</v>
      </c>
      <c r="CQ65" s="10">
        <v>0</v>
      </c>
      <c r="CR65" s="10">
        <v>0</v>
      </c>
      <c r="CS65" s="10">
        <v>9.25</v>
      </c>
      <c r="CT65" s="10">
        <v>0</v>
      </c>
      <c r="CU65" s="10">
        <v>0</v>
      </c>
      <c r="CV65" s="10">
        <v>0</v>
      </c>
      <c r="CW65" s="10">
        <v>0</v>
      </c>
      <c r="CX65" s="10">
        <v>0</v>
      </c>
      <c r="CY65" s="10">
        <v>2</v>
      </c>
      <c r="CZ65" s="10" t="str">
        <v/>
      </c>
      <c r="DA65" s="10" t="str">
        <v/>
      </c>
      <c r="DB65" s="10" t="str">
        <v/>
      </c>
      <c r="DC65" s="10" t="str">
        <v/>
      </c>
      <c r="DD65" s="10" t="str">
        <v/>
      </c>
      <c r="DE65" s="10">
        <v>0</v>
      </c>
      <c r="DF65" s="10">
        <v>0</v>
      </c>
      <c r="DG65" s="10">
        <v>0</v>
      </c>
      <c r="DH65" s="10">
        <v>0</v>
      </c>
      <c r="DI65" s="10">
        <v>0</v>
      </c>
      <c r="DJ65" s="10">
        <v>0</v>
      </c>
      <c r="DK65" s="10" t="str">
        <v/>
      </c>
      <c r="DL65" s="10">
        <v>0</v>
      </c>
    </row>
    <row r="66" spans="1:116" ht="21" customHeight="1" x14ac:dyDescent="0.3">
      <c r="A66" s="71" t="str">
        <v>碎星</v>
      </c>
      <c r="B66" s="82">
        <v>1197</v>
      </c>
      <c r="C66" s="82" t="str">
        <v>魔</v>
      </c>
      <c r="D66" s="71" t="str">
        <v>是</v>
      </c>
      <c r="E66" s="75">
        <v>15.3</v>
      </c>
      <c r="F66" s="75">
        <v>15.3</v>
      </c>
      <c r="G66" s="77" t="str">
        <v>1</v>
      </c>
      <c r="H66" s="100" t="str">
        <v>无</v>
      </c>
      <c r="I66" s="75">
        <v>18</v>
      </c>
      <c r="J66" s="76">
        <v>0</v>
      </c>
      <c r="K66" s="76">
        <v>1197</v>
      </c>
      <c r="L66" s="76">
        <v>0</v>
      </c>
      <c r="M66" s="76">
        <v>0</v>
      </c>
      <c r="N66" s="76">
        <v>0</v>
      </c>
      <c r="O66" s="76">
        <v>1</v>
      </c>
      <c r="P66" s="10">
        <v>47215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9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 t="str">
        <v>无</v>
      </c>
      <c r="AF66" s="10" t="str">
        <v>无</v>
      </c>
      <c r="AG66" s="10" t="str">
        <v>无</v>
      </c>
      <c r="AH66" s="10" t="str">
        <v>无</v>
      </c>
      <c r="AI66" s="10" t="str">
        <v>无</v>
      </c>
      <c r="AJ66" s="10" t="str">
        <v>无</v>
      </c>
      <c r="AK66" s="10">
        <v>0</v>
      </c>
      <c r="AL66" s="10">
        <v>0</v>
      </c>
      <c r="AM66" s="10">
        <v>0</v>
      </c>
      <c r="AN66" s="10">
        <v>0</v>
      </c>
      <c r="AO66" s="10">
        <v>0</v>
      </c>
      <c r="AP66" s="10">
        <v>0</v>
      </c>
      <c r="AQ66" s="10">
        <v>0</v>
      </c>
      <c r="AR66" s="10">
        <v>0</v>
      </c>
      <c r="AS66" s="10">
        <v>0</v>
      </c>
      <c r="AT66" s="10">
        <v>0</v>
      </c>
      <c r="AU66" s="10">
        <v>0</v>
      </c>
      <c r="AV66" s="10">
        <v>0</v>
      </c>
      <c r="AW66" s="10">
        <v>210.70000000000005</v>
      </c>
      <c r="AX66" s="10">
        <v>0</v>
      </c>
      <c r="AY66" s="10">
        <v>0</v>
      </c>
      <c r="AZ66" s="10">
        <v>0</v>
      </c>
      <c r="BA66" s="10">
        <v>0</v>
      </c>
      <c r="BB66" s="10">
        <v>0</v>
      </c>
      <c r="BC66" s="10">
        <v>1197</v>
      </c>
      <c r="BD66" s="10">
        <v>0</v>
      </c>
      <c r="BE66" s="10">
        <v>0</v>
      </c>
      <c r="BF66" s="10">
        <v>0</v>
      </c>
      <c r="BG66" s="10">
        <v>0</v>
      </c>
      <c r="BH66" s="10">
        <v>0</v>
      </c>
      <c r="BI66" s="10">
        <v>0</v>
      </c>
      <c r="BJ66" s="10">
        <v>0</v>
      </c>
      <c r="BK66" s="10">
        <v>0</v>
      </c>
      <c r="BL66" s="10">
        <v>0</v>
      </c>
      <c r="BM66" s="10">
        <v>0</v>
      </c>
      <c r="BN66" s="10">
        <v>0</v>
      </c>
      <c r="BO66" s="10">
        <v>0</v>
      </c>
      <c r="BP66" s="10">
        <v>0</v>
      </c>
      <c r="BQ66" s="10">
        <v>0</v>
      </c>
      <c r="BR66" s="10">
        <v>0</v>
      </c>
      <c r="BS66" s="10">
        <v>0</v>
      </c>
      <c r="BT66" s="10">
        <v>0</v>
      </c>
      <c r="BU66" s="10">
        <v>0</v>
      </c>
      <c r="BV66" s="10">
        <v>0</v>
      </c>
      <c r="BW66" s="10">
        <v>0</v>
      </c>
      <c r="BX66" s="10">
        <v>0</v>
      </c>
      <c r="BY66" s="10">
        <v>0</v>
      </c>
      <c r="BZ66" s="10">
        <v>0</v>
      </c>
      <c r="CA66" s="10">
        <v>0</v>
      </c>
      <c r="CB66" s="10">
        <v>0</v>
      </c>
      <c r="CC66" s="10">
        <v>0</v>
      </c>
      <c r="CD66" s="10">
        <v>0</v>
      </c>
      <c r="CE66" s="10">
        <v>0</v>
      </c>
      <c r="CF66" s="10">
        <v>0</v>
      </c>
      <c r="CG66" s="10">
        <v>0</v>
      </c>
      <c r="CH66" s="10">
        <v>0</v>
      </c>
      <c r="CI66" s="10">
        <v>0</v>
      </c>
      <c r="CJ66" s="10">
        <v>0</v>
      </c>
      <c r="CK66" s="10">
        <v>0</v>
      </c>
      <c r="CL66" s="10">
        <v>0</v>
      </c>
      <c r="CM66" s="10">
        <v>0</v>
      </c>
      <c r="CN66" s="10">
        <v>0</v>
      </c>
      <c r="CO66" s="10">
        <v>0</v>
      </c>
      <c r="CP66" s="10">
        <v>0</v>
      </c>
      <c r="CQ66" s="10">
        <v>0</v>
      </c>
      <c r="CR66" s="10">
        <v>0</v>
      </c>
      <c r="CS66" s="10">
        <v>1.7</v>
      </c>
      <c r="CT66" s="10">
        <v>0</v>
      </c>
      <c r="CU66" s="10">
        <v>0</v>
      </c>
      <c r="CV66" s="10">
        <v>0</v>
      </c>
      <c r="CW66" s="10">
        <v>0</v>
      </c>
      <c r="CX66" s="10">
        <v>0</v>
      </c>
      <c r="CY66" s="10">
        <v>1</v>
      </c>
      <c r="CZ66" s="10" t="str">
        <v/>
      </c>
      <c r="DA66" s="10" t="str">
        <v/>
      </c>
      <c r="DB66" s="10" t="str">
        <v/>
      </c>
      <c r="DC66" s="10" t="str">
        <v/>
      </c>
      <c r="DD66" s="10" t="str">
        <v/>
      </c>
      <c r="DE66" s="10">
        <v>0</v>
      </c>
      <c r="DF66" s="10">
        <v>0</v>
      </c>
      <c r="DG66" s="10">
        <v>0</v>
      </c>
      <c r="DH66" s="10">
        <v>0</v>
      </c>
      <c r="DI66" s="10">
        <v>0</v>
      </c>
      <c r="DJ66" s="10">
        <v>0</v>
      </c>
      <c r="DK66" s="10" t="str">
        <v/>
      </c>
      <c r="DL66" s="10">
        <v>0</v>
      </c>
    </row>
    <row r="67" spans="1:116" ht="21" customHeight="1" x14ac:dyDescent="0.3">
      <c r="A67" s="71" t="str">
        <v>引力球</v>
      </c>
      <c r="B67" s="82">
        <v>1596</v>
      </c>
      <c r="C67" s="82" t="str">
        <v>魔</v>
      </c>
      <c r="D67" s="71" t="str">
        <v>是</v>
      </c>
      <c r="E67" s="75">
        <v>19</v>
      </c>
      <c r="F67" s="75">
        <v>19</v>
      </c>
      <c r="G67" s="77" t="str">
        <v>2+4</v>
      </c>
      <c r="H67" s="100" t="str">
        <v>无</v>
      </c>
      <c r="I67" s="75">
        <v>18</v>
      </c>
      <c r="J67" s="76">
        <v>0</v>
      </c>
      <c r="K67" s="76">
        <v>1596</v>
      </c>
      <c r="L67" s="76">
        <v>0</v>
      </c>
      <c r="M67" s="76">
        <v>0</v>
      </c>
      <c r="N67" s="76">
        <v>0</v>
      </c>
      <c r="O67" s="76">
        <v>1</v>
      </c>
      <c r="P67" s="10">
        <v>210471051</v>
      </c>
      <c r="Q67" s="10">
        <v>210471052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3</v>
      </c>
      <c r="Z67" s="10">
        <v>1</v>
      </c>
      <c r="AA67" s="10">
        <v>0</v>
      </c>
      <c r="AB67" s="10">
        <v>0</v>
      </c>
      <c r="AC67" s="10">
        <v>0</v>
      </c>
      <c r="AD67" s="10">
        <v>0</v>
      </c>
      <c r="AE67" s="10" t="str">
        <v>无</v>
      </c>
      <c r="AF67" s="10" t="str">
        <v>无</v>
      </c>
      <c r="AG67" s="10" t="str">
        <v>无</v>
      </c>
      <c r="AH67" s="10" t="str">
        <v>无</v>
      </c>
      <c r="AI67" s="10" t="str">
        <v>无</v>
      </c>
      <c r="AJ67" s="10" t="str">
        <v>无</v>
      </c>
      <c r="AK67" s="10">
        <v>0</v>
      </c>
      <c r="AL67" s="10">
        <v>0</v>
      </c>
      <c r="AM67" s="10">
        <v>0</v>
      </c>
      <c r="AN67" s="10">
        <v>0</v>
      </c>
      <c r="AO67" s="10">
        <v>0</v>
      </c>
      <c r="AP67" s="10">
        <v>0</v>
      </c>
      <c r="AQ67" s="10">
        <v>0</v>
      </c>
      <c r="AR67" s="10">
        <v>0</v>
      </c>
      <c r="AS67" s="10">
        <v>0</v>
      </c>
      <c r="AT67" s="10">
        <v>0</v>
      </c>
      <c r="AU67" s="10">
        <v>0</v>
      </c>
      <c r="AV67" s="10">
        <v>0</v>
      </c>
      <c r="AW67" s="10">
        <v>172.00000000000003</v>
      </c>
      <c r="AX67" s="10">
        <v>1453.4000000000003</v>
      </c>
      <c r="AY67" s="10">
        <v>0</v>
      </c>
      <c r="AZ67" s="10">
        <v>0</v>
      </c>
      <c r="BA67" s="10">
        <v>0</v>
      </c>
      <c r="BB67" s="10">
        <v>0</v>
      </c>
      <c r="BC67" s="10">
        <v>288</v>
      </c>
      <c r="BD67" s="10">
        <v>1308</v>
      </c>
      <c r="BE67" s="10">
        <v>0</v>
      </c>
      <c r="BF67" s="10">
        <v>0</v>
      </c>
      <c r="BG67" s="10">
        <v>0</v>
      </c>
      <c r="BH67" s="10">
        <v>0</v>
      </c>
      <c r="BI67" s="10">
        <v>0</v>
      </c>
      <c r="BJ67" s="10">
        <v>0</v>
      </c>
      <c r="BK67" s="10">
        <v>0</v>
      </c>
      <c r="BL67" s="10">
        <v>0</v>
      </c>
      <c r="BM67" s="10">
        <v>0</v>
      </c>
      <c r="BN67" s="10">
        <v>0</v>
      </c>
      <c r="BO67" s="10">
        <v>0</v>
      </c>
      <c r="BP67" s="10">
        <v>0</v>
      </c>
      <c r="BQ67" s="10">
        <v>0</v>
      </c>
      <c r="BR67" s="10">
        <v>0</v>
      </c>
      <c r="BS67" s="10">
        <v>0</v>
      </c>
      <c r="BT67" s="10">
        <v>0</v>
      </c>
      <c r="BU67" s="10">
        <v>0</v>
      </c>
      <c r="BV67" s="10">
        <v>0</v>
      </c>
      <c r="BW67" s="10">
        <v>0</v>
      </c>
      <c r="BX67" s="10">
        <v>0</v>
      </c>
      <c r="BY67" s="10">
        <v>0</v>
      </c>
      <c r="BZ67" s="10">
        <v>0</v>
      </c>
      <c r="CA67" s="10">
        <v>0</v>
      </c>
      <c r="CB67" s="10">
        <v>0</v>
      </c>
      <c r="CC67" s="10">
        <v>0</v>
      </c>
      <c r="CD67" s="10">
        <v>0</v>
      </c>
      <c r="CE67" s="10">
        <v>0</v>
      </c>
      <c r="CF67" s="10">
        <v>0</v>
      </c>
      <c r="CG67" s="10">
        <v>0</v>
      </c>
      <c r="CH67" s="10">
        <v>0</v>
      </c>
      <c r="CI67" s="10">
        <v>0</v>
      </c>
      <c r="CJ67" s="10">
        <v>0</v>
      </c>
      <c r="CK67" s="10">
        <v>0</v>
      </c>
      <c r="CL67" s="10">
        <v>0</v>
      </c>
      <c r="CM67" s="10">
        <v>0</v>
      </c>
      <c r="CN67" s="10">
        <v>0</v>
      </c>
      <c r="CO67" s="10">
        <v>0</v>
      </c>
      <c r="CP67" s="10">
        <v>0</v>
      </c>
      <c r="CQ67" s="10">
        <v>0</v>
      </c>
      <c r="CR67" s="10">
        <v>0</v>
      </c>
      <c r="CS67" s="10">
        <v>3</v>
      </c>
      <c r="CT67" s="10">
        <v>10</v>
      </c>
      <c r="CU67" s="10">
        <v>0</v>
      </c>
      <c r="CV67" s="10">
        <v>0</v>
      </c>
      <c r="CW67" s="10">
        <v>0</v>
      </c>
      <c r="CX67" s="10">
        <v>0</v>
      </c>
      <c r="CY67" s="10">
        <v>2</v>
      </c>
      <c r="CZ67" s="10">
        <v>4</v>
      </c>
      <c r="DA67" s="10" t="str">
        <v/>
      </c>
      <c r="DB67" s="10" t="str">
        <v/>
      </c>
      <c r="DC67" s="10" t="str">
        <v/>
      </c>
      <c r="DD67" s="10" t="str">
        <v/>
      </c>
      <c r="DE67" s="10">
        <v>0</v>
      </c>
      <c r="DF67" s="10">
        <v>0</v>
      </c>
      <c r="DG67" s="10">
        <v>0</v>
      </c>
      <c r="DH67" s="10">
        <v>0</v>
      </c>
      <c r="DI67" s="10">
        <v>0</v>
      </c>
      <c r="DJ67" s="10">
        <v>0</v>
      </c>
      <c r="DK67" s="10" t="str">
        <v/>
      </c>
      <c r="DL67" s="10">
        <v>0</v>
      </c>
    </row>
    <row r="68" spans="1:116" ht="21" customHeight="1" x14ac:dyDescent="0.3">
      <c r="A68" s="71" t="str">
        <v>引力球（对地）</v>
      </c>
      <c r="B68" s="82">
        <v>1308</v>
      </c>
      <c r="C68" s="82" t="str">
        <v>魔</v>
      </c>
      <c r="D68" s="71" t="str">
        <v>是</v>
      </c>
      <c r="E68" s="75">
        <v>10</v>
      </c>
      <c r="F68" s="75">
        <v>10</v>
      </c>
      <c r="G68" s="77" t="str">
        <v>4</v>
      </c>
      <c r="H68" s="100" t="str">
        <v>无</v>
      </c>
      <c r="I68" s="75">
        <v>18</v>
      </c>
      <c r="J68" s="76">
        <v>0</v>
      </c>
      <c r="K68" s="76">
        <v>1308</v>
      </c>
      <c r="L68" s="76">
        <v>0</v>
      </c>
      <c r="M68" s="76">
        <v>0</v>
      </c>
      <c r="N68" s="76">
        <v>0</v>
      </c>
      <c r="O68" s="76">
        <v>1</v>
      </c>
      <c r="P68" s="10">
        <v>210471052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1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 t="str">
        <v>无</v>
      </c>
      <c r="AF68" s="10" t="str">
        <v>无</v>
      </c>
      <c r="AG68" s="10" t="str">
        <v>无</v>
      </c>
      <c r="AH68" s="10" t="str">
        <v>无</v>
      </c>
      <c r="AI68" s="10" t="str">
        <v>无</v>
      </c>
      <c r="AJ68" s="10" t="str">
        <v>无</v>
      </c>
      <c r="AK68" s="10">
        <v>0</v>
      </c>
      <c r="AL68" s="10">
        <v>0</v>
      </c>
      <c r="AM68" s="10">
        <v>0</v>
      </c>
      <c r="AN68" s="10">
        <v>0</v>
      </c>
      <c r="AO68" s="10">
        <v>0</v>
      </c>
      <c r="AP68" s="10">
        <v>0</v>
      </c>
      <c r="AQ68" s="10">
        <v>0</v>
      </c>
      <c r="AR68" s="10">
        <v>0</v>
      </c>
      <c r="AS68" s="10">
        <v>0</v>
      </c>
      <c r="AT68" s="10">
        <v>0</v>
      </c>
      <c r="AU68" s="10">
        <v>0</v>
      </c>
      <c r="AV68" s="10">
        <v>0</v>
      </c>
      <c r="AW68" s="10">
        <v>1453.4000000000003</v>
      </c>
      <c r="AX68" s="10">
        <v>0</v>
      </c>
      <c r="AY68" s="10">
        <v>0</v>
      </c>
      <c r="AZ68" s="10">
        <v>0</v>
      </c>
      <c r="BA68" s="10">
        <v>0</v>
      </c>
      <c r="BB68" s="10">
        <v>0</v>
      </c>
      <c r="BC68" s="10">
        <v>1308</v>
      </c>
      <c r="BD68" s="10">
        <v>0</v>
      </c>
      <c r="BE68" s="10">
        <v>0</v>
      </c>
      <c r="BF68" s="10">
        <v>0</v>
      </c>
      <c r="BG68" s="10">
        <v>0</v>
      </c>
      <c r="BH68" s="10">
        <v>0</v>
      </c>
      <c r="BI68" s="10">
        <v>0</v>
      </c>
      <c r="BJ68" s="10">
        <v>0</v>
      </c>
      <c r="BK68" s="10">
        <v>0</v>
      </c>
      <c r="BL68" s="10">
        <v>0</v>
      </c>
      <c r="BM68" s="10">
        <v>0</v>
      </c>
      <c r="BN68" s="10">
        <v>0</v>
      </c>
      <c r="BO68" s="10">
        <v>0</v>
      </c>
      <c r="BP68" s="10">
        <v>0</v>
      </c>
      <c r="BQ68" s="10">
        <v>0</v>
      </c>
      <c r="BR68" s="10">
        <v>0</v>
      </c>
      <c r="BS68" s="10">
        <v>0</v>
      </c>
      <c r="BT68" s="10">
        <v>0</v>
      </c>
      <c r="BU68" s="10">
        <v>0</v>
      </c>
      <c r="BV68" s="10">
        <v>0</v>
      </c>
      <c r="BW68" s="10">
        <v>0</v>
      </c>
      <c r="BX68" s="10">
        <v>0</v>
      </c>
      <c r="BY68" s="10">
        <v>0</v>
      </c>
      <c r="BZ68" s="10">
        <v>0</v>
      </c>
      <c r="CA68" s="10">
        <v>0</v>
      </c>
      <c r="CB68" s="10">
        <v>0</v>
      </c>
      <c r="CC68" s="10">
        <v>0</v>
      </c>
      <c r="CD68" s="10">
        <v>0</v>
      </c>
      <c r="CE68" s="10">
        <v>0</v>
      </c>
      <c r="CF68" s="10">
        <v>0</v>
      </c>
      <c r="CG68" s="10">
        <v>0</v>
      </c>
      <c r="CH68" s="10">
        <v>0</v>
      </c>
      <c r="CI68" s="10">
        <v>0</v>
      </c>
      <c r="CJ68" s="10">
        <v>0</v>
      </c>
      <c r="CK68" s="10">
        <v>0</v>
      </c>
      <c r="CL68" s="10">
        <v>0</v>
      </c>
      <c r="CM68" s="10">
        <v>0</v>
      </c>
      <c r="CN68" s="10">
        <v>0</v>
      </c>
      <c r="CO68" s="10">
        <v>0</v>
      </c>
      <c r="CP68" s="10">
        <v>0</v>
      </c>
      <c r="CQ68" s="10">
        <v>0</v>
      </c>
      <c r="CR68" s="10">
        <v>0</v>
      </c>
      <c r="CS68" s="10">
        <v>10</v>
      </c>
      <c r="CT68" s="10">
        <v>0</v>
      </c>
      <c r="CU68" s="10">
        <v>0</v>
      </c>
      <c r="CV68" s="10">
        <v>0</v>
      </c>
      <c r="CW68" s="10">
        <v>0</v>
      </c>
      <c r="CX68" s="10">
        <v>0</v>
      </c>
      <c r="CY68" s="10">
        <v>4</v>
      </c>
      <c r="CZ68" s="10" t="str">
        <v/>
      </c>
      <c r="DA68" s="10" t="str">
        <v/>
      </c>
      <c r="DB68" s="10" t="str">
        <v/>
      </c>
      <c r="DC68" s="10" t="str">
        <v/>
      </c>
      <c r="DD68" s="10" t="str">
        <v/>
      </c>
      <c r="DE68" s="10">
        <v>0</v>
      </c>
      <c r="DF68" s="10">
        <v>0</v>
      </c>
      <c r="DG68" s="10">
        <v>0</v>
      </c>
      <c r="DH68" s="10">
        <v>0</v>
      </c>
      <c r="DI68" s="10">
        <v>0</v>
      </c>
      <c r="DJ68" s="10">
        <v>0</v>
      </c>
      <c r="DK68" s="10" t="str">
        <v/>
      </c>
      <c r="DL68" s="10">
        <v>0</v>
      </c>
    </row>
    <row r="69" spans="1:116" ht="21" customHeight="1" x14ac:dyDescent="0.3">
      <c r="A69" s="71" t="str">
        <v>岩石球</v>
      </c>
      <c r="B69" s="82">
        <v>1026</v>
      </c>
      <c r="C69" s="82" t="str">
        <v>普通</v>
      </c>
      <c r="D69" s="71" t="str">
        <v>否</v>
      </c>
      <c r="E69" s="75">
        <v>28.5</v>
      </c>
      <c r="F69" s="75">
        <v>28.5</v>
      </c>
      <c r="G69" s="77" t="str">
        <v>2</v>
      </c>
      <c r="H69" s="100" t="str">
        <v>无</v>
      </c>
      <c r="I69" s="75">
        <v>18</v>
      </c>
      <c r="J69" s="76">
        <v>1026</v>
      </c>
      <c r="K69" s="76">
        <v>0</v>
      </c>
      <c r="L69" s="76">
        <v>0</v>
      </c>
      <c r="M69" s="76">
        <v>0</v>
      </c>
      <c r="N69" s="76">
        <v>0</v>
      </c>
      <c r="O69" s="76">
        <v>1</v>
      </c>
      <c r="P69" s="10">
        <v>47100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3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 t="str">
        <v>普通</v>
      </c>
      <c r="AF69" s="10" t="str">
        <v>无</v>
      </c>
      <c r="AG69" s="10" t="str">
        <v>无</v>
      </c>
      <c r="AH69" s="10" t="str">
        <v>无</v>
      </c>
      <c r="AI69" s="10" t="str">
        <v>无</v>
      </c>
      <c r="AJ69" s="10" t="str">
        <v>无</v>
      </c>
      <c r="AK69" s="10">
        <v>438.60000000000008</v>
      </c>
      <c r="AL69" s="10">
        <v>0</v>
      </c>
      <c r="AM69" s="10">
        <v>0</v>
      </c>
      <c r="AN69" s="10">
        <v>0</v>
      </c>
      <c r="AO69" s="10">
        <v>0</v>
      </c>
      <c r="AP69" s="10">
        <v>0</v>
      </c>
      <c r="AQ69" s="10">
        <v>1026</v>
      </c>
      <c r="AR69" s="10">
        <v>0</v>
      </c>
      <c r="AS69" s="10">
        <v>0</v>
      </c>
      <c r="AT69" s="10">
        <v>0</v>
      </c>
      <c r="AU69" s="10">
        <v>0</v>
      </c>
      <c r="AV69" s="10">
        <v>0</v>
      </c>
      <c r="AW69" s="10">
        <v>0</v>
      </c>
      <c r="AX69" s="10">
        <v>0</v>
      </c>
      <c r="AY69" s="10">
        <v>0</v>
      </c>
      <c r="AZ69" s="10">
        <v>0</v>
      </c>
      <c r="BA69" s="10">
        <v>0</v>
      </c>
      <c r="BB69" s="10">
        <v>0</v>
      </c>
      <c r="BC69" s="10">
        <v>0</v>
      </c>
      <c r="BD69" s="10">
        <v>0</v>
      </c>
      <c r="BE69" s="10">
        <v>0</v>
      </c>
      <c r="BF69" s="10">
        <v>0</v>
      </c>
      <c r="BG69" s="10">
        <v>0</v>
      </c>
      <c r="BH69" s="10">
        <v>0</v>
      </c>
      <c r="BI69" s="10">
        <v>0</v>
      </c>
      <c r="BJ69" s="10">
        <v>0</v>
      </c>
      <c r="BK69" s="10">
        <v>0</v>
      </c>
      <c r="BL69" s="10">
        <v>0</v>
      </c>
      <c r="BM69" s="10">
        <v>0</v>
      </c>
      <c r="BN69" s="10">
        <v>0</v>
      </c>
      <c r="BO69" s="10">
        <v>0</v>
      </c>
      <c r="BP69" s="10">
        <v>0</v>
      </c>
      <c r="BQ69" s="10">
        <v>0</v>
      </c>
      <c r="BR69" s="10">
        <v>0</v>
      </c>
      <c r="BS69" s="10">
        <v>0</v>
      </c>
      <c r="BT69" s="10">
        <v>0</v>
      </c>
      <c r="BU69" s="10">
        <v>0</v>
      </c>
      <c r="BV69" s="10">
        <v>0</v>
      </c>
      <c r="BW69" s="10">
        <v>0</v>
      </c>
      <c r="BX69" s="10">
        <v>0</v>
      </c>
      <c r="BY69" s="10">
        <v>0</v>
      </c>
      <c r="BZ69" s="10">
        <v>0</v>
      </c>
      <c r="CA69" s="10">
        <v>0</v>
      </c>
      <c r="CB69" s="10">
        <v>0</v>
      </c>
      <c r="CC69" s="10">
        <v>0</v>
      </c>
      <c r="CD69" s="10">
        <v>0</v>
      </c>
      <c r="CE69" s="10">
        <v>0</v>
      </c>
      <c r="CF69" s="10">
        <v>0</v>
      </c>
      <c r="CG69" s="10">
        <v>0</v>
      </c>
      <c r="CH69" s="10">
        <v>0</v>
      </c>
      <c r="CI69" s="10">
        <v>0</v>
      </c>
      <c r="CJ69" s="10">
        <v>0</v>
      </c>
      <c r="CK69" s="10">
        <v>0</v>
      </c>
      <c r="CL69" s="10">
        <v>0</v>
      </c>
      <c r="CM69" s="10">
        <v>0</v>
      </c>
      <c r="CN69" s="10">
        <v>0</v>
      </c>
      <c r="CO69" s="10">
        <v>0</v>
      </c>
      <c r="CP69" s="10">
        <v>0</v>
      </c>
      <c r="CQ69" s="10">
        <v>0</v>
      </c>
      <c r="CR69" s="10">
        <v>0</v>
      </c>
      <c r="CS69" s="10">
        <v>9.5</v>
      </c>
      <c r="CT69" s="10">
        <v>0</v>
      </c>
      <c r="CU69" s="10">
        <v>0</v>
      </c>
      <c r="CV69" s="10">
        <v>0</v>
      </c>
      <c r="CW69" s="10">
        <v>0</v>
      </c>
      <c r="CX69" s="10">
        <v>0</v>
      </c>
      <c r="CY69" s="10">
        <v>2</v>
      </c>
      <c r="CZ69" s="10" t="str">
        <v/>
      </c>
      <c r="DA69" s="10" t="str">
        <v/>
      </c>
      <c r="DB69" s="10" t="str">
        <v/>
      </c>
      <c r="DC69" s="10" t="str">
        <v/>
      </c>
      <c r="DD69" s="10" t="str">
        <v/>
      </c>
      <c r="DE69" s="10">
        <v>0</v>
      </c>
      <c r="DF69" s="10">
        <v>0</v>
      </c>
      <c r="DG69" s="10">
        <v>0</v>
      </c>
      <c r="DH69" s="10">
        <v>0</v>
      </c>
      <c r="DI69" s="10">
        <v>0</v>
      </c>
      <c r="DJ69" s="10">
        <v>0</v>
      </c>
      <c r="DK69" s="10" t="str">
        <v/>
      </c>
      <c r="DL69" s="10">
        <v>0</v>
      </c>
    </row>
    <row r="70" spans="1:116" ht="21" customHeight="1" x14ac:dyDescent="0.3">
      <c r="A70" s="71" t="str">
        <v>岩块刀刃</v>
      </c>
      <c r="B70" s="82">
        <v>2584</v>
      </c>
      <c r="C70" s="82" t="str">
        <v>普通</v>
      </c>
      <c r="D70" s="71" t="str">
        <v>是</v>
      </c>
      <c r="E70" s="75">
        <v>24</v>
      </c>
      <c r="F70" s="75">
        <v>24</v>
      </c>
      <c r="G70" s="77" t="str">
        <v>1+1</v>
      </c>
      <c r="H70" s="100" t="str">
        <v>无</v>
      </c>
      <c r="I70" s="75">
        <v>18</v>
      </c>
      <c r="J70" s="76">
        <v>2584</v>
      </c>
      <c r="K70" s="76">
        <v>0</v>
      </c>
      <c r="L70" s="76">
        <v>0</v>
      </c>
      <c r="M70" s="76">
        <v>0</v>
      </c>
      <c r="N70" s="76">
        <v>0</v>
      </c>
      <c r="O70" s="76">
        <v>1</v>
      </c>
      <c r="P70" s="10">
        <v>210470050</v>
      </c>
      <c r="Q70" s="10">
        <v>210470051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1</v>
      </c>
      <c r="Z70" s="10">
        <v>2</v>
      </c>
      <c r="AA70" s="10">
        <v>0</v>
      </c>
      <c r="AB70" s="10">
        <v>0</v>
      </c>
      <c r="AC70" s="10">
        <v>0</v>
      </c>
      <c r="AD70" s="10">
        <v>0</v>
      </c>
      <c r="AE70" s="10" t="str">
        <v>普通</v>
      </c>
      <c r="AF70" s="10" t="str">
        <v>普通</v>
      </c>
      <c r="AG70" s="10" t="str">
        <v>无</v>
      </c>
      <c r="AH70" s="10" t="str">
        <v>无</v>
      </c>
      <c r="AI70" s="10" t="str">
        <v>无</v>
      </c>
      <c r="AJ70" s="10" t="str">
        <v>无</v>
      </c>
      <c r="AK70" s="10">
        <v>1298.6000000000001</v>
      </c>
      <c r="AL70" s="10">
        <v>795.50000000000011</v>
      </c>
      <c r="AM70" s="10">
        <v>0</v>
      </c>
      <c r="AN70" s="10">
        <v>0</v>
      </c>
      <c r="AO70" s="10">
        <v>0</v>
      </c>
      <c r="AP70" s="10">
        <v>0</v>
      </c>
      <c r="AQ70" s="10">
        <v>1168</v>
      </c>
      <c r="AR70" s="10">
        <v>1416</v>
      </c>
      <c r="AS70" s="10">
        <v>0</v>
      </c>
      <c r="AT70" s="10">
        <v>0</v>
      </c>
      <c r="AU70" s="10">
        <v>0</v>
      </c>
      <c r="AV70" s="10">
        <v>0</v>
      </c>
      <c r="AW70" s="10">
        <v>0</v>
      </c>
      <c r="AX70" s="10">
        <v>0</v>
      </c>
      <c r="AY70" s="10">
        <v>0</v>
      </c>
      <c r="AZ70" s="10">
        <v>0</v>
      </c>
      <c r="BA70" s="10">
        <v>0</v>
      </c>
      <c r="BB70" s="10">
        <v>0</v>
      </c>
      <c r="BC70" s="10">
        <v>0</v>
      </c>
      <c r="BD70" s="10">
        <v>0</v>
      </c>
      <c r="BE70" s="10">
        <v>0</v>
      </c>
      <c r="BF70" s="10">
        <v>0</v>
      </c>
      <c r="BG70" s="10">
        <v>0</v>
      </c>
      <c r="BH70" s="10">
        <v>0</v>
      </c>
      <c r="BI70" s="10">
        <v>0</v>
      </c>
      <c r="BJ70" s="10">
        <v>0</v>
      </c>
      <c r="BK70" s="10">
        <v>0</v>
      </c>
      <c r="BL70" s="10">
        <v>0</v>
      </c>
      <c r="BM70" s="10">
        <v>0</v>
      </c>
      <c r="BN70" s="10">
        <v>0</v>
      </c>
      <c r="BO70" s="10">
        <v>0</v>
      </c>
      <c r="BP70" s="10">
        <v>0</v>
      </c>
      <c r="BQ70" s="10">
        <v>0</v>
      </c>
      <c r="BR70" s="10">
        <v>0</v>
      </c>
      <c r="BS70" s="10">
        <v>0</v>
      </c>
      <c r="BT70" s="10">
        <v>0</v>
      </c>
      <c r="BU70" s="10">
        <v>0</v>
      </c>
      <c r="BV70" s="10">
        <v>0</v>
      </c>
      <c r="BW70" s="10">
        <v>0</v>
      </c>
      <c r="BX70" s="10">
        <v>0</v>
      </c>
      <c r="BY70" s="10">
        <v>0</v>
      </c>
      <c r="BZ70" s="10">
        <v>0</v>
      </c>
      <c r="CA70" s="10">
        <v>0</v>
      </c>
      <c r="CB70" s="10">
        <v>0</v>
      </c>
      <c r="CC70" s="10">
        <v>0</v>
      </c>
      <c r="CD70" s="10">
        <v>0</v>
      </c>
      <c r="CE70" s="10">
        <v>0</v>
      </c>
      <c r="CF70" s="10">
        <v>0</v>
      </c>
      <c r="CG70" s="10">
        <v>0</v>
      </c>
      <c r="CH70" s="10">
        <v>0</v>
      </c>
      <c r="CI70" s="10">
        <v>0</v>
      </c>
      <c r="CJ70" s="10">
        <v>0</v>
      </c>
      <c r="CK70" s="10">
        <v>0</v>
      </c>
      <c r="CL70" s="10">
        <v>0</v>
      </c>
      <c r="CM70" s="10">
        <v>0</v>
      </c>
      <c r="CN70" s="10">
        <v>0</v>
      </c>
      <c r="CO70" s="10">
        <v>0</v>
      </c>
      <c r="CP70" s="10">
        <v>0</v>
      </c>
      <c r="CQ70" s="10">
        <v>0</v>
      </c>
      <c r="CR70" s="10">
        <v>0</v>
      </c>
      <c r="CS70" s="10">
        <v>8</v>
      </c>
      <c r="CT70" s="10">
        <v>8</v>
      </c>
      <c r="CU70" s="10">
        <v>0</v>
      </c>
      <c r="CV70" s="10">
        <v>0</v>
      </c>
      <c r="CW70" s="10">
        <v>0</v>
      </c>
      <c r="CX70" s="10">
        <v>0</v>
      </c>
      <c r="CY70" s="10">
        <v>1</v>
      </c>
      <c r="CZ70" s="10">
        <v>1</v>
      </c>
      <c r="DA70" s="10" t="str">
        <v/>
      </c>
      <c r="DB70" s="10" t="str">
        <v/>
      </c>
      <c r="DC70" s="10" t="str">
        <v/>
      </c>
      <c r="DD70" s="10" t="str">
        <v/>
      </c>
      <c r="DE70" s="10">
        <v>0</v>
      </c>
      <c r="DF70" s="10">
        <v>0</v>
      </c>
      <c r="DG70" s="10">
        <v>0</v>
      </c>
      <c r="DH70" s="10">
        <v>0</v>
      </c>
      <c r="DI70" s="10">
        <v>0</v>
      </c>
      <c r="DJ70" s="10">
        <v>0</v>
      </c>
      <c r="DK70" s="10" t="str">
        <v/>
      </c>
      <c r="DL70" s="10">
        <v>0</v>
      </c>
    </row>
    <row r="71" spans="1:116" ht="21" customHeight="1" x14ac:dyDescent="0.3">
      <c r="A71" s="71" t="str">
        <v>陨石</v>
      </c>
      <c r="B71" s="82">
        <v>6114</v>
      </c>
      <c r="C71" s="82" t="str">
        <v>普通+魔</v>
      </c>
      <c r="D71" s="71" t="str">
        <v>是</v>
      </c>
      <c r="E71" s="75">
        <v>61.05</v>
      </c>
      <c r="F71" s="75">
        <v>61.05</v>
      </c>
      <c r="G71" s="77" t="str">
        <v>7</v>
      </c>
      <c r="H71" s="100" t="str">
        <v>无</v>
      </c>
      <c r="I71" s="75">
        <v>180</v>
      </c>
      <c r="J71" s="76">
        <v>4116</v>
      </c>
      <c r="K71" s="76">
        <v>1998</v>
      </c>
      <c r="L71" s="76">
        <v>0</v>
      </c>
      <c r="M71" s="76">
        <v>0</v>
      </c>
      <c r="N71" s="76">
        <v>0</v>
      </c>
      <c r="O71" s="76">
        <v>1</v>
      </c>
      <c r="P71" s="10">
        <v>47000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47000</v>
      </c>
      <c r="W71" s="10">
        <v>0</v>
      </c>
      <c r="X71" s="10">
        <v>0</v>
      </c>
      <c r="Y71" s="10">
        <v>6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 t="str">
        <v>普通</v>
      </c>
      <c r="AF71" s="10" t="str">
        <v>无</v>
      </c>
      <c r="AG71" s="10" t="str">
        <v>无</v>
      </c>
      <c r="AH71" s="10" t="str">
        <v>无</v>
      </c>
      <c r="AI71" s="10" t="str">
        <v>无</v>
      </c>
      <c r="AJ71" s="10" t="str">
        <v>无</v>
      </c>
      <c r="AK71" s="10">
        <v>774.00000000000011</v>
      </c>
      <c r="AL71" s="10">
        <v>0</v>
      </c>
      <c r="AM71" s="10">
        <v>0</v>
      </c>
      <c r="AN71" s="10">
        <v>0</v>
      </c>
      <c r="AO71" s="10">
        <v>0</v>
      </c>
      <c r="AP71" s="10">
        <v>0</v>
      </c>
      <c r="AQ71" s="10">
        <v>4116</v>
      </c>
      <c r="AR71" s="10">
        <v>0</v>
      </c>
      <c r="AS71" s="10">
        <v>0</v>
      </c>
      <c r="AT71" s="10">
        <v>0</v>
      </c>
      <c r="AU71" s="10">
        <v>0</v>
      </c>
      <c r="AV71" s="10">
        <v>0</v>
      </c>
      <c r="AW71" s="10">
        <v>430.00000000000006</v>
      </c>
      <c r="AX71" s="10">
        <v>0</v>
      </c>
      <c r="AY71" s="10">
        <v>0</v>
      </c>
      <c r="AZ71" s="10">
        <v>0</v>
      </c>
      <c r="BA71" s="10">
        <v>0</v>
      </c>
      <c r="BB71" s="10">
        <v>0</v>
      </c>
      <c r="BC71" s="10">
        <v>1998</v>
      </c>
      <c r="BD71" s="10">
        <v>0</v>
      </c>
      <c r="BE71" s="10">
        <v>0</v>
      </c>
      <c r="BF71" s="10">
        <v>0</v>
      </c>
      <c r="BG71" s="10">
        <v>0</v>
      </c>
      <c r="BH71" s="10">
        <v>0</v>
      </c>
      <c r="BI71" s="10">
        <v>0</v>
      </c>
      <c r="BJ71" s="10">
        <v>0</v>
      </c>
      <c r="BK71" s="10">
        <v>0</v>
      </c>
      <c r="BL71" s="10">
        <v>0</v>
      </c>
      <c r="BM71" s="10">
        <v>0</v>
      </c>
      <c r="BN71" s="10">
        <v>0</v>
      </c>
      <c r="BO71" s="10">
        <v>0</v>
      </c>
      <c r="BP71" s="10">
        <v>0</v>
      </c>
      <c r="BQ71" s="10">
        <v>0</v>
      </c>
      <c r="BR71" s="10">
        <v>0</v>
      </c>
      <c r="BS71" s="10">
        <v>0</v>
      </c>
      <c r="BT71" s="10">
        <v>0</v>
      </c>
      <c r="BU71" s="10">
        <v>0</v>
      </c>
      <c r="BV71" s="10">
        <v>0</v>
      </c>
      <c r="BW71" s="10">
        <v>0</v>
      </c>
      <c r="BX71" s="10">
        <v>0</v>
      </c>
      <c r="BY71" s="10">
        <v>0</v>
      </c>
      <c r="BZ71" s="10">
        <v>0</v>
      </c>
      <c r="CA71" s="10">
        <v>0</v>
      </c>
      <c r="CB71" s="10">
        <v>0</v>
      </c>
      <c r="CC71" s="10">
        <v>0</v>
      </c>
      <c r="CD71" s="10">
        <v>0</v>
      </c>
      <c r="CE71" s="10">
        <v>0</v>
      </c>
      <c r="CF71" s="10">
        <v>0</v>
      </c>
      <c r="CG71" s="10">
        <v>0</v>
      </c>
      <c r="CH71" s="10">
        <v>0</v>
      </c>
      <c r="CI71" s="10">
        <v>0</v>
      </c>
      <c r="CJ71" s="10">
        <v>0</v>
      </c>
      <c r="CK71" s="10">
        <v>0</v>
      </c>
      <c r="CL71" s="10">
        <v>0</v>
      </c>
      <c r="CM71" s="10">
        <v>0</v>
      </c>
      <c r="CN71" s="10">
        <v>0</v>
      </c>
      <c r="CO71" s="10">
        <v>0</v>
      </c>
      <c r="CP71" s="10">
        <v>0</v>
      </c>
      <c r="CQ71" s="10">
        <v>0</v>
      </c>
      <c r="CR71" s="10">
        <v>0</v>
      </c>
      <c r="CS71" s="10">
        <v>10.175000000000001</v>
      </c>
      <c r="CT71" s="10">
        <v>0</v>
      </c>
      <c r="CU71" s="10">
        <v>0</v>
      </c>
      <c r="CV71" s="10">
        <v>0</v>
      </c>
      <c r="CW71" s="10">
        <v>0</v>
      </c>
      <c r="CX71" s="10">
        <v>0</v>
      </c>
      <c r="CY71" s="10">
        <v>7</v>
      </c>
      <c r="CZ71" s="10" t="str">
        <v/>
      </c>
      <c r="DA71" s="10" t="str">
        <v/>
      </c>
      <c r="DB71" s="10" t="str">
        <v/>
      </c>
      <c r="DC71" s="10" t="str">
        <v/>
      </c>
      <c r="DD71" s="10" t="str">
        <v/>
      </c>
      <c r="DE71" s="10">
        <v>0</v>
      </c>
      <c r="DF71" s="10">
        <v>0</v>
      </c>
      <c r="DG71" s="10">
        <v>0</v>
      </c>
      <c r="DH71" s="10">
        <v>0</v>
      </c>
      <c r="DI71" s="10">
        <v>0</v>
      </c>
      <c r="DJ71" s="10">
        <v>0</v>
      </c>
      <c r="DK71" s="10" t="str">
        <v/>
      </c>
      <c r="DL71" s="10">
        <v>0</v>
      </c>
    </row>
    <row r="72" spans="1:116" ht="21" customHeight="1" x14ac:dyDescent="0.3">
      <c r="A72" s="71" t="str">
        <v>艾丝缇陨石</v>
      </c>
      <c r="B72" s="82">
        <v>6378</v>
      </c>
      <c r="C72" s="82" t="str">
        <v>普通+魔</v>
      </c>
      <c r="D72" s="71" t="str">
        <v>是</v>
      </c>
      <c r="E72" s="75">
        <v>61.05</v>
      </c>
      <c r="F72" s="75">
        <v>61.05</v>
      </c>
      <c r="G72" s="77" t="str">
        <v>7</v>
      </c>
      <c r="H72" s="100" t="str">
        <v>无</v>
      </c>
      <c r="I72" s="75">
        <v>360</v>
      </c>
      <c r="J72" s="76">
        <v>4248</v>
      </c>
      <c r="K72" s="76">
        <v>2130</v>
      </c>
      <c r="L72" s="76">
        <v>0</v>
      </c>
      <c r="M72" s="76">
        <v>0</v>
      </c>
      <c r="N72" s="76">
        <v>0</v>
      </c>
      <c r="O72" s="76">
        <v>1</v>
      </c>
      <c r="P72" s="10">
        <v>47010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47010</v>
      </c>
      <c r="W72" s="10">
        <v>0</v>
      </c>
      <c r="X72" s="10">
        <v>0</v>
      </c>
      <c r="Y72" s="10">
        <v>6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 t="str">
        <v>普通</v>
      </c>
      <c r="AF72" s="10" t="str">
        <v>无</v>
      </c>
      <c r="AG72" s="10" t="str">
        <v>无</v>
      </c>
      <c r="AH72" s="10" t="str">
        <v>无</v>
      </c>
      <c r="AI72" s="10" t="str">
        <v>无</v>
      </c>
      <c r="AJ72" s="10" t="str">
        <v>无</v>
      </c>
      <c r="AK72" s="10">
        <v>795.50000000000011</v>
      </c>
      <c r="AL72" s="10">
        <v>0</v>
      </c>
      <c r="AM72" s="10">
        <v>0</v>
      </c>
      <c r="AN72" s="10">
        <v>0</v>
      </c>
      <c r="AO72" s="10">
        <v>0</v>
      </c>
      <c r="AP72" s="10">
        <v>0</v>
      </c>
      <c r="AQ72" s="10">
        <v>4248</v>
      </c>
      <c r="AR72" s="10">
        <v>0</v>
      </c>
      <c r="AS72" s="10">
        <v>0</v>
      </c>
      <c r="AT72" s="10">
        <v>0</v>
      </c>
      <c r="AU72" s="10">
        <v>0</v>
      </c>
      <c r="AV72" s="10">
        <v>0</v>
      </c>
      <c r="AW72" s="10">
        <v>451.50000000000006</v>
      </c>
      <c r="AX72" s="10">
        <v>0</v>
      </c>
      <c r="AY72" s="10">
        <v>0</v>
      </c>
      <c r="AZ72" s="10">
        <v>0</v>
      </c>
      <c r="BA72" s="10">
        <v>0</v>
      </c>
      <c r="BB72" s="10">
        <v>0</v>
      </c>
      <c r="BC72" s="10">
        <v>2130</v>
      </c>
      <c r="BD72" s="10">
        <v>0</v>
      </c>
      <c r="BE72" s="10">
        <v>0</v>
      </c>
      <c r="BF72" s="10">
        <v>0</v>
      </c>
      <c r="BG72" s="10">
        <v>0</v>
      </c>
      <c r="BH72" s="10">
        <v>0</v>
      </c>
      <c r="BI72" s="10">
        <v>0</v>
      </c>
      <c r="BJ72" s="10">
        <v>0</v>
      </c>
      <c r="BK72" s="10">
        <v>0</v>
      </c>
      <c r="BL72" s="10">
        <v>0</v>
      </c>
      <c r="BM72" s="10">
        <v>0</v>
      </c>
      <c r="BN72" s="10">
        <v>0</v>
      </c>
      <c r="BO72" s="10">
        <v>0</v>
      </c>
      <c r="BP72" s="10">
        <v>0</v>
      </c>
      <c r="BQ72" s="10">
        <v>0</v>
      </c>
      <c r="BR72" s="10">
        <v>0</v>
      </c>
      <c r="BS72" s="10">
        <v>0</v>
      </c>
      <c r="BT72" s="10">
        <v>0</v>
      </c>
      <c r="BU72" s="10">
        <v>0</v>
      </c>
      <c r="BV72" s="10">
        <v>0</v>
      </c>
      <c r="BW72" s="10">
        <v>0</v>
      </c>
      <c r="BX72" s="10">
        <v>0</v>
      </c>
      <c r="BY72" s="10">
        <v>0</v>
      </c>
      <c r="BZ72" s="10">
        <v>0</v>
      </c>
      <c r="CA72" s="10">
        <v>0</v>
      </c>
      <c r="CB72" s="10">
        <v>0</v>
      </c>
      <c r="CC72" s="10">
        <v>0</v>
      </c>
      <c r="CD72" s="10">
        <v>0</v>
      </c>
      <c r="CE72" s="10">
        <v>0</v>
      </c>
      <c r="CF72" s="10">
        <v>0</v>
      </c>
      <c r="CG72" s="10">
        <v>0</v>
      </c>
      <c r="CH72" s="10">
        <v>0</v>
      </c>
      <c r="CI72" s="10">
        <v>0</v>
      </c>
      <c r="CJ72" s="10">
        <v>0</v>
      </c>
      <c r="CK72" s="10">
        <v>0</v>
      </c>
      <c r="CL72" s="10">
        <v>0</v>
      </c>
      <c r="CM72" s="10">
        <v>0</v>
      </c>
      <c r="CN72" s="10">
        <v>0</v>
      </c>
      <c r="CO72" s="10">
        <v>0</v>
      </c>
      <c r="CP72" s="10">
        <v>0</v>
      </c>
      <c r="CQ72" s="10">
        <v>0</v>
      </c>
      <c r="CR72" s="10">
        <v>0</v>
      </c>
      <c r="CS72" s="10">
        <v>10.175000000000001</v>
      </c>
      <c r="CT72" s="10">
        <v>0</v>
      </c>
      <c r="CU72" s="10">
        <v>0</v>
      </c>
      <c r="CV72" s="10">
        <v>0</v>
      </c>
      <c r="CW72" s="10">
        <v>0</v>
      </c>
      <c r="CX72" s="10">
        <v>0</v>
      </c>
      <c r="CY72" s="10">
        <v>7</v>
      </c>
      <c r="CZ72" s="10" t="str">
        <v/>
      </c>
      <c r="DA72" s="10" t="str">
        <v/>
      </c>
      <c r="DB72" s="10" t="str">
        <v/>
      </c>
      <c r="DC72" s="10" t="str">
        <v/>
      </c>
      <c r="DD72" s="10" t="str">
        <v/>
      </c>
      <c r="DE72" s="10">
        <v>0</v>
      </c>
      <c r="DF72" s="10">
        <v>0</v>
      </c>
      <c r="DG72" s="10">
        <v>0</v>
      </c>
      <c r="DH72" s="10">
        <v>0</v>
      </c>
      <c r="DI72" s="10">
        <v>0</v>
      </c>
      <c r="DJ72" s="10">
        <v>0</v>
      </c>
      <c r="DK72" s="10" t="str">
        <v/>
      </c>
      <c r="DL72" s="10">
        <v>0</v>
      </c>
    </row>
    <row r="73" spans="1:116" ht="21" customHeight="1" x14ac:dyDescent="0.3">
      <c r="A73" s="71" t="str">
        <v>辉石指爪</v>
      </c>
      <c r="B73" s="82">
        <v>1197</v>
      </c>
      <c r="C73" s="82" t="str">
        <v>魔</v>
      </c>
      <c r="D73" s="71" t="str">
        <v>是</v>
      </c>
      <c r="E73" s="75">
        <v>5</v>
      </c>
      <c r="F73" s="75">
        <v>5</v>
      </c>
      <c r="G73" s="77" t="str">
        <v>1</v>
      </c>
      <c r="H73" s="100" t="str">
        <v>无</v>
      </c>
      <c r="I73" s="75">
        <v>10</v>
      </c>
      <c r="J73" s="76">
        <v>0</v>
      </c>
      <c r="K73" s="76">
        <v>1197</v>
      </c>
      <c r="L73" s="76">
        <v>0</v>
      </c>
      <c r="M73" s="76">
        <v>0</v>
      </c>
      <c r="N73" s="76">
        <v>0</v>
      </c>
      <c r="O73" s="76">
        <v>1.1499999999999999</v>
      </c>
      <c r="P73" s="10">
        <v>210450050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1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 t="str">
        <v>无</v>
      </c>
      <c r="AF73" s="10" t="str">
        <v>无</v>
      </c>
      <c r="AG73" s="10" t="str">
        <v>无</v>
      </c>
      <c r="AH73" s="10" t="str">
        <v>无</v>
      </c>
      <c r="AI73" s="10" t="str">
        <v>无</v>
      </c>
      <c r="AJ73" s="10" t="str">
        <v>无</v>
      </c>
      <c r="AK73" s="10">
        <v>0</v>
      </c>
      <c r="AL73" s="10">
        <v>0</v>
      </c>
      <c r="AM73" s="10">
        <v>0</v>
      </c>
      <c r="AN73" s="10">
        <v>0</v>
      </c>
      <c r="AO73" s="10">
        <v>0</v>
      </c>
      <c r="AP73" s="10">
        <v>0</v>
      </c>
      <c r="AQ73" s="10">
        <v>0</v>
      </c>
      <c r="AR73" s="10">
        <v>0</v>
      </c>
      <c r="AS73" s="10">
        <v>0</v>
      </c>
      <c r="AT73" s="10">
        <v>0</v>
      </c>
      <c r="AU73" s="10">
        <v>0</v>
      </c>
      <c r="AV73" s="10">
        <v>0</v>
      </c>
      <c r="AW73" s="10">
        <v>1156.7000000000003</v>
      </c>
      <c r="AX73" s="10">
        <v>0</v>
      </c>
      <c r="AY73" s="10">
        <v>0</v>
      </c>
      <c r="AZ73" s="10">
        <v>0</v>
      </c>
      <c r="BA73" s="10">
        <v>0</v>
      </c>
      <c r="BB73" s="10">
        <v>0</v>
      </c>
      <c r="BC73" s="10">
        <v>1041</v>
      </c>
      <c r="BD73" s="10">
        <v>0</v>
      </c>
      <c r="BE73" s="10">
        <v>0</v>
      </c>
      <c r="BF73" s="10">
        <v>0</v>
      </c>
      <c r="BG73" s="10">
        <v>0</v>
      </c>
      <c r="BH73" s="10">
        <v>0</v>
      </c>
      <c r="BI73" s="10">
        <v>0</v>
      </c>
      <c r="BJ73" s="10">
        <v>0</v>
      </c>
      <c r="BK73" s="10">
        <v>0</v>
      </c>
      <c r="BL73" s="10">
        <v>0</v>
      </c>
      <c r="BM73" s="10">
        <v>0</v>
      </c>
      <c r="BN73" s="10">
        <v>0</v>
      </c>
      <c r="BO73" s="10">
        <v>0</v>
      </c>
      <c r="BP73" s="10">
        <v>0</v>
      </c>
      <c r="BQ73" s="10">
        <v>0</v>
      </c>
      <c r="BR73" s="10">
        <v>0</v>
      </c>
      <c r="BS73" s="10">
        <v>0</v>
      </c>
      <c r="BT73" s="10">
        <v>0</v>
      </c>
      <c r="BU73" s="10">
        <v>0</v>
      </c>
      <c r="BV73" s="10">
        <v>0</v>
      </c>
      <c r="BW73" s="10">
        <v>0</v>
      </c>
      <c r="BX73" s="10">
        <v>0</v>
      </c>
      <c r="BY73" s="10">
        <v>0</v>
      </c>
      <c r="BZ73" s="10">
        <v>0</v>
      </c>
      <c r="CA73" s="10">
        <v>0</v>
      </c>
      <c r="CB73" s="10">
        <v>0</v>
      </c>
      <c r="CC73" s="10">
        <v>0</v>
      </c>
      <c r="CD73" s="10">
        <v>0</v>
      </c>
      <c r="CE73" s="10">
        <v>0</v>
      </c>
      <c r="CF73" s="10">
        <v>0</v>
      </c>
      <c r="CG73" s="10">
        <v>0</v>
      </c>
      <c r="CH73" s="10">
        <v>0</v>
      </c>
      <c r="CI73" s="10">
        <v>0</v>
      </c>
      <c r="CJ73" s="10">
        <v>0</v>
      </c>
      <c r="CK73" s="10">
        <v>0</v>
      </c>
      <c r="CL73" s="10">
        <v>0</v>
      </c>
      <c r="CM73" s="10">
        <v>0</v>
      </c>
      <c r="CN73" s="10">
        <v>0</v>
      </c>
      <c r="CO73" s="10">
        <v>0</v>
      </c>
      <c r="CP73" s="10">
        <v>0</v>
      </c>
      <c r="CQ73" s="10">
        <v>0</v>
      </c>
      <c r="CR73" s="10">
        <v>0</v>
      </c>
      <c r="CS73" s="10">
        <v>5</v>
      </c>
      <c r="CT73" s="10">
        <v>0</v>
      </c>
      <c r="CU73" s="10">
        <v>0</v>
      </c>
      <c r="CV73" s="10">
        <v>0</v>
      </c>
      <c r="CW73" s="10">
        <v>0</v>
      </c>
      <c r="CX73" s="10">
        <v>0</v>
      </c>
      <c r="CY73" s="10">
        <v>1</v>
      </c>
      <c r="CZ73" s="10" t="str">
        <v/>
      </c>
      <c r="DA73" s="10" t="str">
        <v/>
      </c>
      <c r="DB73" s="10" t="str">
        <v/>
      </c>
      <c r="DC73" s="10" t="str">
        <v/>
      </c>
      <c r="DD73" s="10" t="str">
        <v/>
      </c>
      <c r="DE73" s="10">
        <v>0</v>
      </c>
      <c r="DF73" s="10">
        <v>0</v>
      </c>
      <c r="DG73" s="10">
        <v>0</v>
      </c>
      <c r="DH73" s="10">
        <v>0</v>
      </c>
      <c r="DI73" s="10">
        <v>0</v>
      </c>
      <c r="DJ73" s="10">
        <v>0</v>
      </c>
      <c r="DK73" s="10" t="str">
        <v/>
      </c>
      <c r="DL73" s="10">
        <v>0</v>
      </c>
    </row>
    <row r="74" spans="1:116" ht="21" customHeight="1" x14ac:dyDescent="0.3">
      <c r="A74" s="71" t="str">
        <v>辉石繁指爪</v>
      </c>
      <c r="B74" s="82">
        <v>1593</v>
      </c>
      <c r="C74" s="82" t="str">
        <v>魔</v>
      </c>
      <c r="D74" s="71" t="str">
        <v>是</v>
      </c>
      <c r="E74" s="75">
        <v>24</v>
      </c>
      <c r="F74" s="75">
        <v>24</v>
      </c>
      <c r="G74" s="77" t="str">
        <v>1</v>
      </c>
      <c r="H74" s="100" t="str">
        <v>无</v>
      </c>
      <c r="I74" s="75">
        <v>23</v>
      </c>
      <c r="J74" s="76">
        <v>0</v>
      </c>
      <c r="K74" s="76">
        <v>1593</v>
      </c>
      <c r="L74" s="76">
        <v>0</v>
      </c>
      <c r="M74" s="76">
        <v>0</v>
      </c>
      <c r="N74" s="76">
        <v>0</v>
      </c>
      <c r="O74" s="76">
        <v>1.1499999999999999</v>
      </c>
      <c r="P74" s="10">
        <v>210451050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6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 t="str">
        <v>无</v>
      </c>
      <c r="AF74" s="10" t="str">
        <v>无</v>
      </c>
      <c r="AG74" s="10" t="str">
        <v>无</v>
      </c>
      <c r="AH74" s="10" t="str">
        <v>无</v>
      </c>
      <c r="AI74" s="10" t="str">
        <v>无</v>
      </c>
      <c r="AJ74" s="10" t="str">
        <v>无</v>
      </c>
      <c r="AK74" s="10">
        <v>0</v>
      </c>
      <c r="AL74" s="10">
        <v>0</v>
      </c>
      <c r="AM74" s="10">
        <v>0</v>
      </c>
      <c r="AN74" s="10">
        <v>0</v>
      </c>
      <c r="AO74" s="10">
        <v>0</v>
      </c>
      <c r="AP74" s="10">
        <v>0</v>
      </c>
      <c r="AQ74" s="10">
        <v>0</v>
      </c>
      <c r="AR74" s="10">
        <v>0</v>
      </c>
      <c r="AS74" s="10">
        <v>0</v>
      </c>
      <c r="AT74" s="10">
        <v>0</v>
      </c>
      <c r="AU74" s="10">
        <v>0</v>
      </c>
      <c r="AV74" s="10">
        <v>0</v>
      </c>
      <c r="AW74" s="10">
        <v>322.50000000000006</v>
      </c>
      <c r="AX74" s="10">
        <v>0</v>
      </c>
      <c r="AY74" s="10">
        <v>0</v>
      </c>
      <c r="AZ74" s="10">
        <v>0</v>
      </c>
      <c r="BA74" s="10">
        <v>0</v>
      </c>
      <c r="BB74" s="10">
        <v>0</v>
      </c>
      <c r="BC74" s="10">
        <v>1386</v>
      </c>
      <c r="BD74" s="10">
        <v>0</v>
      </c>
      <c r="BE74" s="10">
        <v>0</v>
      </c>
      <c r="BF74" s="10">
        <v>0</v>
      </c>
      <c r="BG74" s="10">
        <v>0</v>
      </c>
      <c r="BH74" s="10">
        <v>0</v>
      </c>
      <c r="BI74" s="10">
        <v>0</v>
      </c>
      <c r="BJ74" s="10">
        <v>0</v>
      </c>
      <c r="BK74" s="10">
        <v>0</v>
      </c>
      <c r="BL74" s="10">
        <v>0</v>
      </c>
      <c r="BM74" s="10">
        <v>0</v>
      </c>
      <c r="BN74" s="10">
        <v>0</v>
      </c>
      <c r="BO74" s="10">
        <v>0</v>
      </c>
      <c r="BP74" s="10">
        <v>0</v>
      </c>
      <c r="BQ74" s="10">
        <v>0</v>
      </c>
      <c r="BR74" s="10">
        <v>0</v>
      </c>
      <c r="BS74" s="10">
        <v>0</v>
      </c>
      <c r="BT74" s="10">
        <v>0</v>
      </c>
      <c r="BU74" s="10">
        <v>0</v>
      </c>
      <c r="BV74" s="10">
        <v>0</v>
      </c>
      <c r="BW74" s="10">
        <v>0</v>
      </c>
      <c r="BX74" s="10">
        <v>0</v>
      </c>
      <c r="BY74" s="10">
        <v>0</v>
      </c>
      <c r="BZ74" s="10">
        <v>0</v>
      </c>
      <c r="CA74" s="10">
        <v>0</v>
      </c>
      <c r="CB74" s="10">
        <v>0</v>
      </c>
      <c r="CC74" s="10">
        <v>0</v>
      </c>
      <c r="CD74" s="10">
        <v>0</v>
      </c>
      <c r="CE74" s="10">
        <v>0</v>
      </c>
      <c r="CF74" s="10">
        <v>0</v>
      </c>
      <c r="CG74" s="10">
        <v>0</v>
      </c>
      <c r="CH74" s="10">
        <v>0</v>
      </c>
      <c r="CI74" s="10">
        <v>0</v>
      </c>
      <c r="CJ74" s="10">
        <v>0</v>
      </c>
      <c r="CK74" s="10">
        <v>0</v>
      </c>
      <c r="CL74" s="10">
        <v>0</v>
      </c>
      <c r="CM74" s="10">
        <v>0</v>
      </c>
      <c r="CN74" s="10">
        <v>0</v>
      </c>
      <c r="CO74" s="10">
        <v>0</v>
      </c>
      <c r="CP74" s="10">
        <v>0</v>
      </c>
      <c r="CQ74" s="10">
        <v>0</v>
      </c>
      <c r="CR74" s="10">
        <v>0</v>
      </c>
      <c r="CS74" s="10">
        <v>4</v>
      </c>
      <c r="CT74" s="10">
        <v>0</v>
      </c>
      <c r="CU74" s="10">
        <v>0</v>
      </c>
      <c r="CV74" s="10">
        <v>0</v>
      </c>
      <c r="CW74" s="10">
        <v>0</v>
      </c>
      <c r="CX74" s="10">
        <v>0</v>
      </c>
      <c r="CY74" s="10">
        <v>1</v>
      </c>
      <c r="CZ74" s="10" t="str">
        <v/>
      </c>
      <c r="DA74" s="10" t="str">
        <v/>
      </c>
      <c r="DB74" s="10" t="str">
        <v/>
      </c>
      <c r="DC74" s="10" t="str">
        <v/>
      </c>
      <c r="DD74" s="10" t="str">
        <v/>
      </c>
      <c r="DE74" s="10">
        <v>0</v>
      </c>
      <c r="DF74" s="10">
        <v>0</v>
      </c>
      <c r="DG74" s="10">
        <v>0</v>
      </c>
      <c r="DH74" s="10">
        <v>0</v>
      </c>
      <c r="DI74" s="10">
        <v>0</v>
      </c>
      <c r="DJ74" s="10">
        <v>0</v>
      </c>
      <c r="DK74" s="10" t="str">
        <v/>
      </c>
      <c r="DL74" s="10">
        <v>0</v>
      </c>
    </row>
    <row r="75" spans="1:116" ht="21" customHeight="1" x14ac:dyDescent="0.3">
      <c r="A75" s="71" t="str">
        <v>虚幻小宇宙</v>
      </c>
      <c r="B75" s="82">
        <v>1892</v>
      </c>
      <c r="C75" s="82" t="str">
        <v>魔</v>
      </c>
      <c r="D75" s="71" t="str">
        <v>是</v>
      </c>
      <c r="E75" s="75">
        <v>18</v>
      </c>
      <c r="F75" s="75">
        <v>18</v>
      </c>
      <c r="G75" s="77" t="str">
        <v>3+7</v>
      </c>
      <c r="H75" s="100" t="str">
        <v>无</v>
      </c>
      <c r="I75" s="75">
        <v>26</v>
      </c>
      <c r="J75" s="76">
        <v>0</v>
      </c>
      <c r="K75" s="76">
        <v>1892</v>
      </c>
      <c r="L75" s="76">
        <v>0</v>
      </c>
      <c r="M75" s="76">
        <v>0</v>
      </c>
      <c r="N75" s="76">
        <v>0</v>
      </c>
      <c r="O75" s="76">
        <v>1.1499999999999999</v>
      </c>
      <c r="P75" s="10">
        <v>210741050</v>
      </c>
      <c r="Q75" s="10">
        <v>210741051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1</v>
      </c>
      <c r="Z75" s="10">
        <v>1</v>
      </c>
      <c r="AA75" s="10">
        <v>0</v>
      </c>
      <c r="AB75" s="10">
        <v>0</v>
      </c>
      <c r="AC75" s="10">
        <v>0</v>
      </c>
      <c r="AD75" s="10">
        <v>0</v>
      </c>
      <c r="AE75" s="10" t="str">
        <v>无</v>
      </c>
      <c r="AF75" s="10" t="str">
        <v>无</v>
      </c>
      <c r="AG75" s="10" t="str">
        <v>无</v>
      </c>
      <c r="AH75" s="10" t="str">
        <v>无</v>
      </c>
      <c r="AI75" s="10" t="str">
        <v>无</v>
      </c>
      <c r="AJ75" s="10" t="str">
        <v>无</v>
      </c>
      <c r="AK75" s="10">
        <v>0</v>
      </c>
      <c r="AL75" s="10">
        <v>0</v>
      </c>
      <c r="AM75" s="10">
        <v>0</v>
      </c>
      <c r="AN75" s="10">
        <v>0</v>
      </c>
      <c r="AO75" s="10">
        <v>0</v>
      </c>
      <c r="AP75" s="10">
        <v>0</v>
      </c>
      <c r="AQ75" s="10">
        <v>0</v>
      </c>
      <c r="AR75" s="10">
        <v>0</v>
      </c>
      <c r="AS75" s="10">
        <v>0</v>
      </c>
      <c r="AT75" s="10">
        <v>0</v>
      </c>
      <c r="AU75" s="10">
        <v>0</v>
      </c>
      <c r="AV75" s="10">
        <v>0</v>
      </c>
      <c r="AW75" s="10">
        <v>688.00000000000011</v>
      </c>
      <c r="AX75" s="10">
        <v>1165.3000000000002</v>
      </c>
      <c r="AY75" s="10">
        <v>0</v>
      </c>
      <c r="AZ75" s="10">
        <v>0</v>
      </c>
      <c r="BA75" s="10">
        <v>0</v>
      </c>
      <c r="BB75" s="10">
        <v>0</v>
      </c>
      <c r="BC75" s="10">
        <v>598</v>
      </c>
      <c r="BD75" s="10">
        <v>1048</v>
      </c>
      <c r="BE75" s="10">
        <v>0</v>
      </c>
      <c r="BF75" s="10">
        <v>0</v>
      </c>
      <c r="BG75" s="10">
        <v>0</v>
      </c>
      <c r="BH75" s="10">
        <v>0</v>
      </c>
      <c r="BI75" s="10">
        <v>0</v>
      </c>
      <c r="BJ75" s="10">
        <v>0</v>
      </c>
      <c r="BK75" s="10">
        <v>0</v>
      </c>
      <c r="BL75" s="10">
        <v>0</v>
      </c>
      <c r="BM75" s="10">
        <v>0</v>
      </c>
      <c r="BN75" s="10">
        <v>0</v>
      </c>
      <c r="BO75" s="10">
        <v>0</v>
      </c>
      <c r="BP75" s="10">
        <v>0</v>
      </c>
      <c r="BQ75" s="10">
        <v>0</v>
      </c>
      <c r="BR75" s="10">
        <v>0</v>
      </c>
      <c r="BS75" s="10">
        <v>0</v>
      </c>
      <c r="BT75" s="10">
        <v>0</v>
      </c>
      <c r="BU75" s="10">
        <v>0</v>
      </c>
      <c r="BV75" s="10">
        <v>0</v>
      </c>
      <c r="BW75" s="10">
        <v>0</v>
      </c>
      <c r="BX75" s="10">
        <v>0</v>
      </c>
      <c r="BY75" s="10">
        <v>0</v>
      </c>
      <c r="BZ75" s="10">
        <v>0</v>
      </c>
      <c r="CA75" s="10">
        <v>0</v>
      </c>
      <c r="CB75" s="10">
        <v>0</v>
      </c>
      <c r="CC75" s="10">
        <v>0</v>
      </c>
      <c r="CD75" s="10">
        <v>0</v>
      </c>
      <c r="CE75" s="10">
        <v>0</v>
      </c>
      <c r="CF75" s="10">
        <v>0</v>
      </c>
      <c r="CG75" s="10">
        <v>0</v>
      </c>
      <c r="CH75" s="10">
        <v>0</v>
      </c>
      <c r="CI75" s="10">
        <v>0</v>
      </c>
      <c r="CJ75" s="10">
        <v>0</v>
      </c>
      <c r="CK75" s="10">
        <v>0</v>
      </c>
      <c r="CL75" s="10">
        <v>0</v>
      </c>
      <c r="CM75" s="10">
        <v>0</v>
      </c>
      <c r="CN75" s="10">
        <v>0</v>
      </c>
      <c r="CO75" s="10">
        <v>0</v>
      </c>
      <c r="CP75" s="10">
        <v>0</v>
      </c>
      <c r="CQ75" s="10">
        <v>0</v>
      </c>
      <c r="CR75" s="10">
        <v>0</v>
      </c>
      <c r="CS75" s="10">
        <v>7</v>
      </c>
      <c r="CT75" s="10">
        <v>11</v>
      </c>
      <c r="CU75" s="10">
        <v>0</v>
      </c>
      <c r="CV75" s="10">
        <v>0</v>
      </c>
      <c r="CW75" s="10">
        <v>0</v>
      </c>
      <c r="CX75" s="10">
        <v>0</v>
      </c>
      <c r="CY75" s="10">
        <v>3</v>
      </c>
      <c r="CZ75" s="10">
        <v>7</v>
      </c>
      <c r="DA75" s="10" t="str">
        <v/>
      </c>
      <c r="DB75" s="10" t="str">
        <v/>
      </c>
      <c r="DC75" s="10" t="str">
        <v/>
      </c>
      <c r="DD75" s="10" t="str">
        <v/>
      </c>
      <c r="DE75" s="10">
        <v>0</v>
      </c>
      <c r="DF75" s="10">
        <v>0</v>
      </c>
      <c r="DG75" s="10">
        <v>0</v>
      </c>
      <c r="DH75" s="10">
        <v>0</v>
      </c>
      <c r="DI75" s="10">
        <v>0</v>
      </c>
      <c r="DJ75" s="10">
        <v>0</v>
      </c>
      <c r="DK75" s="10" t="str">
        <v/>
      </c>
      <c r="DL75" s="10">
        <v>0</v>
      </c>
    </row>
    <row r="76" spans="1:116" ht="21" customHeight="1" x14ac:dyDescent="0.3">
      <c r="A76" s="71" t="str">
        <v>守护指头</v>
      </c>
      <c r="B76" s="82">
        <v>1543</v>
      </c>
      <c r="C76" s="82" t="str">
        <v>打击</v>
      </c>
      <c r="D76" s="71" t="str">
        <v>是</v>
      </c>
      <c r="E76" s="75">
        <v>15</v>
      </c>
      <c r="F76" s="75">
        <v>15</v>
      </c>
      <c r="G76" s="77" t="str">
        <v>7</v>
      </c>
      <c r="H76" s="100" t="str">
        <v>无</v>
      </c>
      <c r="I76" s="75">
        <v>20</v>
      </c>
      <c r="J76" s="76">
        <v>1543</v>
      </c>
      <c r="K76" s="76">
        <v>0</v>
      </c>
      <c r="L76" s="76">
        <v>0</v>
      </c>
      <c r="M76" s="76">
        <v>0</v>
      </c>
      <c r="N76" s="76">
        <v>0</v>
      </c>
      <c r="O76" s="76">
        <v>1.1499999999999999</v>
      </c>
      <c r="P76" s="10">
        <v>210742050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1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 t="str">
        <v>打击</v>
      </c>
      <c r="AF76" s="10" t="str">
        <v>无</v>
      </c>
      <c r="AG76" s="10" t="str">
        <v>无</v>
      </c>
      <c r="AH76" s="10" t="str">
        <v>无</v>
      </c>
      <c r="AI76" s="10" t="str">
        <v>无</v>
      </c>
      <c r="AJ76" s="10" t="str">
        <v>无</v>
      </c>
      <c r="AK76" s="10">
        <v>1492.1000000000001</v>
      </c>
      <c r="AL76" s="10">
        <v>0</v>
      </c>
      <c r="AM76" s="10">
        <v>0</v>
      </c>
      <c r="AN76" s="10">
        <v>0</v>
      </c>
      <c r="AO76" s="10">
        <v>0</v>
      </c>
      <c r="AP76" s="10">
        <v>0</v>
      </c>
      <c r="AQ76" s="10">
        <v>1342</v>
      </c>
      <c r="AR76" s="10">
        <v>0</v>
      </c>
      <c r="AS76" s="10">
        <v>0</v>
      </c>
      <c r="AT76" s="10">
        <v>0</v>
      </c>
      <c r="AU76" s="10">
        <v>0</v>
      </c>
      <c r="AV76" s="10">
        <v>0</v>
      </c>
      <c r="AW76" s="10">
        <v>0</v>
      </c>
      <c r="AX76" s="10">
        <v>0</v>
      </c>
      <c r="AY76" s="10">
        <v>0</v>
      </c>
      <c r="AZ76" s="10">
        <v>0</v>
      </c>
      <c r="BA76" s="10">
        <v>0</v>
      </c>
      <c r="BB76" s="10">
        <v>0</v>
      </c>
      <c r="BC76" s="10">
        <v>0</v>
      </c>
      <c r="BD76" s="10">
        <v>0</v>
      </c>
      <c r="BE76" s="10">
        <v>0</v>
      </c>
      <c r="BF76" s="10">
        <v>0</v>
      </c>
      <c r="BG76" s="10">
        <v>0</v>
      </c>
      <c r="BH76" s="10">
        <v>0</v>
      </c>
      <c r="BI76" s="10">
        <v>0</v>
      </c>
      <c r="BJ76" s="10">
        <v>0</v>
      </c>
      <c r="BK76" s="10">
        <v>0</v>
      </c>
      <c r="BL76" s="10">
        <v>0</v>
      </c>
      <c r="BM76" s="10">
        <v>0</v>
      </c>
      <c r="BN76" s="10">
        <v>0</v>
      </c>
      <c r="BO76" s="10">
        <v>0</v>
      </c>
      <c r="BP76" s="10">
        <v>0</v>
      </c>
      <c r="BQ76" s="10">
        <v>0</v>
      </c>
      <c r="BR76" s="10">
        <v>0</v>
      </c>
      <c r="BS76" s="10">
        <v>0</v>
      </c>
      <c r="BT76" s="10">
        <v>0</v>
      </c>
      <c r="BU76" s="10">
        <v>0</v>
      </c>
      <c r="BV76" s="10">
        <v>0</v>
      </c>
      <c r="BW76" s="10">
        <v>0</v>
      </c>
      <c r="BX76" s="10">
        <v>0</v>
      </c>
      <c r="BY76" s="10">
        <v>0</v>
      </c>
      <c r="BZ76" s="10">
        <v>0</v>
      </c>
      <c r="CA76" s="10">
        <v>0</v>
      </c>
      <c r="CB76" s="10">
        <v>0</v>
      </c>
      <c r="CC76" s="10">
        <v>0</v>
      </c>
      <c r="CD76" s="10">
        <v>0</v>
      </c>
      <c r="CE76" s="10">
        <v>0</v>
      </c>
      <c r="CF76" s="10">
        <v>0</v>
      </c>
      <c r="CG76" s="10">
        <v>0</v>
      </c>
      <c r="CH76" s="10">
        <v>0</v>
      </c>
      <c r="CI76" s="10">
        <v>0</v>
      </c>
      <c r="CJ76" s="10">
        <v>0</v>
      </c>
      <c r="CK76" s="10">
        <v>0</v>
      </c>
      <c r="CL76" s="10">
        <v>0</v>
      </c>
      <c r="CM76" s="10">
        <v>0</v>
      </c>
      <c r="CN76" s="10">
        <v>0</v>
      </c>
      <c r="CO76" s="10">
        <v>0</v>
      </c>
      <c r="CP76" s="10">
        <v>0</v>
      </c>
      <c r="CQ76" s="10">
        <v>0</v>
      </c>
      <c r="CR76" s="10">
        <v>0</v>
      </c>
      <c r="CS76" s="10">
        <v>15</v>
      </c>
      <c r="CT76" s="10">
        <v>0</v>
      </c>
      <c r="CU76" s="10">
        <v>0</v>
      </c>
      <c r="CV76" s="10">
        <v>0</v>
      </c>
      <c r="CW76" s="10">
        <v>0</v>
      </c>
      <c r="CX76" s="10">
        <v>0</v>
      </c>
      <c r="CY76" s="10">
        <v>7</v>
      </c>
      <c r="CZ76" s="10" t="str">
        <v/>
      </c>
      <c r="DA76" s="10" t="str">
        <v/>
      </c>
      <c r="DB76" s="10" t="str">
        <v/>
      </c>
      <c r="DC76" s="10" t="str">
        <v/>
      </c>
      <c r="DD76" s="10" t="str">
        <v/>
      </c>
      <c r="DE76" s="10">
        <v>0</v>
      </c>
      <c r="DF76" s="10">
        <v>0</v>
      </c>
      <c r="DG76" s="10">
        <v>0</v>
      </c>
      <c r="DH76" s="10">
        <v>0</v>
      </c>
      <c r="DI76" s="10">
        <v>0</v>
      </c>
      <c r="DJ76" s="10">
        <v>0</v>
      </c>
      <c r="DK76" s="10" t="str">
        <v/>
      </c>
      <c r="DL76" s="10">
        <v>0</v>
      </c>
    </row>
    <row r="77" spans="1:116" ht="21" customHeight="1" x14ac:dyDescent="0.3">
      <c r="A77" s="71" t="str">
        <v>神谕泡泡</v>
      </c>
      <c r="B77" s="82">
        <v>1755</v>
      </c>
      <c r="C77" s="82" t="str">
        <v>魔</v>
      </c>
      <c r="D77" s="71" t="str">
        <v>是</v>
      </c>
      <c r="E77" s="75">
        <v>31.5</v>
      </c>
      <c r="F77" s="75">
        <v>31.5</v>
      </c>
      <c r="G77" s="77" t="str">
        <v>1</v>
      </c>
      <c r="H77" s="100" t="str">
        <v>无</v>
      </c>
      <c r="I77" s="75">
        <v>12</v>
      </c>
      <c r="J77" s="76">
        <v>0</v>
      </c>
      <c r="K77" s="76">
        <v>1755</v>
      </c>
      <c r="L77" s="76">
        <v>0</v>
      </c>
      <c r="M77" s="76">
        <v>0</v>
      </c>
      <c r="N77" s="76">
        <v>0</v>
      </c>
      <c r="O77" s="76">
        <v>1</v>
      </c>
      <c r="P77" s="10">
        <v>51005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9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 t="str">
        <v>无</v>
      </c>
      <c r="AF77" s="10" t="str">
        <v>无</v>
      </c>
      <c r="AG77" s="10" t="str">
        <v>无</v>
      </c>
      <c r="AH77" s="10" t="str">
        <v>无</v>
      </c>
      <c r="AI77" s="10" t="str">
        <v>无</v>
      </c>
      <c r="AJ77" s="10" t="str">
        <v>无</v>
      </c>
      <c r="AK77" s="10">
        <v>0</v>
      </c>
      <c r="AL77" s="10">
        <v>0</v>
      </c>
      <c r="AM77" s="10">
        <v>0</v>
      </c>
      <c r="AN77" s="10">
        <v>0</v>
      </c>
      <c r="AO77" s="10">
        <v>0</v>
      </c>
      <c r="AP77" s="10">
        <v>0</v>
      </c>
      <c r="AQ77" s="10">
        <v>0</v>
      </c>
      <c r="AR77" s="10">
        <v>0</v>
      </c>
      <c r="AS77" s="10">
        <v>0</v>
      </c>
      <c r="AT77" s="10">
        <v>0</v>
      </c>
      <c r="AU77" s="10">
        <v>0</v>
      </c>
      <c r="AV77" s="10">
        <v>0</v>
      </c>
      <c r="AW77" s="10">
        <v>279.50000000000006</v>
      </c>
      <c r="AX77" s="10">
        <v>0</v>
      </c>
      <c r="AY77" s="10">
        <v>0</v>
      </c>
      <c r="AZ77" s="10">
        <v>0</v>
      </c>
      <c r="BA77" s="10">
        <v>0</v>
      </c>
      <c r="BB77" s="10">
        <v>0</v>
      </c>
      <c r="BC77" s="10">
        <v>1755</v>
      </c>
      <c r="BD77" s="10">
        <v>0</v>
      </c>
      <c r="BE77" s="10">
        <v>0</v>
      </c>
      <c r="BF77" s="10">
        <v>0</v>
      </c>
      <c r="BG77" s="10">
        <v>0</v>
      </c>
      <c r="BH77" s="10">
        <v>0</v>
      </c>
      <c r="BI77" s="10">
        <v>0</v>
      </c>
      <c r="BJ77" s="10">
        <v>0</v>
      </c>
      <c r="BK77" s="10">
        <v>0</v>
      </c>
      <c r="BL77" s="10">
        <v>0</v>
      </c>
      <c r="BM77" s="10">
        <v>0</v>
      </c>
      <c r="BN77" s="10">
        <v>0</v>
      </c>
      <c r="BO77" s="10">
        <v>0</v>
      </c>
      <c r="BP77" s="10">
        <v>0</v>
      </c>
      <c r="BQ77" s="10">
        <v>0</v>
      </c>
      <c r="BR77" s="10">
        <v>0</v>
      </c>
      <c r="BS77" s="10">
        <v>0</v>
      </c>
      <c r="BT77" s="10">
        <v>0</v>
      </c>
      <c r="BU77" s="10">
        <v>0</v>
      </c>
      <c r="BV77" s="10">
        <v>0</v>
      </c>
      <c r="BW77" s="10">
        <v>0</v>
      </c>
      <c r="BX77" s="10">
        <v>0</v>
      </c>
      <c r="BY77" s="10">
        <v>0</v>
      </c>
      <c r="BZ77" s="10">
        <v>0</v>
      </c>
      <c r="CA77" s="10">
        <v>0</v>
      </c>
      <c r="CB77" s="10">
        <v>0</v>
      </c>
      <c r="CC77" s="10">
        <v>0</v>
      </c>
      <c r="CD77" s="10">
        <v>0</v>
      </c>
      <c r="CE77" s="10">
        <v>0</v>
      </c>
      <c r="CF77" s="10">
        <v>0</v>
      </c>
      <c r="CG77" s="10">
        <v>0</v>
      </c>
      <c r="CH77" s="10">
        <v>0</v>
      </c>
      <c r="CI77" s="10">
        <v>0</v>
      </c>
      <c r="CJ77" s="10">
        <v>0</v>
      </c>
      <c r="CK77" s="10">
        <v>0</v>
      </c>
      <c r="CL77" s="10">
        <v>0</v>
      </c>
      <c r="CM77" s="10">
        <v>0</v>
      </c>
      <c r="CN77" s="10">
        <v>0</v>
      </c>
      <c r="CO77" s="10">
        <v>0</v>
      </c>
      <c r="CP77" s="10">
        <v>0</v>
      </c>
      <c r="CQ77" s="10">
        <v>0</v>
      </c>
      <c r="CR77" s="10">
        <v>0</v>
      </c>
      <c r="CS77" s="10">
        <v>3.5</v>
      </c>
      <c r="CT77" s="10">
        <v>0</v>
      </c>
      <c r="CU77" s="10">
        <v>0</v>
      </c>
      <c r="CV77" s="10">
        <v>0</v>
      </c>
      <c r="CW77" s="10">
        <v>0</v>
      </c>
      <c r="CX77" s="10">
        <v>0</v>
      </c>
      <c r="CY77" s="10">
        <v>1</v>
      </c>
      <c r="CZ77" s="10" t="str">
        <v/>
      </c>
      <c r="DA77" s="10" t="str">
        <v/>
      </c>
      <c r="DB77" s="10" t="str">
        <v/>
      </c>
      <c r="DC77" s="10" t="str">
        <v/>
      </c>
      <c r="DD77" s="10" t="str">
        <v/>
      </c>
      <c r="DE77" s="10">
        <v>0</v>
      </c>
      <c r="DF77" s="10">
        <v>0</v>
      </c>
      <c r="DG77" s="10">
        <v>0</v>
      </c>
      <c r="DH77" s="10">
        <v>0</v>
      </c>
      <c r="DI77" s="10">
        <v>0</v>
      </c>
      <c r="DJ77" s="10">
        <v>0</v>
      </c>
      <c r="DK77" s="10" t="str">
        <v/>
      </c>
      <c r="DL77" s="10">
        <v>0</v>
      </c>
    </row>
    <row r="78" spans="1:116" ht="21" customHeight="1" x14ac:dyDescent="0.3">
      <c r="A78" s="71" t="str">
        <v>神谕大泡泡</v>
      </c>
      <c r="B78" s="82">
        <v>1373</v>
      </c>
      <c r="C78" s="82" t="str">
        <v>魔</v>
      </c>
      <c r="D78" s="71" t="str">
        <v>是</v>
      </c>
      <c r="E78" s="75">
        <v>20</v>
      </c>
      <c r="F78" s="75">
        <v>20</v>
      </c>
      <c r="G78" s="77" t="str">
        <v>3</v>
      </c>
      <c r="H78" s="100" t="str">
        <v>无</v>
      </c>
      <c r="I78" s="75">
        <v>16</v>
      </c>
      <c r="J78" s="76">
        <v>0</v>
      </c>
      <c r="K78" s="76">
        <v>1373</v>
      </c>
      <c r="L78" s="76">
        <v>0</v>
      </c>
      <c r="M78" s="76">
        <v>0</v>
      </c>
      <c r="N78" s="76">
        <v>0</v>
      </c>
      <c r="O78" s="76">
        <v>1</v>
      </c>
      <c r="P78" s="10">
        <v>51015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1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 t="str">
        <v>无</v>
      </c>
      <c r="AF78" s="10" t="str">
        <v>无</v>
      </c>
      <c r="AG78" s="10" t="str">
        <v>无</v>
      </c>
      <c r="AH78" s="10" t="str">
        <v>无</v>
      </c>
      <c r="AI78" s="10" t="str">
        <v>无</v>
      </c>
      <c r="AJ78" s="10" t="str">
        <v>无</v>
      </c>
      <c r="AK78" s="10">
        <v>0</v>
      </c>
      <c r="AL78" s="10">
        <v>0</v>
      </c>
      <c r="AM78" s="10">
        <v>0</v>
      </c>
      <c r="AN78" s="10">
        <v>0</v>
      </c>
      <c r="AO78" s="10">
        <v>0</v>
      </c>
      <c r="AP78" s="10">
        <v>0</v>
      </c>
      <c r="AQ78" s="10">
        <v>0</v>
      </c>
      <c r="AR78" s="10">
        <v>0</v>
      </c>
      <c r="AS78" s="10">
        <v>0</v>
      </c>
      <c r="AT78" s="10">
        <v>0</v>
      </c>
      <c r="AU78" s="10">
        <v>0</v>
      </c>
      <c r="AV78" s="10">
        <v>0</v>
      </c>
      <c r="AW78" s="10">
        <v>1526.5000000000002</v>
      </c>
      <c r="AX78" s="10">
        <v>0</v>
      </c>
      <c r="AY78" s="10">
        <v>0</v>
      </c>
      <c r="AZ78" s="10">
        <v>0</v>
      </c>
      <c r="BA78" s="10">
        <v>0</v>
      </c>
      <c r="BB78" s="10">
        <v>0</v>
      </c>
      <c r="BC78" s="10">
        <v>1373</v>
      </c>
      <c r="BD78" s="10">
        <v>0</v>
      </c>
      <c r="BE78" s="10">
        <v>0</v>
      </c>
      <c r="BF78" s="10">
        <v>0</v>
      </c>
      <c r="BG78" s="10">
        <v>0</v>
      </c>
      <c r="BH78" s="10">
        <v>0</v>
      </c>
      <c r="BI78" s="10">
        <v>0</v>
      </c>
      <c r="BJ78" s="10">
        <v>0</v>
      </c>
      <c r="BK78" s="10">
        <v>0</v>
      </c>
      <c r="BL78" s="10">
        <v>0</v>
      </c>
      <c r="BM78" s="10">
        <v>0</v>
      </c>
      <c r="BN78" s="10">
        <v>0</v>
      </c>
      <c r="BO78" s="10">
        <v>0</v>
      </c>
      <c r="BP78" s="10">
        <v>0</v>
      </c>
      <c r="BQ78" s="10">
        <v>0</v>
      </c>
      <c r="BR78" s="10">
        <v>0</v>
      </c>
      <c r="BS78" s="10">
        <v>0</v>
      </c>
      <c r="BT78" s="10">
        <v>0</v>
      </c>
      <c r="BU78" s="10">
        <v>0</v>
      </c>
      <c r="BV78" s="10">
        <v>0</v>
      </c>
      <c r="BW78" s="10">
        <v>0</v>
      </c>
      <c r="BX78" s="10">
        <v>0</v>
      </c>
      <c r="BY78" s="10">
        <v>0</v>
      </c>
      <c r="BZ78" s="10">
        <v>0</v>
      </c>
      <c r="CA78" s="10">
        <v>0</v>
      </c>
      <c r="CB78" s="10">
        <v>0</v>
      </c>
      <c r="CC78" s="10">
        <v>0</v>
      </c>
      <c r="CD78" s="10">
        <v>0</v>
      </c>
      <c r="CE78" s="10">
        <v>0</v>
      </c>
      <c r="CF78" s="10">
        <v>0</v>
      </c>
      <c r="CG78" s="10">
        <v>0</v>
      </c>
      <c r="CH78" s="10">
        <v>0</v>
      </c>
      <c r="CI78" s="10">
        <v>0</v>
      </c>
      <c r="CJ78" s="10">
        <v>0</v>
      </c>
      <c r="CK78" s="10">
        <v>0</v>
      </c>
      <c r="CL78" s="10">
        <v>0</v>
      </c>
      <c r="CM78" s="10">
        <v>0</v>
      </c>
      <c r="CN78" s="10">
        <v>0</v>
      </c>
      <c r="CO78" s="10">
        <v>0</v>
      </c>
      <c r="CP78" s="10">
        <v>0</v>
      </c>
      <c r="CQ78" s="10">
        <v>0</v>
      </c>
      <c r="CR78" s="10">
        <v>0</v>
      </c>
      <c r="CS78" s="10">
        <v>20</v>
      </c>
      <c r="CT78" s="10">
        <v>0</v>
      </c>
      <c r="CU78" s="10">
        <v>0</v>
      </c>
      <c r="CV78" s="10">
        <v>0</v>
      </c>
      <c r="CW78" s="10">
        <v>0</v>
      </c>
      <c r="CX78" s="10">
        <v>0</v>
      </c>
      <c r="CY78" s="10">
        <v>3</v>
      </c>
      <c r="CZ78" s="10" t="str">
        <v/>
      </c>
      <c r="DA78" s="10" t="str">
        <v/>
      </c>
      <c r="DB78" s="10" t="str">
        <v/>
      </c>
      <c r="DC78" s="10" t="str">
        <v/>
      </c>
      <c r="DD78" s="10" t="str">
        <v/>
      </c>
      <c r="DE78" s="10">
        <v>0</v>
      </c>
      <c r="DF78" s="10">
        <v>0</v>
      </c>
      <c r="DG78" s="10">
        <v>0</v>
      </c>
      <c r="DH78" s="10">
        <v>0</v>
      </c>
      <c r="DI78" s="10">
        <v>0</v>
      </c>
      <c r="DJ78" s="10">
        <v>0</v>
      </c>
      <c r="DK78" s="10" t="str">
        <v/>
      </c>
      <c r="DL78" s="10">
        <v>0</v>
      </c>
    </row>
    <row r="79" spans="1:116" ht="21" customHeight="1" x14ac:dyDescent="0.3">
      <c r="A79" s="71" t="str">
        <v>罪恶荆棘（一段）</v>
      </c>
      <c r="B79" s="82">
        <v>771</v>
      </c>
      <c r="C79" s="82" t="str">
        <v>魔</v>
      </c>
      <c r="D79" s="71" t="str">
        <v>否</v>
      </c>
      <c r="E79" s="75">
        <v>7</v>
      </c>
      <c r="F79" s="75">
        <v>7</v>
      </c>
      <c r="G79" s="77" t="str">
        <v>2</v>
      </c>
      <c r="H79" s="100" t="str">
        <v>251出血值</v>
      </c>
      <c r="I79" s="75">
        <v>6</v>
      </c>
      <c r="J79" s="76">
        <v>0</v>
      </c>
      <c r="K79" s="76">
        <v>771</v>
      </c>
      <c r="L79" s="76">
        <v>0</v>
      </c>
      <c r="M79" s="76">
        <v>0</v>
      </c>
      <c r="N79" s="76">
        <v>0</v>
      </c>
      <c r="O79" s="76">
        <v>1</v>
      </c>
      <c r="P79" s="10">
        <v>49000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1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 t="str">
        <v>无</v>
      </c>
      <c r="AF79" s="10" t="str">
        <v>无</v>
      </c>
      <c r="AG79" s="10" t="str">
        <v>无</v>
      </c>
      <c r="AH79" s="10" t="str">
        <v>无</v>
      </c>
      <c r="AI79" s="10" t="str">
        <v>无</v>
      </c>
      <c r="AJ79" s="10" t="str">
        <v>无</v>
      </c>
      <c r="AK79" s="10">
        <v>0</v>
      </c>
      <c r="AL79" s="10">
        <v>0</v>
      </c>
      <c r="AM79" s="10">
        <v>0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0</v>
      </c>
      <c r="AV79" s="10">
        <v>0</v>
      </c>
      <c r="AW79" s="10">
        <v>860.00000000000011</v>
      </c>
      <c r="AX79" s="10">
        <v>0</v>
      </c>
      <c r="AY79" s="10">
        <v>0</v>
      </c>
      <c r="AZ79" s="10">
        <v>0</v>
      </c>
      <c r="BA79" s="10">
        <v>0</v>
      </c>
      <c r="BB79" s="10">
        <v>0</v>
      </c>
      <c r="BC79" s="10">
        <v>771</v>
      </c>
      <c r="BD79" s="10">
        <v>0</v>
      </c>
      <c r="BE79" s="10">
        <v>0</v>
      </c>
      <c r="BF79" s="10">
        <v>0</v>
      </c>
      <c r="BG79" s="10">
        <v>0</v>
      </c>
      <c r="BH79" s="10">
        <v>0</v>
      </c>
      <c r="BI79" s="10">
        <v>0</v>
      </c>
      <c r="BJ79" s="10">
        <v>0</v>
      </c>
      <c r="BK79" s="10">
        <v>0</v>
      </c>
      <c r="BL79" s="10">
        <v>0</v>
      </c>
      <c r="BM79" s="10">
        <v>0</v>
      </c>
      <c r="BN79" s="10">
        <v>0</v>
      </c>
      <c r="BO79" s="10">
        <v>0</v>
      </c>
      <c r="BP79" s="10">
        <v>0</v>
      </c>
      <c r="BQ79" s="10">
        <v>0</v>
      </c>
      <c r="BR79" s="10">
        <v>0</v>
      </c>
      <c r="BS79" s="10">
        <v>0</v>
      </c>
      <c r="BT79" s="10">
        <v>0</v>
      </c>
      <c r="BU79" s="10">
        <v>0</v>
      </c>
      <c r="BV79" s="10">
        <v>0</v>
      </c>
      <c r="BW79" s="10">
        <v>0</v>
      </c>
      <c r="BX79" s="10">
        <v>0</v>
      </c>
      <c r="BY79" s="10">
        <v>0</v>
      </c>
      <c r="BZ79" s="10">
        <v>0</v>
      </c>
      <c r="CA79" s="10">
        <v>0</v>
      </c>
      <c r="CB79" s="10">
        <v>0</v>
      </c>
      <c r="CC79" s="10">
        <v>0</v>
      </c>
      <c r="CD79" s="10">
        <v>0</v>
      </c>
      <c r="CE79" s="10">
        <v>0</v>
      </c>
      <c r="CF79" s="10">
        <v>0</v>
      </c>
      <c r="CG79" s="10">
        <v>0</v>
      </c>
      <c r="CH79" s="10">
        <v>0</v>
      </c>
      <c r="CI79" s="10">
        <v>0</v>
      </c>
      <c r="CJ79" s="10">
        <v>0</v>
      </c>
      <c r="CK79" s="10">
        <v>0</v>
      </c>
      <c r="CL79" s="10">
        <v>0</v>
      </c>
      <c r="CM79" s="10">
        <v>0</v>
      </c>
      <c r="CN79" s="10">
        <v>0</v>
      </c>
      <c r="CO79" s="10">
        <v>0</v>
      </c>
      <c r="CP79" s="10">
        <v>0</v>
      </c>
      <c r="CQ79" s="10">
        <v>0</v>
      </c>
      <c r="CR79" s="10">
        <v>0</v>
      </c>
      <c r="CS79" s="10">
        <v>7</v>
      </c>
      <c r="CT79" s="10">
        <v>0</v>
      </c>
      <c r="CU79" s="10">
        <v>0</v>
      </c>
      <c r="CV79" s="10">
        <v>0</v>
      </c>
      <c r="CW79" s="10">
        <v>0</v>
      </c>
      <c r="CX79" s="10">
        <v>0</v>
      </c>
      <c r="CY79" s="10">
        <v>2</v>
      </c>
      <c r="CZ79" s="10" t="str">
        <v/>
      </c>
      <c r="DA79" s="10" t="str">
        <v/>
      </c>
      <c r="DB79" s="10" t="str">
        <v/>
      </c>
      <c r="DC79" s="10" t="str">
        <v/>
      </c>
      <c r="DD79" s="10" t="str">
        <v/>
      </c>
      <c r="DE79" s="10">
        <v>95</v>
      </c>
      <c r="DF79" s="10">
        <v>0</v>
      </c>
      <c r="DG79" s="10">
        <v>0</v>
      </c>
      <c r="DH79" s="10">
        <v>0</v>
      </c>
      <c r="DI79" s="10">
        <v>0</v>
      </c>
      <c r="DJ79" s="10">
        <v>0</v>
      </c>
      <c r="DK79" s="10" t="str">
        <v>出血值</v>
      </c>
      <c r="DL79" s="10">
        <v>0</v>
      </c>
    </row>
    <row r="80" spans="1:116" ht="21" customHeight="1" x14ac:dyDescent="0.3">
      <c r="A80" s="71" t="str">
        <v>罪恶荆棘（二段）</v>
      </c>
      <c r="B80" s="82">
        <v>897</v>
      </c>
      <c r="C80" s="82" t="str">
        <v>魔</v>
      </c>
      <c r="D80" s="71" t="str">
        <v>否</v>
      </c>
      <c r="E80" s="75">
        <v>7.5</v>
      </c>
      <c r="F80" s="75">
        <v>7.5</v>
      </c>
      <c r="G80" s="77" t="str">
        <v>2</v>
      </c>
      <c r="H80" s="100" t="str">
        <v>251出血值</v>
      </c>
      <c r="I80" s="75">
        <v>6</v>
      </c>
      <c r="J80" s="76">
        <v>0</v>
      </c>
      <c r="K80" s="76">
        <v>897</v>
      </c>
      <c r="L80" s="76">
        <v>0</v>
      </c>
      <c r="M80" s="76">
        <v>0</v>
      </c>
      <c r="N80" s="76">
        <v>0</v>
      </c>
      <c r="O80" s="76">
        <v>1</v>
      </c>
      <c r="P80" s="10">
        <v>49001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1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 t="str">
        <v>无</v>
      </c>
      <c r="AF80" s="10" t="str">
        <v>无</v>
      </c>
      <c r="AG80" s="10" t="str">
        <v>无</v>
      </c>
      <c r="AH80" s="10" t="str">
        <v>无</v>
      </c>
      <c r="AI80" s="10" t="str">
        <v>无</v>
      </c>
      <c r="AJ80" s="10" t="str">
        <v>无</v>
      </c>
      <c r="AK80" s="10">
        <v>0</v>
      </c>
      <c r="AL80" s="10">
        <v>0</v>
      </c>
      <c r="AM80" s="10">
        <v>0</v>
      </c>
      <c r="AN80" s="10">
        <v>0</v>
      </c>
      <c r="AO80" s="10">
        <v>0</v>
      </c>
      <c r="AP80" s="10">
        <v>0</v>
      </c>
      <c r="AQ80" s="10">
        <v>0</v>
      </c>
      <c r="AR80" s="10">
        <v>0</v>
      </c>
      <c r="AS80" s="10">
        <v>0</v>
      </c>
      <c r="AT80" s="10">
        <v>0</v>
      </c>
      <c r="AU80" s="10">
        <v>0</v>
      </c>
      <c r="AV80" s="10">
        <v>0</v>
      </c>
      <c r="AW80" s="10">
        <v>997.60000000000014</v>
      </c>
      <c r="AX80" s="10">
        <v>0</v>
      </c>
      <c r="AY80" s="10">
        <v>0</v>
      </c>
      <c r="AZ80" s="10">
        <v>0</v>
      </c>
      <c r="BA80" s="10">
        <v>0</v>
      </c>
      <c r="BB80" s="10">
        <v>0</v>
      </c>
      <c r="BC80" s="10">
        <v>897</v>
      </c>
      <c r="BD80" s="10">
        <v>0</v>
      </c>
      <c r="BE80" s="10">
        <v>0</v>
      </c>
      <c r="BF80" s="10">
        <v>0</v>
      </c>
      <c r="BG80" s="10">
        <v>0</v>
      </c>
      <c r="BH80" s="10">
        <v>0</v>
      </c>
      <c r="BI80" s="10">
        <v>0</v>
      </c>
      <c r="BJ80" s="10">
        <v>0</v>
      </c>
      <c r="BK80" s="10">
        <v>0</v>
      </c>
      <c r="BL80" s="10">
        <v>0</v>
      </c>
      <c r="BM80" s="10">
        <v>0</v>
      </c>
      <c r="BN80" s="10">
        <v>0</v>
      </c>
      <c r="BO80" s="10">
        <v>0</v>
      </c>
      <c r="BP80" s="10">
        <v>0</v>
      </c>
      <c r="BQ80" s="10">
        <v>0</v>
      </c>
      <c r="BR80" s="10">
        <v>0</v>
      </c>
      <c r="BS80" s="10">
        <v>0</v>
      </c>
      <c r="BT80" s="10">
        <v>0</v>
      </c>
      <c r="BU80" s="10">
        <v>0</v>
      </c>
      <c r="BV80" s="10">
        <v>0</v>
      </c>
      <c r="BW80" s="10">
        <v>0</v>
      </c>
      <c r="BX80" s="10">
        <v>0</v>
      </c>
      <c r="BY80" s="10">
        <v>0</v>
      </c>
      <c r="BZ80" s="10">
        <v>0</v>
      </c>
      <c r="CA80" s="10">
        <v>0</v>
      </c>
      <c r="CB80" s="10">
        <v>0</v>
      </c>
      <c r="CC80" s="10">
        <v>0</v>
      </c>
      <c r="CD80" s="10">
        <v>0</v>
      </c>
      <c r="CE80" s="10">
        <v>0</v>
      </c>
      <c r="CF80" s="10">
        <v>0</v>
      </c>
      <c r="CG80" s="10">
        <v>0</v>
      </c>
      <c r="CH80" s="10">
        <v>0</v>
      </c>
      <c r="CI80" s="10">
        <v>0</v>
      </c>
      <c r="CJ80" s="10">
        <v>0</v>
      </c>
      <c r="CK80" s="10">
        <v>0</v>
      </c>
      <c r="CL80" s="10">
        <v>0</v>
      </c>
      <c r="CM80" s="10">
        <v>0</v>
      </c>
      <c r="CN80" s="10">
        <v>0</v>
      </c>
      <c r="CO80" s="10">
        <v>0</v>
      </c>
      <c r="CP80" s="10">
        <v>0</v>
      </c>
      <c r="CQ80" s="10">
        <v>0</v>
      </c>
      <c r="CR80" s="10">
        <v>0</v>
      </c>
      <c r="CS80" s="10">
        <v>7.5</v>
      </c>
      <c r="CT80" s="10">
        <v>0</v>
      </c>
      <c r="CU80" s="10">
        <v>0</v>
      </c>
      <c r="CV80" s="10">
        <v>0</v>
      </c>
      <c r="CW80" s="10">
        <v>0</v>
      </c>
      <c r="CX80" s="10">
        <v>0</v>
      </c>
      <c r="CY80" s="10">
        <v>2</v>
      </c>
      <c r="CZ80" s="10" t="str">
        <v/>
      </c>
      <c r="DA80" s="10" t="str">
        <v/>
      </c>
      <c r="DB80" s="10" t="str">
        <v/>
      </c>
      <c r="DC80" s="10" t="str">
        <v/>
      </c>
      <c r="DD80" s="10" t="str">
        <v/>
      </c>
      <c r="DE80" s="10">
        <v>95</v>
      </c>
      <c r="DF80" s="10">
        <v>0</v>
      </c>
      <c r="DG80" s="10">
        <v>0</v>
      </c>
      <c r="DH80" s="10">
        <v>0</v>
      </c>
      <c r="DI80" s="10">
        <v>0</v>
      </c>
      <c r="DJ80" s="10">
        <v>0</v>
      </c>
      <c r="DK80" s="10" t="str">
        <v>出血值</v>
      </c>
      <c r="DL80" s="10">
        <v>0</v>
      </c>
    </row>
    <row r="81" spans="1:116" ht="21" customHeight="1" x14ac:dyDescent="0.3">
      <c r="A81" s="71" t="str">
        <v>罪恶荆棘（三段）</v>
      </c>
      <c r="B81" s="82">
        <v>901</v>
      </c>
      <c r="C81" s="82" t="str">
        <v>魔</v>
      </c>
      <c r="D81" s="71" t="str">
        <v>否</v>
      </c>
      <c r="E81" s="75">
        <v>8</v>
      </c>
      <c r="F81" s="75">
        <v>8</v>
      </c>
      <c r="G81" s="77" t="str">
        <v>2</v>
      </c>
      <c r="H81" s="100" t="str">
        <v>251出血值</v>
      </c>
      <c r="I81" s="75">
        <v>6</v>
      </c>
      <c r="J81" s="76">
        <v>0</v>
      </c>
      <c r="K81" s="76">
        <v>901</v>
      </c>
      <c r="L81" s="76">
        <v>0</v>
      </c>
      <c r="M81" s="76">
        <v>0</v>
      </c>
      <c r="N81" s="76">
        <v>0</v>
      </c>
      <c r="O81" s="76">
        <v>1</v>
      </c>
      <c r="P81" s="10">
        <v>49002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1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 t="str">
        <v>无</v>
      </c>
      <c r="AF81" s="10" t="str">
        <v>无</v>
      </c>
      <c r="AG81" s="10" t="str">
        <v>无</v>
      </c>
      <c r="AH81" s="10" t="str">
        <v>无</v>
      </c>
      <c r="AI81" s="10" t="str">
        <v>无</v>
      </c>
      <c r="AJ81" s="10" t="str">
        <v>无</v>
      </c>
      <c r="AK81" s="10">
        <v>0</v>
      </c>
      <c r="AL81" s="10">
        <v>0</v>
      </c>
      <c r="AM81" s="10">
        <v>0</v>
      </c>
      <c r="AN81" s="10">
        <v>0</v>
      </c>
      <c r="AO81" s="10">
        <v>0</v>
      </c>
      <c r="AP81" s="10">
        <v>0</v>
      </c>
      <c r="AQ81" s="10">
        <v>0</v>
      </c>
      <c r="AR81" s="10">
        <v>0</v>
      </c>
      <c r="AS81" s="10">
        <v>0</v>
      </c>
      <c r="AT81" s="10">
        <v>0</v>
      </c>
      <c r="AU81" s="10">
        <v>0</v>
      </c>
      <c r="AV81" s="10">
        <v>0</v>
      </c>
      <c r="AW81" s="10">
        <v>1001.9000000000002</v>
      </c>
      <c r="AX81" s="10">
        <v>0</v>
      </c>
      <c r="AY81" s="10">
        <v>0</v>
      </c>
      <c r="AZ81" s="10">
        <v>0</v>
      </c>
      <c r="BA81" s="10">
        <v>0</v>
      </c>
      <c r="BB81" s="10">
        <v>0</v>
      </c>
      <c r="BC81" s="10">
        <v>901</v>
      </c>
      <c r="BD81" s="10">
        <v>0</v>
      </c>
      <c r="BE81" s="10">
        <v>0</v>
      </c>
      <c r="BF81" s="10">
        <v>0</v>
      </c>
      <c r="BG81" s="10">
        <v>0</v>
      </c>
      <c r="BH81" s="10">
        <v>0</v>
      </c>
      <c r="BI81" s="10">
        <v>0</v>
      </c>
      <c r="BJ81" s="10">
        <v>0</v>
      </c>
      <c r="BK81" s="10">
        <v>0</v>
      </c>
      <c r="BL81" s="10">
        <v>0</v>
      </c>
      <c r="BM81" s="10">
        <v>0</v>
      </c>
      <c r="BN81" s="10">
        <v>0</v>
      </c>
      <c r="BO81" s="10">
        <v>0</v>
      </c>
      <c r="BP81" s="10">
        <v>0</v>
      </c>
      <c r="BQ81" s="10">
        <v>0</v>
      </c>
      <c r="BR81" s="10">
        <v>0</v>
      </c>
      <c r="BS81" s="10">
        <v>0</v>
      </c>
      <c r="BT81" s="10">
        <v>0</v>
      </c>
      <c r="BU81" s="10">
        <v>0</v>
      </c>
      <c r="BV81" s="10">
        <v>0</v>
      </c>
      <c r="BW81" s="10">
        <v>0</v>
      </c>
      <c r="BX81" s="10">
        <v>0</v>
      </c>
      <c r="BY81" s="10">
        <v>0</v>
      </c>
      <c r="BZ81" s="10">
        <v>0</v>
      </c>
      <c r="CA81" s="10">
        <v>0</v>
      </c>
      <c r="CB81" s="10">
        <v>0</v>
      </c>
      <c r="CC81" s="10">
        <v>0</v>
      </c>
      <c r="CD81" s="10">
        <v>0</v>
      </c>
      <c r="CE81" s="10">
        <v>0</v>
      </c>
      <c r="CF81" s="10">
        <v>0</v>
      </c>
      <c r="CG81" s="10">
        <v>0</v>
      </c>
      <c r="CH81" s="10">
        <v>0</v>
      </c>
      <c r="CI81" s="10">
        <v>0</v>
      </c>
      <c r="CJ81" s="10">
        <v>0</v>
      </c>
      <c r="CK81" s="10">
        <v>0</v>
      </c>
      <c r="CL81" s="10">
        <v>0</v>
      </c>
      <c r="CM81" s="10">
        <v>0</v>
      </c>
      <c r="CN81" s="10">
        <v>0</v>
      </c>
      <c r="CO81" s="10">
        <v>0</v>
      </c>
      <c r="CP81" s="10">
        <v>0</v>
      </c>
      <c r="CQ81" s="10">
        <v>0</v>
      </c>
      <c r="CR81" s="10">
        <v>0</v>
      </c>
      <c r="CS81" s="10">
        <v>8</v>
      </c>
      <c r="CT81" s="10">
        <v>0</v>
      </c>
      <c r="CU81" s="10">
        <v>0</v>
      </c>
      <c r="CV81" s="10">
        <v>0</v>
      </c>
      <c r="CW81" s="10">
        <v>0</v>
      </c>
      <c r="CX81" s="10">
        <v>0</v>
      </c>
      <c r="CY81" s="10">
        <v>2</v>
      </c>
      <c r="CZ81" s="10" t="str">
        <v/>
      </c>
      <c r="DA81" s="10" t="str">
        <v/>
      </c>
      <c r="DB81" s="10" t="str">
        <v/>
      </c>
      <c r="DC81" s="10" t="str">
        <v/>
      </c>
      <c r="DD81" s="10" t="str">
        <v/>
      </c>
      <c r="DE81" s="10">
        <v>95</v>
      </c>
      <c r="DF81" s="10">
        <v>0</v>
      </c>
      <c r="DG81" s="10">
        <v>0</v>
      </c>
      <c r="DH81" s="10">
        <v>0</v>
      </c>
      <c r="DI81" s="10">
        <v>0</v>
      </c>
      <c r="DJ81" s="10">
        <v>0</v>
      </c>
      <c r="DK81" s="10" t="str">
        <v>出血值</v>
      </c>
      <c r="DL81" s="10">
        <v>0</v>
      </c>
    </row>
    <row r="82" spans="1:116" ht="21" customHeight="1" x14ac:dyDescent="0.3">
      <c r="A82" s="71" t="str">
        <v>责罚荆棘</v>
      </c>
      <c r="B82" s="82">
        <v>820</v>
      </c>
      <c r="C82" s="82" t="str">
        <v>魔</v>
      </c>
      <c r="D82" s="71" t="str">
        <v>否</v>
      </c>
      <c r="E82" s="75">
        <v>7</v>
      </c>
      <c r="F82" s="75">
        <v>7</v>
      </c>
      <c r="G82" s="77" t="str">
        <v>2</v>
      </c>
      <c r="H82" s="100" t="str">
        <v>190出血值</v>
      </c>
      <c r="I82" s="75">
        <v>9</v>
      </c>
      <c r="J82" s="76">
        <v>0</v>
      </c>
      <c r="K82" s="76">
        <v>820</v>
      </c>
      <c r="L82" s="76">
        <v>0</v>
      </c>
      <c r="M82" s="76">
        <v>0</v>
      </c>
      <c r="N82" s="76">
        <v>0</v>
      </c>
      <c r="O82" s="76">
        <v>1</v>
      </c>
      <c r="P82" s="10">
        <v>49100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1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 t="str">
        <v>无</v>
      </c>
      <c r="AF82" s="10" t="str">
        <v>无</v>
      </c>
      <c r="AG82" s="10" t="str">
        <v>无</v>
      </c>
      <c r="AH82" s="10" t="str">
        <v>无</v>
      </c>
      <c r="AI82" s="10" t="str">
        <v>无</v>
      </c>
      <c r="AJ82" s="10" t="str">
        <v>无</v>
      </c>
      <c r="AK82" s="10">
        <v>0</v>
      </c>
      <c r="AL82" s="10">
        <v>0</v>
      </c>
      <c r="AM82" s="10">
        <v>0</v>
      </c>
      <c r="AN82" s="10">
        <v>0</v>
      </c>
      <c r="AO82" s="10">
        <v>0</v>
      </c>
      <c r="AP82" s="10">
        <v>0</v>
      </c>
      <c r="AQ82" s="10">
        <v>0</v>
      </c>
      <c r="AR82" s="10">
        <v>0</v>
      </c>
      <c r="AS82" s="10">
        <v>0</v>
      </c>
      <c r="AT82" s="10">
        <v>0</v>
      </c>
      <c r="AU82" s="10">
        <v>0</v>
      </c>
      <c r="AV82" s="10">
        <v>0</v>
      </c>
      <c r="AW82" s="10">
        <v>911.60000000000014</v>
      </c>
      <c r="AX82" s="10">
        <v>0</v>
      </c>
      <c r="AY82" s="10">
        <v>0</v>
      </c>
      <c r="AZ82" s="10">
        <v>0</v>
      </c>
      <c r="BA82" s="10">
        <v>0</v>
      </c>
      <c r="BB82" s="10">
        <v>0</v>
      </c>
      <c r="BC82" s="10">
        <v>820</v>
      </c>
      <c r="BD82" s="10">
        <v>0</v>
      </c>
      <c r="BE82" s="10">
        <v>0</v>
      </c>
      <c r="BF82" s="10">
        <v>0</v>
      </c>
      <c r="BG82" s="10">
        <v>0</v>
      </c>
      <c r="BH82" s="10">
        <v>0</v>
      </c>
      <c r="BI82" s="10">
        <v>0</v>
      </c>
      <c r="BJ82" s="10">
        <v>0</v>
      </c>
      <c r="BK82" s="10">
        <v>0</v>
      </c>
      <c r="BL82" s="10">
        <v>0</v>
      </c>
      <c r="BM82" s="10">
        <v>0</v>
      </c>
      <c r="BN82" s="10">
        <v>0</v>
      </c>
      <c r="BO82" s="10">
        <v>0</v>
      </c>
      <c r="BP82" s="10">
        <v>0</v>
      </c>
      <c r="BQ82" s="10">
        <v>0</v>
      </c>
      <c r="BR82" s="10">
        <v>0</v>
      </c>
      <c r="BS82" s="10">
        <v>0</v>
      </c>
      <c r="BT82" s="10">
        <v>0</v>
      </c>
      <c r="BU82" s="10">
        <v>0</v>
      </c>
      <c r="BV82" s="10">
        <v>0</v>
      </c>
      <c r="BW82" s="10">
        <v>0</v>
      </c>
      <c r="BX82" s="10">
        <v>0</v>
      </c>
      <c r="BY82" s="10">
        <v>0</v>
      </c>
      <c r="BZ82" s="10">
        <v>0</v>
      </c>
      <c r="CA82" s="10">
        <v>0</v>
      </c>
      <c r="CB82" s="10">
        <v>0</v>
      </c>
      <c r="CC82" s="10">
        <v>0</v>
      </c>
      <c r="CD82" s="10">
        <v>0</v>
      </c>
      <c r="CE82" s="10">
        <v>0</v>
      </c>
      <c r="CF82" s="10">
        <v>0</v>
      </c>
      <c r="CG82" s="10">
        <v>0</v>
      </c>
      <c r="CH82" s="10">
        <v>0</v>
      </c>
      <c r="CI82" s="10">
        <v>0</v>
      </c>
      <c r="CJ82" s="10">
        <v>0</v>
      </c>
      <c r="CK82" s="10">
        <v>0</v>
      </c>
      <c r="CL82" s="10">
        <v>0</v>
      </c>
      <c r="CM82" s="10">
        <v>0</v>
      </c>
      <c r="CN82" s="10">
        <v>0</v>
      </c>
      <c r="CO82" s="10">
        <v>0</v>
      </c>
      <c r="CP82" s="10">
        <v>0</v>
      </c>
      <c r="CQ82" s="10">
        <v>0</v>
      </c>
      <c r="CR82" s="10">
        <v>0</v>
      </c>
      <c r="CS82" s="10">
        <v>7</v>
      </c>
      <c r="CT82" s="10">
        <v>0</v>
      </c>
      <c r="CU82" s="10">
        <v>0</v>
      </c>
      <c r="CV82" s="10">
        <v>0</v>
      </c>
      <c r="CW82" s="10">
        <v>0</v>
      </c>
      <c r="CX82" s="10">
        <v>0</v>
      </c>
      <c r="CY82" s="10">
        <v>2</v>
      </c>
      <c r="CZ82" s="10" t="str">
        <v/>
      </c>
      <c r="DA82" s="10" t="str">
        <v/>
      </c>
      <c r="DB82" s="10" t="str">
        <v/>
      </c>
      <c r="DC82" s="10" t="str">
        <v/>
      </c>
      <c r="DD82" s="10" t="str">
        <v/>
      </c>
      <c r="DE82" s="10">
        <v>72</v>
      </c>
      <c r="DF82" s="10">
        <v>0</v>
      </c>
      <c r="DG82" s="10">
        <v>0</v>
      </c>
      <c r="DH82" s="10">
        <v>0</v>
      </c>
      <c r="DI82" s="10">
        <v>0</v>
      </c>
      <c r="DJ82" s="10">
        <v>0</v>
      </c>
      <c r="DK82" s="10" t="str">
        <v>出血值</v>
      </c>
      <c r="DL82" s="10">
        <v>0</v>
      </c>
    </row>
    <row r="83" spans="1:116" ht="21" customHeight="1" x14ac:dyDescent="0.3">
      <c r="A83" s="71" t="str">
        <v>拒绝的刺</v>
      </c>
      <c r="B83" s="82">
        <v>1128</v>
      </c>
      <c r="C83" s="82" t="str">
        <v>魔</v>
      </c>
      <c r="D83" s="71" t="str">
        <v>否</v>
      </c>
      <c r="E83" s="75">
        <v>10.02</v>
      </c>
      <c r="F83" s="75">
        <v>10.02</v>
      </c>
      <c r="G83" s="77" t="str">
        <v>2</v>
      </c>
      <c r="H83" s="100" t="str">
        <v>270出血值</v>
      </c>
      <c r="I83" s="75">
        <v>15</v>
      </c>
      <c r="J83" s="76">
        <v>0</v>
      </c>
      <c r="K83" s="76">
        <v>1128</v>
      </c>
      <c r="L83" s="76">
        <v>0</v>
      </c>
      <c r="M83" s="76">
        <v>0</v>
      </c>
      <c r="N83" s="76">
        <v>0</v>
      </c>
      <c r="O83" s="76">
        <v>1</v>
      </c>
      <c r="P83" s="10">
        <v>210491000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6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 t="str">
        <v>无</v>
      </c>
      <c r="AF83" s="10" t="str">
        <v>无</v>
      </c>
      <c r="AG83" s="10" t="str">
        <v>无</v>
      </c>
      <c r="AH83" s="10" t="str">
        <v>无</v>
      </c>
      <c r="AI83" s="10" t="str">
        <v>无</v>
      </c>
      <c r="AJ83" s="10" t="str">
        <v>无</v>
      </c>
      <c r="AK83" s="10">
        <v>0</v>
      </c>
      <c r="AL83" s="10">
        <v>0</v>
      </c>
      <c r="AM83" s="10">
        <v>0</v>
      </c>
      <c r="AN83" s="10">
        <v>0</v>
      </c>
      <c r="AO83" s="10">
        <v>0</v>
      </c>
      <c r="AP83" s="10">
        <v>0</v>
      </c>
      <c r="AQ83" s="10">
        <v>0</v>
      </c>
      <c r="AR83" s="10">
        <v>0</v>
      </c>
      <c r="AS83" s="10">
        <v>0</v>
      </c>
      <c r="AT83" s="10">
        <v>0</v>
      </c>
      <c r="AU83" s="10">
        <v>0</v>
      </c>
      <c r="AV83" s="10">
        <v>0</v>
      </c>
      <c r="AW83" s="10">
        <v>270.90000000000003</v>
      </c>
      <c r="AX83" s="10">
        <v>0</v>
      </c>
      <c r="AY83" s="10">
        <v>0</v>
      </c>
      <c r="AZ83" s="10">
        <v>0</v>
      </c>
      <c r="BA83" s="10">
        <v>0</v>
      </c>
      <c r="BB83" s="10">
        <v>0</v>
      </c>
      <c r="BC83" s="10">
        <v>1128</v>
      </c>
      <c r="BD83" s="10">
        <v>0</v>
      </c>
      <c r="BE83" s="10">
        <v>0</v>
      </c>
      <c r="BF83" s="10">
        <v>0</v>
      </c>
      <c r="BG83" s="10">
        <v>0</v>
      </c>
      <c r="BH83" s="10">
        <v>0</v>
      </c>
      <c r="BI83" s="10">
        <v>0</v>
      </c>
      <c r="BJ83" s="10">
        <v>0</v>
      </c>
      <c r="BK83" s="10">
        <v>0</v>
      </c>
      <c r="BL83" s="10">
        <v>0</v>
      </c>
      <c r="BM83" s="10">
        <v>0</v>
      </c>
      <c r="BN83" s="10">
        <v>0</v>
      </c>
      <c r="BO83" s="10">
        <v>0</v>
      </c>
      <c r="BP83" s="10">
        <v>0</v>
      </c>
      <c r="BQ83" s="10">
        <v>0</v>
      </c>
      <c r="BR83" s="10">
        <v>0</v>
      </c>
      <c r="BS83" s="10">
        <v>0</v>
      </c>
      <c r="BT83" s="10">
        <v>0</v>
      </c>
      <c r="BU83" s="10">
        <v>0</v>
      </c>
      <c r="BV83" s="10">
        <v>0</v>
      </c>
      <c r="BW83" s="10">
        <v>0</v>
      </c>
      <c r="BX83" s="10">
        <v>0</v>
      </c>
      <c r="BY83" s="10">
        <v>0</v>
      </c>
      <c r="BZ83" s="10">
        <v>0</v>
      </c>
      <c r="CA83" s="10">
        <v>0</v>
      </c>
      <c r="CB83" s="10">
        <v>0</v>
      </c>
      <c r="CC83" s="10">
        <v>0</v>
      </c>
      <c r="CD83" s="10">
        <v>0</v>
      </c>
      <c r="CE83" s="10">
        <v>0</v>
      </c>
      <c r="CF83" s="10">
        <v>0</v>
      </c>
      <c r="CG83" s="10">
        <v>0</v>
      </c>
      <c r="CH83" s="10">
        <v>0</v>
      </c>
      <c r="CI83" s="10">
        <v>0</v>
      </c>
      <c r="CJ83" s="10">
        <v>0</v>
      </c>
      <c r="CK83" s="10">
        <v>0</v>
      </c>
      <c r="CL83" s="10">
        <v>0</v>
      </c>
      <c r="CM83" s="10">
        <v>0</v>
      </c>
      <c r="CN83" s="10">
        <v>0</v>
      </c>
      <c r="CO83" s="10">
        <v>0</v>
      </c>
      <c r="CP83" s="10">
        <v>0</v>
      </c>
      <c r="CQ83" s="10">
        <v>0</v>
      </c>
      <c r="CR83" s="10">
        <v>0</v>
      </c>
      <c r="CS83" s="10">
        <v>1.67</v>
      </c>
      <c r="CT83" s="10">
        <v>0</v>
      </c>
      <c r="CU83" s="10">
        <v>0</v>
      </c>
      <c r="CV83" s="10">
        <v>0</v>
      </c>
      <c r="CW83" s="10">
        <v>0</v>
      </c>
      <c r="CX83" s="10">
        <v>0</v>
      </c>
      <c r="CY83" s="10">
        <v>2</v>
      </c>
      <c r="CZ83" s="10" t="str">
        <v/>
      </c>
      <c r="DA83" s="10" t="str">
        <v/>
      </c>
      <c r="DB83" s="10" t="str">
        <v/>
      </c>
      <c r="DC83" s="10" t="str">
        <v/>
      </c>
      <c r="DD83" s="10" t="str">
        <v/>
      </c>
      <c r="DE83" s="10">
        <v>17</v>
      </c>
      <c r="DF83" s="10">
        <v>0</v>
      </c>
      <c r="DG83" s="10">
        <v>0</v>
      </c>
      <c r="DH83" s="10">
        <v>0</v>
      </c>
      <c r="DI83" s="10">
        <v>0</v>
      </c>
      <c r="DJ83" s="10">
        <v>0</v>
      </c>
      <c r="DK83" s="10" t="str">
        <v>出血值</v>
      </c>
      <c r="DL83" s="10">
        <v>0</v>
      </c>
    </row>
    <row r="84" spans="1:116" ht="21" customHeight="1" x14ac:dyDescent="0.3">
      <c r="A84" s="71" t="str">
        <v>召唤怨魂</v>
      </c>
      <c r="B84" s="82">
        <v>996</v>
      </c>
      <c r="C84" s="82" t="str">
        <v>魔</v>
      </c>
      <c r="D84" s="71" t="str">
        <v>是</v>
      </c>
      <c r="E84" s="75">
        <v>9</v>
      </c>
      <c r="F84" s="75">
        <v>9</v>
      </c>
      <c r="G84" s="77" t="str">
        <v>1</v>
      </c>
      <c r="H84" s="100" t="str">
        <v>无</v>
      </c>
      <c r="I84" s="75">
        <v>12</v>
      </c>
      <c r="J84" s="76">
        <v>0</v>
      </c>
      <c r="K84" s="76">
        <v>996</v>
      </c>
      <c r="L84" s="76">
        <v>0</v>
      </c>
      <c r="M84" s="76">
        <v>0</v>
      </c>
      <c r="N84" s="76">
        <v>0</v>
      </c>
      <c r="O84" s="76">
        <v>1</v>
      </c>
      <c r="P84" s="10">
        <v>50005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6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 t="str">
        <v>无</v>
      </c>
      <c r="AF84" s="10" t="str">
        <v>无</v>
      </c>
      <c r="AG84" s="10" t="str">
        <v>无</v>
      </c>
      <c r="AH84" s="10" t="str">
        <v>无</v>
      </c>
      <c r="AI84" s="10" t="str">
        <v>无</v>
      </c>
      <c r="AJ84" s="10" t="str">
        <v>无</v>
      </c>
      <c r="AK84" s="10">
        <v>0</v>
      </c>
      <c r="AL84" s="10">
        <v>0</v>
      </c>
      <c r="AM84" s="10">
        <v>0</v>
      </c>
      <c r="AN84" s="10">
        <v>0</v>
      </c>
      <c r="AO84" s="10">
        <v>0</v>
      </c>
      <c r="AP84" s="10">
        <v>0</v>
      </c>
      <c r="AQ84" s="10">
        <v>0</v>
      </c>
      <c r="AR84" s="10">
        <v>0</v>
      </c>
      <c r="AS84" s="10">
        <v>0</v>
      </c>
      <c r="AT84" s="10">
        <v>0</v>
      </c>
      <c r="AU84" s="10">
        <v>0</v>
      </c>
      <c r="AV84" s="10">
        <v>0</v>
      </c>
      <c r="AW84" s="10">
        <v>245.10000000000005</v>
      </c>
      <c r="AX84" s="10">
        <v>0</v>
      </c>
      <c r="AY84" s="10">
        <v>0</v>
      </c>
      <c r="AZ84" s="10">
        <v>0</v>
      </c>
      <c r="BA84" s="10">
        <v>0</v>
      </c>
      <c r="BB84" s="10">
        <v>0</v>
      </c>
      <c r="BC84" s="10">
        <v>996</v>
      </c>
      <c r="BD84" s="10">
        <v>0</v>
      </c>
      <c r="BE84" s="10">
        <v>0</v>
      </c>
      <c r="BF84" s="10">
        <v>0</v>
      </c>
      <c r="BG84" s="10">
        <v>0</v>
      </c>
      <c r="BH84" s="10">
        <v>0</v>
      </c>
      <c r="BI84" s="10">
        <v>0</v>
      </c>
      <c r="BJ84" s="10">
        <v>0</v>
      </c>
      <c r="BK84" s="10">
        <v>0</v>
      </c>
      <c r="BL84" s="10">
        <v>0</v>
      </c>
      <c r="BM84" s="10">
        <v>0</v>
      </c>
      <c r="BN84" s="10">
        <v>0</v>
      </c>
      <c r="BO84" s="10">
        <v>0</v>
      </c>
      <c r="BP84" s="10">
        <v>0</v>
      </c>
      <c r="BQ84" s="10">
        <v>0</v>
      </c>
      <c r="BR84" s="10">
        <v>0</v>
      </c>
      <c r="BS84" s="10">
        <v>0</v>
      </c>
      <c r="BT84" s="10">
        <v>0</v>
      </c>
      <c r="BU84" s="10">
        <v>0</v>
      </c>
      <c r="BV84" s="10">
        <v>0</v>
      </c>
      <c r="BW84" s="10">
        <v>0</v>
      </c>
      <c r="BX84" s="10">
        <v>0</v>
      </c>
      <c r="BY84" s="10">
        <v>0</v>
      </c>
      <c r="BZ84" s="10">
        <v>0</v>
      </c>
      <c r="CA84" s="10">
        <v>0</v>
      </c>
      <c r="CB84" s="10">
        <v>0</v>
      </c>
      <c r="CC84" s="10">
        <v>0</v>
      </c>
      <c r="CD84" s="10">
        <v>0</v>
      </c>
      <c r="CE84" s="10">
        <v>0</v>
      </c>
      <c r="CF84" s="10">
        <v>0</v>
      </c>
      <c r="CG84" s="10">
        <v>0</v>
      </c>
      <c r="CH84" s="10">
        <v>0</v>
      </c>
      <c r="CI84" s="10">
        <v>0</v>
      </c>
      <c r="CJ84" s="10">
        <v>0</v>
      </c>
      <c r="CK84" s="10">
        <v>0</v>
      </c>
      <c r="CL84" s="10">
        <v>0</v>
      </c>
      <c r="CM84" s="10">
        <v>0</v>
      </c>
      <c r="CN84" s="10">
        <v>0</v>
      </c>
      <c r="CO84" s="10">
        <v>0</v>
      </c>
      <c r="CP84" s="10">
        <v>0</v>
      </c>
      <c r="CQ84" s="10">
        <v>0</v>
      </c>
      <c r="CR84" s="10">
        <v>0</v>
      </c>
      <c r="CS84" s="10">
        <v>1.5</v>
      </c>
      <c r="CT84" s="10">
        <v>0</v>
      </c>
      <c r="CU84" s="10">
        <v>0</v>
      </c>
      <c r="CV84" s="10">
        <v>0</v>
      </c>
      <c r="CW84" s="10">
        <v>0</v>
      </c>
      <c r="CX84" s="10">
        <v>0</v>
      </c>
      <c r="CY84" s="10">
        <v>1</v>
      </c>
      <c r="CZ84" s="10" t="str">
        <v/>
      </c>
      <c r="DA84" s="10" t="str">
        <v/>
      </c>
      <c r="DB84" s="10" t="str">
        <v/>
      </c>
      <c r="DC84" s="10" t="str">
        <v/>
      </c>
      <c r="DD84" s="10" t="str">
        <v/>
      </c>
      <c r="DE84" s="10">
        <v>0</v>
      </c>
      <c r="DF84" s="10">
        <v>0</v>
      </c>
      <c r="DG84" s="10">
        <v>0</v>
      </c>
      <c r="DH84" s="10">
        <v>0</v>
      </c>
      <c r="DI84" s="10">
        <v>0</v>
      </c>
      <c r="DJ84" s="10">
        <v>0</v>
      </c>
      <c r="DK84" s="10" t="str">
        <v/>
      </c>
      <c r="DL84" s="10">
        <v>0</v>
      </c>
    </row>
    <row r="85" spans="1:116" ht="21" customHeight="1" x14ac:dyDescent="0.3">
      <c r="A85" s="71" t="str">
        <v>古老死亡怨魂</v>
      </c>
      <c r="B85" s="82">
        <v>1314</v>
      </c>
      <c r="C85" s="82" t="str">
        <v>魔</v>
      </c>
      <c r="D85" s="71" t="str">
        <v>是</v>
      </c>
      <c r="E85" s="75">
        <v>18</v>
      </c>
      <c r="F85" s="75">
        <v>18</v>
      </c>
      <c r="G85" s="77" t="str">
        <v>3</v>
      </c>
      <c r="H85" s="100" t="str">
        <v>无</v>
      </c>
      <c r="I85" s="75">
        <v>21</v>
      </c>
      <c r="J85" s="76">
        <v>0</v>
      </c>
      <c r="K85" s="76">
        <v>1314</v>
      </c>
      <c r="L85" s="76">
        <v>0</v>
      </c>
      <c r="M85" s="76">
        <v>0</v>
      </c>
      <c r="N85" s="76">
        <v>0</v>
      </c>
      <c r="O85" s="76">
        <v>1</v>
      </c>
      <c r="P85" s="10">
        <v>50015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9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 t="str">
        <v>无</v>
      </c>
      <c r="AF85" s="10" t="str">
        <v>无</v>
      </c>
      <c r="AG85" s="10" t="str">
        <v>无</v>
      </c>
      <c r="AH85" s="10" t="str">
        <v>无</v>
      </c>
      <c r="AI85" s="10" t="str">
        <v>无</v>
      </c>
      <c r="AJ85" s="10" t="str">
        <v>无</v>
      </c>
      <c r="AK85" s="10">
        <v>0</v>
      </c>
      <c r="AL85" s="10">
        <v>0</v>
      </c>
      <c r="AM85" s="10">
        <v>0</v>
      </c>
      <c r="AN85" s="10">
        <v>0</v>
      </c>
      <c r="AO85" s="10">
        <v>0</v>
      </c>
      <c r="AP85" s="10">
        <v>0</v>
      </c>
      <c r="AQ85" s="10">
        <v>0</v>
      </c>
      <c r="AR85" s="10">
        <v>0</v>
      </c>
      <c r="AS85" s="10">
        <v>0</v>
      </c>
      <c r="AT85" s="10">
        <v>0</v>
      </c>
      <c r="AU85" s="10">
        <v>0</v>
      </c>
      <c r="AV85" s="10">
        <v>0</v>
      </c>
      <c r="AW85" s="10">
        <v>223.60000000000002</v>
      </c>
      <c r="AX85" s="10">
        <v>0</v>
      </c>
      <c r="AY85" s="10">
        <v>0</v>
      </c>
      <c r="AZ85" s="10">
        <v>0</v>
      </c>
      <c r="BA85" s="10">
        <v>0</v>
      </c>
      <c r="BB85" s="10">
        <v>0</v>
      </c>
      <c r="BC85" s="10">
        <v>1314</v>
      </c>
      <c r="BD85" s="10">
        <v>0</v>
      </c>
      <c r="BE85" s="10">
        <v>0</v>
      </c>
      <c r="BF85" s="10">
        <v>0</v>
      </c>
      <c r="BG85" s="10">
        <v>0</v>
      </c>
      <c r="BH85" s="10">
        <v>0</v>
      </c>
      <c r="BI85" s="10">
        <v>0</v>
      </c>
      <c r="BJ85" s="10">
        <v>0</v>
      </c>
      <c r="BK85" s="10">
        <v>0</v>
      </c>
      <c r="BL85" s="10">
        <v>0</v>
      </c>
      <c r="BM85" s="10">
        <v>0</v>
      </c>
      <c r="BN85" s="10">
        <v>0</v>
      </c>
      <c r="BO85" s="10">
        <v>0</v>
      </c>
      <c r="BP85" s="10">
        <v>0</v>
      </c>
      <c r="BQ85" s="10">
        <v>0</v>
      </c>
      <c r="BR85" s="10">
        <v>0</v>
      </c>
      <c r="BS85" s="10">
        <v>0</v>
      </c>
      <c r="BT85" s="10">
        <v>0</v>
      </c>
      <c r="BU85" s="10">
        <v>0</v>
      </c>
      <c r="BV85" s="10">
        <v>0</v>
      </c>
      <c r="BW85" s="10">
        <v>0</v>
      </c>
      <c r="BX85" s="10">
        <v>0</v>
      </c>
      <c r="BY85" s="10">
        <v>0</v>
      </c>
      <c r="BZ85" s="10">
        <v>0</v>
      </c>
      <c r="CA85" s="10">
        <v>0</v>
      </c>
      <c r="CB85" s="10">
        <v>0</v>
      </c>
      <c r="CC85" s="10">
        <v>0</v>
      </c>
      <c r="CD85" s="10">
        <v>0</v>
      </c>
      <c r="CE85" s="10">
        <v>0</v>
      </c>
      <c r="CF85" s="10">
        <v>0</v>
      </c>
      <c r="CG85" s="10">
        <v>0</v>
      </c>
      <c r="CH85" s="10">
        <v>0</v>
      </c>
      <c r="CI85" s="10">
        <v>0</v>
      </c>
      <c r="CJ85" s="10">
        <v>0</v>
      </c>
      <c r="CK85" s="10">
        <v>0</v>
      </c>
      <c r="CL85" s="10">
        <v>0</v>
      </c>
      <c r="CM85" s="10">
        <v>0</v>
      </c>
      <c r="CN85" s="10">
        <v>0</v>
      </c>
      <c r="CO85" s="10">
        <v>0</v>
      </c>
      <c r="CP85" s="10">
        <v>0</v>
      </c>
      <c r="CQ85" s="10">
        <v>0</v>
      </c>
      <c r="CR85" s="10">
        <v>0</v>
      </c>
      <c r="CS85" s="10">
        <v>2</v>
      </c>
      <c r="CT85" s="10">
        <v>0</v>
      </c>
      <c r="CU85" s="10">
        <v>0</v>
      </c>
      <c r="CV85" s="10">
        <v>0</v>
      </c>
      <c r="CW85" s="10">
        <v>0</v>
      </c>
      <c r="CX85" s="10">
        <v>0</v>
      </c>
      <c r="CY85" s="10">
        <v>3</v>
      </c>
      <c r="CZ85" s="10" t="str">
        <v/>
      </c>
      <c r="DA85" s="10" t="str">
        <v/>
      </c>
      <c r="DB85" s="10" t="str">
        <v/>
      </c>
      <c r="DC85" s="10" t="str">
        <v/>
      </c>
      <c r="DD85" s="10" t="str">
        <v/>
      </c>
      <c r="DE85" s="10">
        <v>0</v>
      </c>
      <c r="DF85" s="10">
        <v>0</v>
      </c>
      <c r="DG85" s="10">
        <v>0</v>
      </c>
      <c r="DH85" s="10">
        <v>0</v>
      </c>
      <c r="DI85" s="10">
        <v>0</v>
      </c>
      <c r="DJ85" s="10">
        <v>0</v>
      </c>
      <c r="DK85" s="10" t="str">
        <v/>
      </c>
      <c r="DL85" s="10">
        <v>0</v>
      </c>
    </row>
    <row r="86" spans="1:116" ht="21" customHeight="1" x14ac:dyDescent="0.3">
      <c r="A86" s="71" t="str">
        <v>灵魂光环</v>
      </c>
      <c r="B86" s="82">
        <v>1128</v>
      </c>
      <c r="C86" s="82" t="str">
        <v>魔</v>
      </c>
      <c r="D86" s="71" t="str">
        <v>是</v>
      </c>
      <c r="E86" s="75">
        <v>9</v>
      </c>
      <c r="F86" s="75">
        <v>9</v>
      </c>
      <c r="G86" s="77" t="str">
        <v>0</v>
      </c>
      <c r="H86" s="100" t="str">
        <v>138冰冻值</v>
      </c>
      <c r="I86" s="75">
        <v>14</v>
      </c>
      <c r="J86" s="76">
        <v>0</v>
      </c>
      <c r="K86" s="76">
        <v>1128</v>
      </c>
      <c r="L86" s="76">
        <v>0</v>
      </c>
      <c r="M86" s="76">
        <v>0</v>
      </c>
      <c r="N86" s="76">
        <v>0</v>
      </c>
      <c r="O86" s="76">
        <v>1</v>
      </c>
      <c r="P86" s="10">
        <v>210500050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6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 t="str">
        <v>无</v>
      </c>
      <c r="AF86" s="10" t="str">
        <v>无</v>
      </c>
      <c r="AG86" s="10" t="str">
        <v>无</v>
      </c>
      <c r="AH86" s="10" t="str">
        <v>无</v>
      </c>
      <c r="AI86" s="10" t="str">
        <v>无</v>
      </c>
      <c r="AJ86" s="10" t="str">
        <v>无</v>
      </c>
      <c r="AK86" s="10">
        <v>0</v>
      </c>
      <c r="AL86" s="10">
        <v>0</v>
      </c>
      <c r="AM86" s="10">
        <v>0</v>
      </c>
      <c r="AN86" s="10">
        <v>0</v>
      </c>
      <c r="AO86" s="10">
        <v>0</v>
      </c>
      <c r="AP86" s="10">
        <v>0</v>
      </c>
      <c r="AQ86" s="10">
        <v>0</v>
      </c>
      <c r="AR86" s="10">
        <v>0</v>
      </c>
      <c r="AS86" s="10">
        <v>0</v>
      </c>
      <c r="AT86" s="10">
        <v>0</v>
      </c>
      <c r="AU86" s="10">
        <v>0</v>
      </c>
      <c r="AV86" s="10">
        <v>0</v>
      </c>
      <c r="AW86" s="10">
        <v>270.90000000000003</v>
      </c>
      <c r="AX86" s="10">
        <v>0</v>
      </c>
      <c r="AY86" s="10">
        <v>0</v>
      </c>
      <c r="AZ86" s="10">
        <v>0</v>
      </c>
      <c r="BA86" s="10">
        <v>0</v>
      </c>
      <c r="BB86" s="10">
        <v>0</v>
      </c>
      <c r="BC86" s="10">
        <v>1128</v>
      </c>
      <c r="BD86" s="10">
        <v>0</v>
      </c>
      <c r="BE86" s="10">
        <v>0</v>
      </c>
      <c r="BF86" s="10">
        <v>0</v>
      </c>
      <c r="BG86" s="10">
        <v>0</v>
      </c>
      <c r="BH86" s="10">
        <v>0</v>
      </c>
      <c r="BI86" s="10">
        <v>0</v>
      </c>
      <c r="BJ86" s="10">
        <v>0</v>
      </c>
      <c r="BK86" s="10">
        <v>0</v>
      </c>
      <c r="BL86" s="10">
        <v>0</v>
      </c>
      <c r="BM86" s="10">
        <v>0</v>
      </c>
      <c r="BN86" s="10">
        <v>0</v>
      </c>
      <c r="BO86" s="10">
        <v>0</v>
      </c>
      <c r="BP86" s="10">
        <v>0</v>
      </c>
      <c r="BQ86" s="10">
        <v>0</v>
      </c>
      <c r="BR86" s="10">
        <v>0</v>
      </c>
      <c r="BS86" s="10">
        <v>0</v>
      </c>
      <c r="BT86" s="10">
        <v>0</v>
      </c>
      <c r="BU86" s="10">
        <v>0</v>
      </c>
      <c r="BV86" s="10">
        <v>0</v>
      </c>
      <c r="BW86" s="10">
        <v>0</v>
      </c>
      <c r="BX86" s="10">
        <v>0</v>
      </c>
      <c r="BY86" s="10">
        <v>0</v>
      </c>
      <c r="BZ86" s="10">
        <v>0</v>
      </c>
      <c r="CA86" s="10">
        <v>0</v>
      </c>
      <c r="CB86" s="10">
        <v>0</v>
      </c>
      <c r="CC86" s="10">
        <v>0</v>
      </c>
      <c r="CD86" s="10">
        <v>0</v>
      </c>
      <c r="CE86" s="10">
        <v>0</v>
      </c>
      <c r="CF86" s="10">
        <v>0</v>
      </c>
      <c r="CG86" s="10">
        <v>0</v>
      </c>
      <c r="CH86" s="10">
        <v>0</v>
      </c>
      <c r="CI86" s="10">
        <v>0</v>
      </c>
      <c r="CJ86" s="10">
        <v>0</v>
      </c>
      <c r="CK86" s="10">
        <v>0</v>
      </c>
      <c r="CL86" s="10">
        <v>0</v>
      </c>
      <c r="CM86" s="10">
        <v>0</v>
      </c>
      <c r="CN86" s="10">
        <v>0</v>
      </c>
      <c r="CO86" s="10">
        <v>0</v>
      </c>
      <c r="CP86" s="10">
        <v>0</v>
      </c>
      <c r="CQ86" s="10">
        <v>0</v>
      </c>
      <c r="CR86" s="10">
        <v>0</v>
      </c>
      <c r="CS86" s="10">
        <v>1.5</v>
      </c>
      <c r="CT86" s="10">
        <v>0</v>
      </c>
      <c r="CU86" s="10">
        <v>0</v>
      </c>
      <c r="CV86" s="10">
        <v>0</v>
      </c>
      <c r="CW86" s="10">
        <v>0</v>
      </c>
      <c r="CX86" s="10">
        <v>0</v>
      </c>
      <c r="CY86" s="10">
        <v>0</v>
      </c>
      <c r="CZ86" s="10" t="str">
        <v/>
      </c>
      <c r="DA86" s="10" t="str">
        <v/>
      </c>
      <c r="DB86" s="10" t="str">
        <v/>
      </c>
      <c r="DC86" s="10" t="str">
        <v/>
      </c>
      <c r="DD86" s="10" t="str">
        <v/>
      </c>
      <c r="DE86" s="10">
        <v>23</v>
      </c>
      <c r="DF86" s="10">
        <v>0</v>
      </c>
      <c r="DG86" s="10">
        <v>0</v>
      </c>
      <c r="DH86" s="10">
        <v>0</v>
      </c>
      <c r="DI86" s="10">
        <v>0</v>
      </c>
      <c r="DJ86" s="10">
        <v>0</v>
      </c>
      <c r="DK86" s="10" t="str">
        <v>冰冻值</v>
      </c>
      <c r="DL86" s="10">
        <v>0</v>
      </c>
    </row>
    <row r="87" spans="1:116" ht="21" customHeight="1" x14ac:dyDescent="0.3">
      <c r="A87" s="71" t="str">
        <v>迸发灵火</v>
      </c>
      <c r="B87" s="82">
        <v>2623</v>
      </c>
      <c r="C87" s="82" t="str">
        <v>魔</v>
      </c>
      <c r="D87" s="71" t="str">
        <v>否</v>
      </c>
      <c r="E87" s="75">
        <v>24.11</v>
      </c>
      <c r="F87" s="75">
        <v>24.11</v>
      </c>
      <c r="G87" s="77" t="str">
        <v>7+0</v>
      </c>
      <c r="H87" s="100" t="str">
        <v>434冰冻值</v>
      </c>
      <c r="I87" s="75">
        <v>29</v>
      </c>
      <c r="J87" s="76">
        <v>0</v>
      </c>
      <c r="K87" s="76">
        <v>2623</v>
      </c>
      <c r="L87" s="76">
        <v>0</v>
      </c>
      <c r="M87" s="76">
        <v>0</v>
      </c>
      <c r="N87" s="76">
        <v>0</v>
      </c>
      <c r="O87" s="76">
        <v>1</v>
      </c>
      <c r="P87" s="10">
        <v>50100</v>
      </c>
      <c r="Q87" s="10">
        <v>50101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1</v>
      </c>
      <c r="Z87" s="10">
        <v>8</v>
      </c>
      <c r="AA87" s="10">
        <v>0</v>
      </c>
      <c r="AB87" s="10">
        <v>0</v>
      </c>
      <c r="AC87" s="10">
        <v>0</v>
      </c>
      <c r="AD87" s="10">
        <v>0</v>
      </c>
      <c r="AE87" s="10" t="str">
        <v>无</v>
      </c>
      <c r="AF87" s="10" t="str">
        <v>无</v>
      </c>
      <c r="AG87" s="10" t="str">
        <v>无</v>
      </c>
      <c r="AH87" s="10" t="str">
        <v>无</v>
      </c>
      <c r="AI87" s="10" t="str">
        <v>无</v>
      </c>
      <c r="AJ87" s="10" t="str">
        <v>无</v>
      </c>
      <c r="AK87" s="10">
        <v>0</v>
      </c>
      <c r="AL87" s="10">
        <v>0</v>
      </c>
      <c r="AM87" s="10">
        <v>0</v>
      </c>
      <c r="AN87" s="10">
        <v>0</v>
      </c>
      <c r="AO87" s="10">
        <v>0</v>
      </c>
      <c r="AP87" s="10">
        <v>0</v>
      </c>
      <c r="AQ87" s="10">
        <v>0</v>
      </c>
      <c r="AR87" s="10">
        <v>0</v>
      </c>
      <c r="AS87" s="10">
        <v>0</v>
      </c>
      <c r="AT87" s="10">
        <v>0</v>
      </c>
      <c r="AU87" s="10">
        <v>0</v>
      </c>
      <c r="AV87" s="10">
        <v>0</v>
      </c>
      <c r="AW87" s="10">
        <v>1341.6000000000001</v>
      </c>
      <c r="AX87" s="10">
        <v>258.00000000000006</v>
      </c>
      <c r="AY87" s="10">
        <v>0</v>
      </c>
      <c r="AZ87" s="10">
        <v>0</v>
      </c>
      <c r="BA87" s="10">
        <v>0</v>
      </c>
      <c r="BB87" s="10">
        <v>0</v>
      </c>
      <c r="BC87" s="10">
        <v>1207</v>
      </c>
      <c r="BD87" s="10">
        <v>1416</v>
      </c>
      <c r="BE87" s="10">
        <v>0</v>
      </c>
      <c r="BF87" s="10">
        <v>0</v>
      </c>
      <c r="BG87" s="10">
        <v>0</v>
      </c>
      <c r="BH87" s="10">
        <v>0</v>
      </c>
      <c r="BI87" s="10">
        <v>0</v>
      </c>
      <c r="BJ87" s="10">
        <v>0</v>
      </c>
      <c r="BK87" s="10">
        <v>0</v>
      </c>
      <c r="BL87" s="10">
        <v>0</v>
      </c>
      <c r="BM87" s="10">
        <v>0</v>
      </c>
      <c r="BN87" s="10">
        <v>0</v>
      </c>
      <c r="BO87" s="10">
        <v>0</v>
      </c>
      <c r="BP87" s="10">
        <v>0</v>
      </c>
      <c r="BQ87" s="10">
        <v>0</v>
      </c>
      <c r="BR87" s="10">
        <v>0</v>
      </c>
      <c r="BS87" s="10">
        <v>0</v>
      </c>
      <c r="BT87" s="10">
        <v>0</v>
      </c>
      <c r="BU87" s="10">
        <v>0</v>
      </c>
      <c r="BV87" s="10">
        <v>0</v>
      </c>
      <c r="BW87" s="10">
        <v>0</v>
      </c>
      <c r="BX87" s="10">
        <v>0</v>
      </c>
      <c r="BY87" s="10">
        <v>0</v>
      </c>
      <c r="BZ87" s="10">
        <v>0</v>
      </c>
      <c r="CA87" s="10">
        <v>0</v>
      </c>
      <c r="CB87" s="10">
        <v>0</v>
      </c>
      <c r="CC87" s="10">
        <v>0</v>
      </c>
      <c r="CD87" s="10">
        <v>0</v>
      </c>
      <c r="CE87" s="10">
        <v>0</v>
      </c>
      <c r="CF87" s="10">
        <v>0</v>
      </c>
      <c r="CG87" s="10">
        <v>0</v>
      </c>
      <c r="CH87" s="10">
        <v>0</v>
      </c>
      <c r="CI87" s="10">
        <v>0</v>
      </c>
      <c r="CJ87" s="10">
        <v>0</v>
      </c>
      <c r="CK87" s="10">
        <v>0</v>
      </c>
      <c r="CL87" s="10">
        <v>0</v>
      </c>
      <c r="CM87" s="10">
        <v>0</v>
      </c>
      <c r="CN87" s="10">
        <v>0</v>
      </c>
      <c r="CO87" s="10">
        <v>0</v>
      </c>
      <c r="CP87" s="10">
        <v>0</v>
      </c>
      <c r="CQ87" s="10">
        <v>0</v>
      </c>
      <c r="CR87" s="10">
        <v>0</v>
      </c>
      <c r="CS87" s="10">
        <v>16.113499999999998</v>
      </c>
      <c r="CT87" s="10">
        <v>1</v>
      </c>
      <c r="CU87" s="10">
        <v>0</v>
      </c>
      <c r="CV87" s="10">
        <v>0</v>
      </c>
      <c r="CW87" s="10">
        <v>0</v>
      </c>
      <c r="CX87" s="10">
        <v>0</v>
      </c>
      <c r="CY87" s="10">
        <v>7</v>
      </c>
      <c r="CZ87" s="10">
        <v>0</v>
      </c>
      <c r="DA87" s="10" t="str">
        <v/>
      </c>
      <c r="DB87" s="10" t="str">
        <v/>
      </c>
      <c r="DC87" s="10" t="str">
        <v/>
      </c>
      <c r="DD87" s="10" t="str">
        <v/>
      </c>
      <c r="DE87" s="10">
        <v>130</v>
      </c>
      <c r="DF87" s="10">
        <v>38</v>
      </c>
      <c r="DG87" s="10">
        <v>0</v>
      </c>
      <c r="DH87" s="10">
        <v>0</v>
      </c>
      <c r="DI87" s="10">
        <v>0</v>
      </c>
      <c r="DJ87" s="10">
        <v>0</v>
      </c>
      <c r="DK87" s="10" t="str">
        <v>冰冻值</v>
      </c>
      <c r="DL87" s="10">
        <v>0</v>
      </c>
    </row>
    <row r="88" spans="1:116" ht="21" customHeight="1" x14ac:dyDescent="0.3">
      <c r="A88" s="71" t="str">
        <v>提比亚的唤声</v>
      </c>
      <c r="B88" s="82">
        <v>1326</v>
      </c>
      <c r="C88" s="82" t="str">
        <v>魔</v>
      </c>
      <c r="D88" s="71" t="str">
        <v>否</v>
      </c>
      <c r="E88" s="75">
        <v>15</v>
      </c>
      <c r="F88" s="75">
        <v>15</v>
      </c>
      <c r="G88" s="77" t="str">
        <v>2</v>
      </c>
      <c r="H88" s="100" t="str">
        <v>无</v>
      </c>
      <c r="I88" s="75">
        <v>17</v>
      </c>
      <c r="J88" s="76">
        <v>0</v>
      </c>
      <c r="K88" s="76">
        <v>1326</v>
      </c>
      <c r="L88" s="76">
        <v>0</v>
      </c>
      <c r="M88" s="76">
        <v>0</v>
      </c>
      <c r="N88" s="76">
        <v>0</v>
      </c>
      <c r="O88" s="76">
        <v>1</v>
      </c>
      <c r="P88" s="10">
        <v>50300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3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 t="str">
        <v>无</v>
      </c>
      <c r="AF88" s="10" t="str">
        <v>无</v>
      </c>
      <c r="AG88" s="10" t="str">
        <v>无</v>
      </c>
      <c r="AH88" s="10" t="str">
        <v>无</v>
      </c>
      <c r="AI88" s="10" t="str">
        <v>无</v>
      </c>
      <c r="AJ88" s="10" t="str">
        <v>无</v>
      </c>
      <c r="AK88" s="10">
        <v>0</v>
      </c>
      <c r="AL88" s="10">
        <v>0</v>
      </c>
      <c r="AM88" s="10">
        <v>0</v>
      </c>
      <c r="AN88" s="10">
        <v>0</v>
      </c>
      <c r="AO88" s="10">
        <v>0</v>
      </c>
      <c r="AP88" s="10">
        <v>0</v>
      </c>
      <c r="AQ88" s="10">
        <v>0</v>
      </c>
      <c r="AR88" s="10">
        <v>0</v>
      </c>
      <c r="AS88" s="10">
        <v>0</v>
      </c>
      <c r="AT88" s="10">
        <v>0</v>
      </c>
      <c r="AU88" s="10">
        <v>0</v>
      </c>
      <c r="AV88" s="10">
        <v>0</v>
      </c>
      <c r="AW88" s="10">
        <v>537.50000000000011</v>
      </c>
      <c r="AX88" s="10">
        <v>0</v>
      </c>
      <c r="AY88" s="10">
        <v>0</v>
      </c>
      <c r="AZ88" s="10">
        <v>0</v>
      </c>
      <c r="BA88" s="10">
        <v>0</v>
      </c>
      <c r="BB88" s="10">
        <v>0</v>
      </c>
      <c r="BC88" s="10">
        <v>1326</v>
      </c>
      <c r="BD88" s="10">
        <v>0</v>
      </c>
      <c r="BE88" s="10">
        <v>0</v>
      </c>
      <c r="BF88" s="10">
        <v>0</v>
      </c>
      <c r="BG88" s="10">
        <v>0</v>
      </c>
      <c r="BH88" s="10">
        <v>0</v>
      </c>
      <c r="BI88" s="10">
        <v>0</v>
      </c>
      <c r="BJ88" s="10">
        <v>0</v>
      </c>
      <c r="BK88" s="10">
        <v>0</v>
      </c>
      <c r="BL88" s="10">
        <v>0</v>
      </c>
      <c r="BM88" s="10">
        <v>0</v>
      </c>
      <c r="BN88" s="10">
        <v>0</v>
      </c>
      <c r="BO88" s="10">
        <v>0</v>
      </c>
      <c r="BP88" s="10">
        <v>0</v>
      </c>
      <c r="BQ88" s="10">
        <v>0</v>
      </c>
      <c r="BR88" s="10">
        <v>0</v>
      </c>
      <c r="BS88" s="10">
        <v>0</v>
      </c>
      <c r="BT88" s="10">
        <v>0</v>
      </c>
      <c r="BU88" s="10">
        <v>0</v>
      </c>
      <c r="BV88" s="10">
        <v>0</v>
      </c>
      <c r="BW88" s="10">
        <v>0</v>
      </c>
      <c r="BX88" s="10">
        <v>0</v>
      </c>
      <c r="BY88" s="10">
        <v>0</v>
      </c>
      <c r="BZ88" s="10">
        <v>0</v>
      </c>
      <c r="CA88" s="10">
        <v>0</v>
      </c>
      <c r="CB88" s="10">
        <v>0</v>
      </c>
      <c r="CC88" s="10">
        <v>0</v>
      </c>
      <c r="CD88" s="10">
        <v>0</v>
      </c>
      <c r="CE88" s="10">
        <v>0</v>
      </c>
      <c r="CF88" s="10">
        <v>0</v>
      </c>
      <c r="CG88" s="10">
        <v>0</v>
      </c>
      <c r="CH88" s="10">
        <v>0</v>
      </c>
      <c r="CI88" s="10">
        <v>0</v>
      </c>
      <c r="CJ88" s="10">
        <v>0</v>
      </c>
      <c r="CK88" s="10">
        <v>0</v>
      </c>
      <c r="CL88" s="10">
        <v>0</v>
      </c>
      <c r="CM88" s="10">
        <v>0</v>
      </c>
      <c r="CN88" s="10">
        <v>0</v>
      </c>
      <c r="CO88" s="10">
        <v>0</v>
      </c>
      <c r="CP88" s="10">
        <v>0</v>
      </c>
      <c r="CQ88" s="10">
        <v>0</v>
      </c>
      <c r="CR88" s="10">
        <v>0</v>
      </c>
      <c r="CS88" s="10">
        <v>5</v>
      </c>
      <c r="CT88" s="10">
        <v>0</v>
      </c>
      <c r="CU88" s="10">
        <v>0</v>
      </c>
      <c r="CV88" s="10">
        <v>0</v>
      </c>
      <c r="CW88" s="10">
        <v>0</v>
      </c>
      <c r="CX88" s="10">
        <v>0</v>
      </c>
      <c r="CY88" s="10">
        <v>2</v>
      </c>
      <c r="CZ88" s="10" t="str">
        <v/>
      </c>
      <c r="DA88" s="10" t="str">
        <v/>
      </c>
      <c r="DB88" s="10" t="str">
        <v/>
      </c>
      <c r="DC88" s="10" t="str">
        <v/>
      </c>
      <c r="DD88" s="10" t="str">
        <v/>
      </c>
      <c r="DE88" s="10">
        <v>0</v>
      </c>
      <c r="DF88" s="10">
        <v>0</v>
      </c>
      <c r="DG88" s="10">
        <v>0</v>
      </c>
      <c r="DH88" s="10">
        <v>0</v>
      </c>
      <c r="DI88" s="10">
        <v>0</v>
      </c>
      <c r="DJ88" s="10">
        <v>0</v>
      </c>
      <c r="DK88" s="10" t="str">
        <v/>
      </c>
      <c r="DL88" s="10">
        <v>0</v>
      </c>
    </row>
    <row r="89" spans="1:116" ht="21" customHeight="1" x14ac:dyDescent="0.3">
      <c r="A89" s="71" t="str">
        <v>融泥块</v>
      </c>
      <c r="B89" s="82">
        <v>1494</v>
      </c>
      <c r="C89" s="82" t="str">
        <v>魔</v>
      </c>
      <c r="D89" s="71" t="str">
        <v>是</v>
      </c>
      <c r="E89" s="75">
        <v>18</v>
      </c>
      <c r="F89" s="75">
        <v>18</v>
      </c>
      <c r="G89" s="77" t="str">
        <v>1+3</v>
      </c>
      <c r="H89" s="100" t="str">
        <v>200冰冻值</v>
      </c>
      <c r="I89" s="75">
        <v>41</v>
      </c>
      <c r="J89" s="76">
        <v>0</v>
      </c>
      <c r="K89" s="76">
        <v>1494</v>
      </c>
      <c r="L89" s="76">
        <v>0</v>
      </c>
      <c r="M89" s="76">
        <v>0</v>
      </c>
      <c r="N89" s="76">
        <v>0</v>
      </c>
      <c r="O89" s="76">
        <v>1</v>
      </c>
      <c r="P89" s="10">
        <v>210621050</v>
      </c>
      <c r="Q89" s="10">
        <v>210621051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1</v>
      </c>
      <c r="Z89" s="10">
        <v>1</v>
      </c>
      <c r="AA89" s="10">
        <v>0</v>
      </c>
      <c r="AB89" s="10">
        <v>0</v>
      </c>
      <c r="AC89" s="10">
        <v>0</v>
      </c>
      <c r="AD89" s="10">
        <v>0</v>
      </c>
      <c r="AE89" s="10" t="str">
        <v>无</v>
      </c>
      <c r="AF89" s="10" t="str">
        <v>无</v>
      </c>
      <c r="AG89" s="10" t="str">
        <v>无</v>
      </c>
      <c r="AH89" s="10" t="str">
        <v>无</v>
      </c>
      <c r="AI89" s="10" t="str">
        <v>无</v>
      </c>
      <c r="AJ89" s="10" t="str">
        <v>无</v>
      </c>
      <c r="AK89" s="10">
        <v>0</v>
      </c>
      <c r="AL89" s="10">
        <v>0</v>
      </c>
      <c r="AM89" s="10">
        <v>0</v>
      </c>
      <c r="AN89" s="10">
        <v>0</v>
      </c>
      <c r="AO89" s="10">
        <v>0</v>
      </c>
      <c r="AP89" s="10">
        <v>0</v>
      </c>
      <c r="AQ89" s="10">
        <v>0</v>
      </c>
      <c r="AR89" s="10">
        <v>0</v>
      </c>
      <c r="AS89" s="10">
        <v>0</v>
      </c>
      <c r="AT89" s="10">
        <v>0</v>
      </c>
      <c r="AU89" s="10">
        <v>0</v>
      </c>
      <c r="AV89" s="10">
        <v>0</v>
      </c>
      <c r="AW89" s="10">
        <v>430.00000000000006</v>
      </c>
      <c r="AX89" s="10">
        <v>1290.0000000000002</v>
      </c>
      <c r="AY89" s="10">
        <v>0</v>
      </c>
      <c r="AZ89" s="10">
        <v>0</v>
      </c>
      <c r="BA89" s="10">
        <v>0</v>
      </c>
      <c r="BB89" s="10">
        <v>0</v>
      </c>
      <c r="BC89" s="10">
        <v>333</v>
      </c>
      <c r="BD89" s="10">
        <v>1161</v>
      </c>
      <c r="BE89" s="10">
        <v>0</v>
      </c>
      <c r="BF89" s="10">
        <v>0</v>
      </c>
      <c r="BG89" s="10">
        <v>0</v>
      </c>
      <c r="BH89" s="10">
        <v>0</v>
      </c>
      <c r="BI89" s="10">
        <v>0</v>
      </c>
      <c r="BJ89" s="10">
        <v>0</v>
      </c>
      <c r="BK89" s="10">
        <v>0</v>
      </c>
      <c r="BL89" s="10">
        <v>0</v>
      </c>
      <c r="BM89" s="10">
        <v>0</v>
      </c>
      <c r="BN89" s="10">
        <v>0</v>
      </c>
      <c r="BO89" s="10">
        <v>0</v>
      </c>
      <c r="BP89" s="10">
        <v>0</v>
      </c>
      <c r="BQ89" s="10">
        <v>0</v>
      </c>
      <c r="BR89" s="10">
        <v>0</v>
      </c>
      <c r="BS89" s="10">
        <v>0</v>
      </c>
      <c r="BT89" s="10">
        <v>0</v>
      </c>
      <c r="BU89" s="10">
        <v>0</v>
      </c>
      <c r="BV89" s="10">
        <v>0</v>
      </c>
      <c r="BW89" s="10">
        <v>0</v>
      </c>
      <c r="BX89" s="10">
        <v>0</v>
      </c>
      <c r="BY89" s="10">
        <v>0</v>
      </c>
      <c r="BZ89" s="10">
        <v>0</v>
      </c>
      <c r="CA89" s="10">
        <v>0</v>
      </c>
      <c r="CB89" s="10">
        <v>0</v>
      </c>
      <c r="CC89" s="10">
        <v>0</v>
      </c>
      <c r="CD89" s="10">
        <v>0</v>
      </c>
      <c r="CE89" s="10">
        <v>0</v>
      </c>
      <c r="CF89" s="10">
        <v>0</v>
      </c>
      <c r="CG89" s="10">
        <v>0</v>
      </c>
      <c r="CH89" s="10">
        <v>0</v>
      </c>
      <c r="CI89" s="10">
        <v>0</v>
      </c>
      <c r="CJ89" s="10">
        <v>0</v>
      </c>
      <c r="CK89" s="10">
        <v>0</v>
      </c>
      <c r="CL89" s="10">
        <v>0</v>
      </c>
      <c r="CM89" s="10">
        <v>0</v>
      </c>
      <c r="CN89" s="10">
        <v>0</v>
      </c>
      <c r="CO89" s="10">
        <v>0</v>
      </c>
      <c r="CP89" s="10">
        <v>0</v>
      </c>
      <c r="CQ89" s="10">
        <v>0</v>
      </c>
      <c r="CR89" s="10">
        <v>0</v>
      </c>
      <c r="CS89" s="10">
        <v>5</v>
      </c>
      <c r="CT89" s="10">
        <v>13</v>
      </c>
      <c r="CU89" s="10">
        <v>0</v>
      </c>
      <c r="CV89" s="10">
        <v>0</v>
      </c>
      <c r="CW89" s="10">
        <v>0</v>
      </c>
      <c r="CX89" s="10">
        <v>0</v>
      </c>
      <c r="CY89" s="10">
        <v>1</v>
      </c>
      <c r="CZ89" s="10">
        <v>3</v>
      </c>
      <c r="DA89" s="10" t="str">
        <v/>
      </c>
      <c r="DB89" s="10" t="str">
        <v/>
      </c>
      <c r="DC89" s="10" t="str">
        <v/>
      </c>
      <c r="DD89" s="10" t="str">
        <v/>
      </c>
      <c r="DE89" s="10">
        <v>50</v>
      </c>
      <c r="DF89" s="10">
        <v>150</v>
      </c>
      <c r="DG89" s="10">
        <v>0</v>
      </c>
      <c r="DH89" s="10">
        <v>0</v>
      </c>
      <c r="DI89" s="10">
        <v>0</v>
      </c>
      <c r="DJ89" s="10">
        <v>0</v>
      </c>
      <c r="DK89" s="10" t="str">
        <v>冰冻值</v>
      </c>
      <c r="DL89" s="10">
        <v>0</v>
      </c>
    </row>
    <row r="90" spans="1:116" ht="21" customHeight="1" x14ac:dyDescent="0.3">
      <c r="A90" s="71" t="str">
        <v>融泥漩</v>
      </c>
      <c r="B90" s="82">
        <v>1269</v>
      </c>
      <c r="C90" s="82" t="str">
        <v>魔</v>
      </c>
      <c r="D90" s="71" t="str">
        <v>否</v>
      </c>
      <c r="E90" s="75">
        <v>5</v>
      </c>
      <c r="F90" s="75">
        <v>5</v>
      </c>
      <c r="G90" s="77" t="str">
        <v>1</v>
      </c>
      <c r="H90" s="100" t="str">
        <v>170冰冻值</v>
      </c>
      <c r="I90" s="75">
        <v>29</v>
      </c>
      <c r="J90" s="76">
        <v>0</v>
      </c>
      <c r="K90" s="76">
        <v>1269</v>
      </c>
      <c r="L90" s="76">
        <v>0</v>
      </c>
      <c r="M90" s="76">
        <v>0</v>
      </c>
      <c r="N90" s="76">
        <v>0</v>
      </c>
      <c r="O90" s="76">
        <v>1</v>
      </c>
      <c r="P90" s="10">
        <v>210620000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1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 t="str">
        <v>无</v>
      </c>
      <c r="AF90" s="10" t="str">
        <v>无</v>
      </c>
      <c r="AG90" s="10" t="str">
        <v>无</v>
      </c>
      <c r="AH90" s="10" t="str">
        <v>无</v>
      </c>
      <c r="AI90" s="10" t="str">
        <v>无</v>
      </c>
      <c r="AJ90" s="10" t="str">
        <v>无</v>
      </c>
      <c r="AK90" s="10">
        <v>0</v>
      </c>
      <c r="AL90" s="10">
        <v>0</v>
      </c>
      <c r="AM90" s="10">
        <v>0</v>
      </c>
      <c r="AN90" s="10">
        <v>0</v>
      </c>
      <c r="AO90" s="10">
        <v>0</v>
      </c>
      <c r="AP90" s="10">
        <v>0</v>
      </c>
      <c r="AQ90" s="10">
        <v>0</v>
      </c>
      <c r="AR90" s="10">
        <v>0</v>
      </c>
      <c r="AS90" s="10">
        <v>0</v>
      </c>
      <c r="AT90" s="10">
        <v>0</v>
      </c>
      <c r="AU90" s="10">
        <v>0</v>
      </c>
      <c r="AV90" s="10">
        <v>0</v>
      </c>
      <c r="AW90" s="10">
        <v>1410.4000000000003</v>
      </c>
      <c r="AX90" s="10">
        <v>0</v>
      </c>
      <c r="AY90" s="10">
        <v>0</v>
      </c>
      <c r="AZ90" s="10">
        <v>0</v>
      </c>
      <c r="BA90" s="10">
        <v>0</v>
      </c>
      <c r="BB90" s="10">
        <v>0</v>
      </c>
      <c r="BC90" s="10">
        <v>1269</v>
      </c>
      <c r="BD90" s="10">
        <v>0</v>
      </c>
      <c r="BE90" s="10">
        <v>0</v>
      </c>
      <c r="BF90" s="10">
        <v>0</v>
      </c>
      <c r="BG90" s="10">
        <v>0</v>
      </c>
      <c r="BH90" s="10">
        <v>0</v>
      </c>
      <c r="BI90" s="10">
        <v>0</v>
      </c>
      <c r="BJ90" s="10">
        <v>0</v>
      </c>
      <c r="BK90" s="10">
        <v>0</v>
      </c>
      <c r="BL90" s="10">
        <v>0</v>
      </c>
      <c r="BM90" s="10">
        <v>0</v>
      </c>
      <c r="BN90" s="10">
        <v>0</v>
      </c>
      <c r="BO90" s="10">
        <v>0</v>
      </c>
      <c r="BP90" s="10">
        <v>0</v>
      </c>
      <c r="BQ90" s="10">
        <v>0</v>
      </c>
      <c r="BR90" s="10">
        <v>0</v>
      </c>
      <c r="BS90" s="10">
        <v>0</v>
      </c>
      <c r="BT90" s="10">
        <v>0</v>
      </c>
      <c r="BU90" s="10">
        <v>0</v>
      </c>
      <c r="BV90" s="10">
        <v>0</v>
      </c>
      <c r="BW90" s="10">
        <v>0</v>
      </c>
      <c r="BX90" s="10">
        <v>0</v>
      </c>
      <c r="BY90" s="10">
        <v>0</v>
      </c>
      <c r="BZ90" s="10">
        <v>0</v>
      </c>
      <c r="CA90" s="10">
        <v>0</v>
      </c>
      <c r="CB90" s="10">
        <v>0</v>
      </c>
      <c r="CC90" s="10">
        <v>0</v>
      </c>
      <c r="CD90" s="10">
        <v>0</v>
      </c>
      <c r="CE90" s="10">
        <v>0</v>
      </c>
      <c r="CF90" s="10">
        <v>0</v>
      </c>
      <c r="CG90" s="10">
        <v>0</v>
      </c>
      <c r="CH90" s="10">
        <v>0</v>
      </c>
      <c r="CI90" s="10">
        <v>0</v>
      </c>
      <c r="CJ90" s="10">
        <v>0</v>
      </c>
      <c r="CK90" s="10">
        <v>0</v>
      </c>
      <c r="CL90" s="10">
        <v>0</v>
      </c>
      <c r="CM90" s="10">
        <v>0</v>
      </c>
      <c r="CN90" s="10">
        <v>0</v>
      </c>
      <c r="CO90" s="10">
        <v>0</v>
      </c>
      <c r="CP90" s="10">
        <v>0</v>
      </c>
      <c r="CQ90" s="10">
        <v>0</v>
      </c>
      <c r="CR90" s="10">
        <v>0</v>
      </c>
      <c r="CS90" s="10">
        <v>5</v>
      </c>
      <c r="CT90" s="10">
        <v>0</v>
      </c>
      <c r="CU90" s="10">
        <v>0</v>
      </c>
      <c r="CV90" s="10">
        <v>0</v>
      </c>
      <c r="CW90" s="10">
        <v>0</v>
      </c>
      <c r="CX90" s="10">
        <v>0</v>
      </c>
      <c r="CY90" s="10">
        <v>1</v>
      </c>
      <c r="CZ90" s="10" t="str">
        <v/>
      </c>
      <c r="DA90" s="10" t="str">
        <v/>
      </c>
      <c r="DB90" s="10" t="str">
        <v/>
      </c>
      <c r="DC90" s="10" t="str">
        <v/>
      </c>
      <c r="DD90" s="10" t="str">
        <v/>
      </c>
      <c r="DE90" s="10">
        <v>170</v>
      </c>
      <c r="DF90" s="10">
        <v>0</v>
      </c>
      <c r="DG90" s="10">
        <v>0</v>
      </c>
      <c r="DH90" s="10">
        <v>0</v>
      </c>
      <c r="DI90" s="10">
        <v>0</v>
      </c>
      <c r="DJ90" s="10">
        <v>0</v>
      </c>
      <c r="DK90" s="10" t="str">
        <v>冰冻值</v>
      </c>
      <c r="DL90" s="10">
        <v>0</v>
      </c>
    </row>
    <row r="91" spans="1:116" ht="21" customHeight="1" x14ac:dyDescent="0.3">
      <c r="A91" s="71"/>
      <c r="B91" s="82"/>
      <c r="C91" s="82"/>
      <c r="D91" s="71"/>
      <c r="E91" s="75"/>
      <c r="F91" s="75"/>
      <c r="G91" s="77"/>
      <c r="H91" s="100"/>
      <c r="I91" s="75"/>
      <c r="J91" s="76"/>
      <c r="K91" s="76"/>
      <c r="L91" s="76"/>
      <c r="M91" s="76"/>
      <c r="N91" s="76"/>
      <c r="O91" s="76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  <c r="CW91" s="10"/>
      <c r="CX91" s="10"/>
      <c r="CY91" s="10"/>
      <c r="CZ91" s="10"/>
      <c r="DA91" s="10"/>
      <c r="DB91" s="10"/>
      <c r="DC91" s="10"/>
      <c r="DD91" s="10"/>
      <c r="DE91" s="10"/>
      <c r="DF91" s="10"/>
      <c r="DG91" s="10"/>
      <c r="DH91" s="10"/>
      <c r="DI91" s="10"/>
      <c r="DJ91" s="10"/>
      <c r="DK91" s="10"/>
      <c r="DL91" s="10"/>
    </row>
    <row r="92" spans="1:116" ht="21" customHeight="1" x14ac:dyDescent="0.3">
      <c r="A92" s="71"/>
      <c r="B92" s="82"/>
      <c r="C92" s="82"/>
      <c r="D92" s="71"/>
      <c r="E92" s="75"/>
      <c r="F92" s="75"/>
      <c r="G92" s="77"/>
      <c r="H92" s="100"/>
      <c r="I92" s="75"/>
      <c r="J92" s="76"/>
      <c r="K92" s="76"/>
      <c r="L92" s="76"/>
      <c r="M92" s="76"/>
      <c r="N92" s="76"/>
      <c r="O92" s="76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/>
      <c r="CW92" s="10"/>
      <c r="CX92" s="10"/>
      <c r="CY92" s="10"/>
      <c r="CZ92" s="10"/>
      <c r="DA92" s="10"/>
      <c r="DB92" s="10"/>
      <c r="DC92" s="10"/>
      <c r="DD92" s="10"/>
      <c r="DE92" s="10"/>
      <c r="DF92" s="10"/>
      <c r="DG92" s="10"/>
      <c r="DH92" s="10"/>
      <c r="DI92" s="10"/>
      <c r="DJ92" s="10"/>
      <c r="DK92" s="10"/>
      <c r="DL92" s="10"/>
    </row>
    <row r="93" spans="1:116" ht="21" customHeight="1" x14ac:dyDescent="0.3">
      <c r="A93" s="71"/>
      <c r="B93" s="82"/>
      <c r="C93" s="82"/>
      <c r="D93" s="71"/>
      <c r="E93" s="75"/>
      <c r="F93" s="75"/>
      <c r="G93" s="77"/>
      <c r="H93" s="100"/>
      <c r="I93" s="75"/>
      <c r="J93" s="76"/>
      <c r="K93" s="76"/>
      <c r="L93" s="76"/>
      <c r="M93" s="76"/>
      <c r="N93" s="76"/>
      <c r="O93" s="76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  <c r="CW93" s="10"/>
      <c r="CX93" s="10"/>
      <c r="CY93" s="10"/>
      <c r="CZ93" s="10"/>
      <c r="DA93" s="10"/>
      <c r="DB93" s="10"/>
      <c r="DC93" s="10"/>
      <c r="DD93" s="10"/>
      <c r="DE93" s="10"/>
      <c r="DF93" s="10"/>
      <c r="DG93" s="10"/>
      <c r="DH93" s="10"/>
      <c r="DI93" s="10"/>
      <c r="DJ93" s="10"/>
      <c r="DK93" s="10"/>
      <c r="DL93" s="10"/>
    </row>
    <row r="94" spans="1:116" ht="21" customHeight="1" x14ac:dyDescent="0.3">
      <c r="A94" s="71"/>
      <c r="B94" s="82"/>
      <c r="C94" s="82"/>
      <c r="D94" s="71"/>
      <c r="E94" s="75"/>
      <c r="F94" s="75"/>
      <c r="G94" s="77"/>
      <c r="H94" s="100"/>
      <c r="I94" s="75"/>
      <c r="J94" s="76"/>
      <c r="K94" s="76"/>
      <c r="L94" s="76"/>
      <c r="M94" s="76"/>
      <c r="N94" s="76"/>
      <c r="O94" s="76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10"/>
      <c r="CY94" s="10"/>
      <c r="CZ94" s="10"/>
      <c r="DA94" s="10"/>
      <c r="DB94" s="10"/>
      <c r="DC94" s="10"/>
      <c r="DD94" s="10"/>
      <c r="DE94" s="10"/>
      <c r="DF94" s="10"/>
      <c r="DG94" s="10"/>
      <c r="DH94" s="10"/>
      <c r="DI94" s="10"/>
      <c r="DJ94" s="10"/>
      <c r="DK94" s="10"/>
      <c r="DL94" s="10"/>
    </row>
    <row r="95" spans="1:116" ht="21" customHeight="1" x14ac:dyDescent="0.3">
      <c r="A95" s="71"/>
      <c r="B95" s="82"/>
      <c r="C95" s="82"/>
      <c r="D95" s="71"/>
      <c r="E95" s="75"/>
      <c r="F95" s="75"/>
      <c r="G95" s="77"/>
      <c r="H95" s="100"/>
      <c r="I95" s="75"/>
      <c r="J95" s="76"/>
      <c r="K95" s="76"/>
      <c r="L95" s="76"/>
      <c r="M95" s="76"/>
      <c r="N95" s="76"/>
      <c r="O95" s="76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10"/>
      <c r="CY95" s="10"/>
      <c r="CZ95" s="10"/>
      <c r="DA95" s="10"/>
      <c r="DB95" s="10"/>
      <c r="DC95" s="10"/>
      <c r="DD95" s="10"/>
      <c r="DE95" s="10"/>
      <c r="DF95" s="10"/>
      <c r="DG95" s="10"/>
      <c r="DH95" s="10"/>
      <c r="DI95" s="10"/>
      <c r="DJ95" s="10"/>
      <c r="DK95" s="10"/>
      <c r="DL95" s="10"/>
    </row>
    <row r="96" spans="1:116" ht="21" customHeight="1" x14ac:dyDescent="0.3">
      <c r="A96" s="71"/>
      <c r="B96" s="82"/>
      <c r="C96" s="82"/>
      <c r="D96" s="71"/>
      <c r="E96" s="75"/>
      <c r="F96" s="75"/>
      <c r="G96" s="77"/>
      <c r="H96" s="100"/>
      <c r="I96" s="75"/>
      <c r="J96" s="76"/>
      <c r="K96" s="76"/>
      <c r="L96" s="76"/>
      <c r="M96" s="76"/>
      <c r="N96" s="76"/>
      <c r="O96" s="76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10"/>
      <c r="CZ96" s="10"/>
      <c r="DA96" s="10"/>
      <c r="DB96" s="10"/>
      <c r="DC96" s="10"/>
      <c r="DD96" s="10"/>
      <c r="DE96" s="10"/>
      <c r="DF96" s="10"/>
      <c r="DG96" s="10"/>
      <c r="DH96" s="10"/>
      <c r="DI96" s="10"/>
      <c r="DJ96" s="10"/>
      <c r="DK96" s="10"/>
      <c r="DL96" s="10"/>
    </row>
    <row r="97" spans="1:116" ht="21" customHeight="1" x14ac:dyDescent="0.3">
      <c r="A97" s="71"/>
      <c r="B97" s="82"/>
      <c r="C97" s="82"/>
      <c r="D97" s="71"/>
      <c r="E97" s="75"/>
      <c r="F97" s="75"/>
      <c r="G97" s="77"/>
      <c r="H97" s="100"/>
      <c r="I97" s="75"/>
      <c r="J97" s="76"/>
      <c r="K97" s="76"/>
      <c r="L97" s="76"/>
      <c r="M97" s="76"/>
      <c r="N97" s="76"/>
      <c r="O97" s="76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10"/>
      <c r="CY97" s="10"/>
      <c r="CZ97" s="10"/>
      <c r="DA97" s="10"/>
      <c r="DB97" s="10"/>
      <c r="DC97" s="10"/>
      <c r="DD97" s="10"/>
      <c r="DE97" s="10"/>
      <c r="DF97" s="10"/>
      <c r="DG97" s="10"/>
      <c r="DH97" s="10"/>
      <c r="DI97" s="10"/>
      <c r="DJ97" s="10"/>
      <c r="DK97" s="10"/>
      <c r="DL97" s="10"/>
    </row>
    <row r="98" spans="1:116" ht="21" customHeight="1" x14ac:dyDescent="0.3">
      <c r="A98" s="71"/>
      <c r="B98" s="82"/>
      <c r="C98" s="82"/>
      <c r="D98" s="71"/>
      <c r="E98" s="75"/>
      <c r="F98" s="75"/>
      <c r="G98" s="77"/>
      <c r="H98" s="100"/>
      <c r="I98" s="75"/>
      <c r="J98" s="76"/>
      <c r="K98" s="76"/>
      <c r="L98" s="76"/>
      <c r="M98" s="76"/>
      <c r="N98" s="76"/>
      <c r="O98" s="76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10"/>
      <c r="CY98" s="10"/>
      <c r="CZ98" s="10"/>
      <c r="DA98" s="10"/>
      <c r="DB98" s="10"/>
      <c r="DC98" s="10"/>
      <c r="DD98" s="10"/>
      <c r="DE98" s="10"/>
      <c r="DF98" s="10"/>
      <c r="DG98" s="10"/>
      <c r="DH98" s="10"/>
      <c r="DI98" s="10"/>
      <c r="DJ98" s="10"/>
      <c r="DK98" s="10"/>
      <c r="DL98" s="10"/>
    </row>
    <row r="99" spans="1:116" ht="21" customHeight="1" x14ac:dyDescent="0.3">
      <c r="A99" s="71"/>
      <c r="B99" s="82"/>
      <c r="C99" s="82"/>
      <c r="D99" s="71"/>
      <c r="E99" s="75"/>
      <c r="F99" s="75"/>
      <c r="G99" s="77"/>
      <c r="H99" s="100"/>
      <c r="I99" s="75"/>
      <c r="J99" s="76"/>
      <c r="K99" s="76"/>
      <c r="L99" s="76"/>
      <c r="M99" s="76"/>
      <c r="N99" s="76"/>
      <c r="O99" s="76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10"/>
      <c r="CY99" s="10"/>
      <c r="CZ99" s="10"/>
      <c r="DA99" s="10"/>
      <c r="DB99" s="10"/>
      <c r="DC99" s="10"/>
      <c r="DD99" s="10"/>
      <c r="DE99" s="10"/>
      <c r="DF99" s="10"/>
      <c r="DG99" s="10"/>
      <c r="DH99" s="10"/>
      <c r="DI99" s="10"/>
      <c r="DJ99" s="10"/>
      <c r="DK99" s="10"/>
      <c r="DL99" s="10"/>
    </row>
    <row r="100" spans="1:116" ht="21" customHeight="1" x14ac:dyDescent="0.3">
      <c r="A100" s="71"/>
      <c r="B100" s="82"/>
      <c r="C100" s="82"/>
      <c r="D100" s="71"/>
      <c r="E100" s="75"/>
      <c r="F100" s="75"/>
      <c r="G100" s="77"/>
      <c r="H100" s="100"/>
      <c r="I100" s="75"/>
      <c r="J100" s="76"/>
      <c r="K100" s="76"/>
      <c r="L100" s="76"/>
      <c r="M100" s="76"/>
      <c r="N100" s="76"/>
      <c r="O100" s="76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</row>
    <row r="101" spans="1:116" ht="21" customHeight="1" x14ac:dyDescent="0.3">
      <c r="A101" s="71"/>
      <c r="B101" s="82"/>
      <c r="C101" s="82"/>
      <c r="D101" s="71"/>
      <c r="E101" s="75"/>
      <c r="F101" s="75"/>
      <c r="G101" s="77"/>
      <c r="H101" s="100"/>
      <c r="I101" s="75"/>
      <c r="J101" s="76"/>
      <c r="K101" s="76"/>
      <c r="L101" s="76"/>
      <c r="M101" s="76"/>
      <c r="N101" s="76"/>
      <c r="O101" s="76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10"/>
      <c r="CY101" s="10"/>
      <c r="CZ101" s="10"/>
      <c r="DA101" s="10"/>
      <c r="DB101" s="10"/>
      <c r="DC101" s="10"/>
      <c r="DD101" s="10"/>
      <c r="DE101" s="10"/>
      <c r="DF101" s="10"/>
      <c r="DG101" s="10"/>
      <c r="DH101" s="10"/>
      <c r="DI101" s="10"/>
      <c r="DJ101" s="10"/>
      <c r="DK101" s="10"/>
      <c r="DL101" s="10"/>
    </row>
    <row r="102" spans="1:116" ht="21" customHeight="1" x14ac:dyDescent="0.3">
      <c r="A102" s="71"/>
      <c r="B102" s="82"/>
      <c r="C102" s="82"/>
      <c r="D102" s="71"/>
      <c r="E102" s="75"/>
      <c r="F102" s="75"/>
      <c r="G102" s="77"/>
      <c r="H102" s="100"/>
      <c r="I102" s="75"/>
      <c r="J102" s="76"/>
      <c r="K102" s="76"/>
      <c r="L102" s="76"/>
      <c r="M102" s="76"/>
      <c r="N102" s="76"/>
      <c r="O102" s="76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10"/>
      <c r="CX102" s="10"/>
      <c r="CY102" s="10"/>
      <c r="CZ102" s="10"/>
      <c r="DA102" s="10"/>
      <c r="DB102" s="10"/>
      <c r="DC102" s="10"/>
      <c r="DD102" s="10"/>
      <c r="DE102" s="10"/>
      <c r="DF102" s="10"/>
      <c r="DG102" s="10"/>
      <c r="DH102" s="10"/>
      <c r="DI102" s="10"/>
      <c r="DJ102" s="10"/>
      <c r="DK102" s="10"/>
      <c r="DL102" s="10"/>
    </row>
    <row r="103" spans="1:116" ht="21" customHeight="1" x14ac:dyDescent="0.3">
      <c r="A103" s="71"/>
      <c r="B103" s="82"/>
      <c r="C103" s="82"/>
      <c r="D103" s="71"/>
      <c r="E103" s="75"/>
      <c r="F103" s="75"/>
      <c r="G103" s="77"/>
      <c r="H103" s="100"/>
      <c r="I103" s="75"/>
      <c r="J103" s="76"/>
      <c r="K103" s="76"/>
      <c r="L103" s="76"/>
      <c r="M103" s="76"/>
      <c r="N103" s="76"/>
      <c r="O103" s="76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10"/>
      <c r="CY103" s="10"/>
      <c r="CZ103" s="10"/>
      <c r="DA103" s="10"/>
      <c r="DB103" s="10"/>
      <c r="DC103" s="10"/>
      <c r="DD103" s="10"/>
      <c r="DE103" s="10"/>
      <c r="DF103" s="10"/>
      <c r="DG103" s="10"/>
      <c r="DH103" s="10"/>
      <c r="DI103" s="10"/>
      <c r="DJ103" s="10"/>
      <c r="DK103" s="10"/>
      <c r="DL103" s="10"/>
    </row>
    <row r="104" spans="1:116" ht="21" customHeight="1" x14ac:dyDescent="0.3">
      <c r="A104" s="71"/>
      <c r="B104" s="82"/>
      <c r="C104" s="82"/>
      <c r="D104" s="71"/>
      <c r="E104" s="75"/>
      <c r="F104" s="75"/>
      <c r="G104" s="77"/>
      <c r="H104" s="100"/>
      <c r="I104" s="75"/>
      <c r="J104" s="76"/>
      <c r="K104" s="76"/>
      <c r="L104" s="76"/>
      <c r="M104" s="76"/>
      <c r="N104" s="76"/>
      <c r="O104" s="76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</row>
    <row r="105" spans="1:116" ht="21" customHeight="1" x14ac:dyDescent="0.3">
      <c r="A105" s="71"/>
      <c r="B105" s="82"/>
      <c r="C105" s="82"/>
      <c r="D105" s="71"/>
      <c r="E105" s="75"/>
      <c r="F105" s="75"/>
      <c r="G105" s="77"/>
      <c r="H105" s="100"/>
      <c r="I105" s="75"/>
      <c r="J105" s="76"/>
      <c r="K105" s="76"/>
      <c r="L105" s="76"/>
      <c r="M105" s="76"/>
      <c r="N105" s="76"/>
      <c r="O105" s="76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10"/>
      <c r="DB105" s="10"/>
      <c r="DC105" s="10"/>
      <c r="DD105" s="10"/>
      <c r="DE105" s="10"/>
      <c r="DF105" s="10"/>
      <c r="DG105" s="10"/>
      <c r="DH105" s="10"/>
      <c r="DI105" s="10"/>
      <c r="DJ105" s="10"/>
      <c r="DK105" s="10"/>
      <c r="DL105" s="10"/>
    </row>
    <row r="106" spans="1:116" ht="21" customHeight="1" x14ac:dyDescent="0.3">
      <c r="A106" s="71"/>
      <c r="B106" s="82"/>
      <c r="C106" s="82"/>
      <c r="D106" s="71"/>
      <c r="E106" s="75"/>
      <c r="F106" s="75"/>
      <c r="G106" s="77"/>
      <c r="H106" s="100"/>
      <c r="I106" s="75"/>
      <c r="J106" s="76"/>
      <c r="K106" s="76"/>
      <c r="L106" s="76"/>
      <c r="M106" s="76"/>
      <c r="N106" s="76"/>
      <c r="O106" s="76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  <c r="DC106" s="10"/>
      <c r="DD106" s="10"/>
      <c r="DE106" s="10"/>
      <c r="DF106" s="10"/>
      <c r="DG106" s="10"/>
      <c r="DH106" s="10"/>
      <c r="DI106" s="10"/>
      <c r="DJ106" s="10"/>
      <c r="DK106" s="10"/>
      <c r="DL106" s="10"/>
    </row>
    <row r="107" spans="1:116" ht="21" customHeight="1" x14ac:dyDescent="0.3">
      <c r="A107" s="71"/>
      <c r="B107" s="82"/>
      <c r="C107" s="82"/>
      <c r="D107" s="71"/>
      <c r="E107" s="75"/>
      <c r="F107" s="75"/>
      <c r="G107" s="77"/>
      <c r="H107" s="100"/>
      <c r="I107" s="75"/>
      <c r="J107" s="76"/>
      <c r="K107" s="76"/>
      <c r="L107" s="76"/>
      <c r="M107" s="76"/>
      <c r="N107" s="76"/>
      <c r="O107" s="76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/>
      <c r="DA107" s="10"/>
      <c r="DB107" s="10"/>
      <c r="DC107" s="10"/>
      <c r="DD107" s="10"/>
      <c r="DE107" s="10"/>
      <c r="DF107" s="10"/>
      <c r="DG107" s="10"/>
      <c r="DH107" s="10"/>
      <c r="DI107" s="10"/>
      <c r="DJ107" s="10"/>
      <c r="DK107" s="10"/>
      <c r="DL107" s="10"/>
    </row>
    <row r="108" spans="1:116" ht="21" customHeight="1" x14ac:dyDescent="0.3">
      <c r="A108" s="71"/>
      <c r="B108" s="82"/>
      <c r="C108" s="82"/>
      <c r="D108" s="71"/>
      <c r="E108" s="75"/>
      <c r="F108" s="75"/>
      <c r="G108" s="77"/>
      <c r="H108" s="100"/>
      <c r="I108" s="75"/>
      <c r="J108" s="76"/>
      <c r="K108" s="76"/>
      <c r="L108" s="76"/>
      <c r="M108" s="76"/>
      <c r="N108" s="76"/>
      <c r="O108" s="76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10"/>
      <c r="DB108" s="10"/>
      <c r="DC108" s="10"/>
      <c r="DD108" s="10"/>
      <c r="DE108" s="10"/>
      <c r="DF108" s="10"/>
      <c r="DG108" s="10"/>
      <c r="DH108" s="10"/>
      <c r="DI108" s="10"/>
      <c r="DJ108" s="10"/>
      <c r="DK108" s="10"/>
      <c r="DL108" s="10"/>
    </row>
  </sheetData>
  <mergeCells count="8">
    <mergeCell ref="A1:L1"/>
    <mergeCell ref="A3:G3"/>
    <mergeCell ref="D9:F9"/>
    <mergeCell ref="H3:I3"/>
    <mergeCell ref="A2:L2"/>
    <mergeCell ref="A6:I6"/>
    <mergeCell ref="G9:I9"/>
    <mergeCell ref="A9:C9"/>
  </mergeCells>
  <phoneticPr fontId="11" type="noConversion"/>
  <conditionalFormatting sqref="A8">
    <cfRule type="expression" dxfId="20" priority="122">
      <formula>$D$11="魔法"</formula>
    </cfRule>
  </conditionalFormatting>
  <conditionalFormatting sqref="B8">
    <cfRule type="expression" dxfId="19" priority="123">
      <formula>$D$11="祷告"</formula>
    </cfRule>
  </conditionalFormatting>
  <conditionalFormatting sqref="B17:C108">
    <cfRule type="expression" dxfId="18" priority="7">
      <formula>FIND("火+雷",$C17)</formula>
    </cfRule>
    <cfRule type="expression" dxfId="17" priority="8">
      <formula>$C17="魔"</formula>
    </cfRule>
    <cfRule type="expression" dxfId="16" priority="9">
      <formula>$C17="普通+魔"</formula>
    </cfRule>
    <cfRule type="expression" dxfId="15" priority="10">
      <formula>$C17="圣"</formula>
    </cfRule>
    <cfRule type="expression" dxfId="14" priority="11">
      <formula>$C17="雷"</formula>
    </cfRule>
    <cfRule type="expression" dxfId="13" priority="12">
      <formula>$C17="火"</formula>
    </cfRule>
    <cfRule type="expression" dxfId="12" priority="13">
      <formula>$C17="魔"</formula>
    </cfRule>
  </conditionalFormatting>
  <conditionalFormatting sqref="E17:F108">
    <cfRule type="expression" dxfId="11" priority="14">
      <formula>AND(E17=MAX(_xlfn.ANCHORARRAY(DE$11)),E17&gt;0)</formula>
    </cfRule>
  </conditionalFormatting>
  <conditionalFormatting sqref="G17:G108">
    <cfRule type="expression" dxfId="10" priority="115">
      <formula>AND(G17=MAX(_xlfn.ANCHORARRAY(DF$11)),G17&gt;0)</formula>
    </cfRule>
  </conditionalFormatting>
  <conditionalFormatting sqref="H17:H108">
    <cfRule type="expression" dxfId="9" priority="1">
      <formula>FIND("死亡值",H17)</formula>
    </cfRule>
    <cfRule type="expression" dxfId="8" priority="2">
      <formula>FIND("发狂值",H17)</formula>
    </cfRule>
    <cfRule type="expression" dxfId="7" priority="3">
      <formula>FIND("腐败值",H17)</formula>
    </cfRule>
    <cfRule type="expression" dxfId="6" priority="4">
      <formula>FIND("冰冻值",H17)</formula>
    </cfRule>
    <cfRule type="expression" dxfId="5" priority="5">
      <formula>FIND("出血值",H17)</formula>
    </cfRule>
  </conditionalFormatting>
  <conditionalFormatting sqref="I17:I108">
    <cfRule type="expression" dxfId="4" priority="15">
      <formula>AND(I17=MAX(_xlfn.ANCHORARRAY(DJ$11)),I17&gt;0)</formula>
    </cfRule>
  </conditionalFormatting>
  <conditionalFormatting sqref="J17:O108">
    <cfRule type="expression" dxfId="3" priority="6">
      <formula>AND(J17=MAX(_xlfn.ANCHORARRAY(DF$11)),J17&gt;0)</formula>
    </cfRule>
  </conditionalFormatting>
  <dataValidations disablePrompts="1" count="4">
    <dataValidation allowBlank="1" showInputMessage="1" showErrorMessage="1" sqref="B13:I13" xr:uid="{B5A0B342-5F9A-4B6E-BEC9-40FED2F5CDC7}"/>
    <dataValidation type="list" allowBlank="1" showInputMessage="1" showErrorMessage="1" sqref="D11" xr:uid="{5396A093-ECD6-4FC7-9BBD-2746702E107C}">
      <formula1>"魔法,祷告"</formula1>
    </dataValidation>
    <dataValidation type="list" allowBlank="1" showInputMessage="1" showErrorMessage="1" sqref="E11" xr:uid="{BCF59F66-730E-41E1-84B9-56F684A3D7BE}">
      <formula1>"是,否"</formula1>
    </dataValidation>
    <dataValidation type="list" allowBlank="1" showInputMessage="1" showErrorMessage="1" sqref="B11:B14" xr:uid="{89A30A0B-8DAB-446B-B8F4-4944ABB44C0D}">
      <formula1>"1,2,3,4,5,6,7,8"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7">
        <x14:dataValidation type="list" allowBlank="1" showInputMessage="1" showErrorMessage="1" xr:uid="{E8E82DC0-8382-480A-8F61-3FA99AC56679}">
          <x14:formula1>
            <xm:f>Curve!$A$1:$K$1</xm:f>
          </x14:formula1>
          <xm:sqref>G5 D8 F11 B11:B14</xm:sqref>
        </x14:dataValidation>
        <x14:dataValidation type="list" allowBlank="1" showInputMessage="1" showErrorMessage="1" xr:uid="{5DE49755-C391-427B-856E-8500D0B04197}">
          <x14:formula1>
            <xm:f>Curve!$B$7:$V$7</xm:f>
          </x14:formula1>
          <xm:sqref>H5</xm:sqref>
        </x14:dataValidation>
        <x14:dataValidation type="list" allowBlank="1" showInputMessage="1" showErrorMessage="1" xr:uid="{6BF05A7D-B63C-42D2-B4EA-897D74C439D7}">
          <x14:formula1>
            <xm:f>Curve!$A$1:$Z$1</xm:f>
          </x14:formula1>
          <xm:sqref>F5 C8</xm:sqref>
        </x14:dataValidation>
        <x14:dataValidation type="list" allowBlank="1" showInputMessage="1" showErrorMessage="1" xr:uid="{AE2477D0-E712-40DB-81FF-F3E7225D5A2F}">
          <x14:formula1>
            <xm:f>Curve!$B$1:$CV$1</xm:f>
          </x14:formula1>
          <xm:sqref>A5:E5</xm:sqref>
        </x14:dataValidation>
        <x14:dataValidation type="list" allowBlank="1" showInputMessage="1" showErrorMessage="1" xr:uid="{0167A816-1081-4C89-834C-8825ED5EE9EE}">
          <x14:formula1>
            <xm:f>_xlfn.ANCHORARRAY(Weapon!$Y$2)</xm:f>
          </x14:formula1>
          <xm:sqref>A8</xm:sqref>
        </x14:dataValidation>
        <x14:dataValidation type="list" allowBlank="1" showInputMessage="1" showErrorMessage="1" xr:uid="{31D8815B-F7FA-4D15-BCF7-F3D8CFDBE009}">
          <x14:formula1>
            <xm:f>Weapon!$Z$2:$Z$14</xm:f>
          </x14:formula1>
          <xm:sqref>B8</xm:sqref>
        </x14:dataValidation>
        <x14:dataValidation type="list" allowBlank="1" showInputMessage="1" showErrorMessage="1" xr:uid="{8E3A5639-2405-4F23-891C-3E1327B57191}">
          <x14:formula1>
            <xm:f>敌人数据!$A$2:$A$51</xm:f>
          </x14:formula1>
          <xm:sqref>A11:A14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S51"/>
  <sheetViews>
    <sheetView topLeftCell="A16" zoomScale="60" workbookViewId="0">
      <selection activeCell="A16" sqref="A16"/>
    </sheetView>
  </sheetViews>
  <sheetFormatPr defaultColWidth="10" defaultRowHeight="16.3" x14ac:dyDescent="0.3"/>
  <cols>
    <col min="1" max="1" width="36.23046875" style="13" customWidth="1"/>
    <col min="2" max="2" width="10" style="13"/>
    <col min="3" max="3" width="10.69140625" style="13" customWidth="1"/>
    <col min="4" max="9" width="10" style="13" customWidth="1"/>
    <col min="10" max="17" width="11.53515625" style="13" customWidth="1"/>
    <col min="18" max="16384" width="10" style="13"/>
  </cols>
  <sheetData>
    <row r="1" spans="1:19" x14ac:dyDescent="0.3">
      <c r="A1" s="41" t="s">
        <v>12</v>
      </c>
      <c r="B1" s="41" t="s">
        <v>23</v>
      </c>
      <c r="C1" s="41">
        <v>1</v>
      </c>
      <c r="D1" s="41">
        <v>2</v>
      </c>
      <c r="E1" s="41">
        <v>3</v>
      </c>
      <c r="F1" s="41">
        <v>4</v>
      </c>
      <c r="G1" s="41">
        <v>5</v>
      </c>
      <c r="H1" s="41">
        <v>6</v>
      </c>
      <c r="I1" s="41">
        <v>7</v>
      </c>
      <c r="J1" s="41">
        <v>8</v>
      </c>
      <c r="K1" s="41" t="s">
        <v>432</v>
      </c>
      <c r="L1" s="41" t="s">
        <v>433</v>
      </c>
      <c r="M1" s="41" t="s">
        <v>434</v>
      </c>
      <c r="N1" s="41" t="s">
        <v>435</v>
      </c>
      <c r="O1" s="41" t="s">
        <v>8</v>
      </c>
      <c r="P1" s="41" t="s">
        <v>9</v>
      </c>
      <c r="Q1" s="41" t="s">
        <v>10</v>
      </c>
      <c r="R1" s="41" t="s">
        <v>11</v>
      </c>
      <c r="S1" s="41" t="s">
        <v>491</v>
      </c>
    </row>
    <row r="2" spans="1:19" x14ac:dyDescent="0.3">
      <c r="A2" s="42" t="s">
        <v>436</v>
      </c>
      <c r="B2" s="42"/>
      <c r="C2" s="43">
        <v>105</v>
      </c>
      <c r="D2" s="42">
        <v>124</v>
      </c>
      <c r="E2" s="44">
        <f>1.025*$D2</f>
        <v>127.1</v>
      </c>
      <c r="F2" s="44">
        <f>1.05*$D2</f>
        <v>130.20000000000002</v>
      </c>
      <c r="G2" s="44">
        <f>1.1*$D2</f>
        <v>136.4</v>
      </c>
      <c r="H2" s="44">
        <f>1.15*$D2</f>
        <v>142.6</v>
      </c>
      <c r="I2" s="44">
        <f>1.2*$D2</f>
        <v>148.79999999999998</v>
      </c>
      <c r="J2" s="44">
        <f>1.3*$D2</f>
        <v>161.20000000000002</v>
      </c>
      <c r="K2" s="43">
        <v>100</v>
      </c>
      <c r="L2" s="43">
        <v>100</v>
      </c>
      <c r="M2" s="43">
        <v>110</v>
      </c>
      <c r="N2" s="43">
        <v>100</v>
      </c>
      <c r="O2" s="43">
        <v>100</v>
      </c>
      <c r="P2" s="43">
        <v>100</v>
      </c>
      <c r="Q2" s="43">
        <v>100</v>
      </c>
      <c r="R2" s="43">
        <v>60</v>
      </c>
      <c r="S2" s="45" t="s">
        <v>615</v>
      </c>
    </row>
    <row r="3" spans="1:19" x14ac:dyDescent="0.3">
      <c r="A3" s="42" t="s">
        <v>437</v>
      </c>
      <c r="B3" s="42"/>
      <c r="C3" s="43">
        <v>105</v>
      </c>
      <c r="D3" s="42">
        <v>124</v>
      </c>
      <c r="E3" s="44">
        <f t="shared" ref="E3:E51" si="0">1.025*$D3</f>
        <v>127.1</v>
      </c>
      <c r="F3" s="44">
        <f t="shared" ref="F3:F51" si="1">1.05*$D3</f>
        <v>130.20000000000002</v>
      </c>
      <c r="G3" s="44">
        <f t="shared" ref="G3:G51" si="2">1.1*$D3</f>
        <v>136.4</v>
      </c>
      <c r="H3" s="44">
        <f t="shared" ref="H3:H51" si="3">1.15*$D3</f>
        <v>142.6</v>
      </c>
      <c r="I3" s="44">
        <f t="shared" ref="I3:I51" si="4">1.2*$D3</f>
        <v>148.79999999999998</v>
      </c>
      <c r="J3" s="44">
        <f t="shared" ref="J3:J51" si="5">1.3*$D3</f>
        <v>161.20000000000002</v>
      </c>
      <c r="K3" s="43">
        <v>100</v>
      </c>
      <c r="L3" s="43">
        <v>100</v>
      </c>
      <c r="M3" s="43">
        <v>100</v>
      </c>
      <c r="N3" s="43">
        <v>100</v>
      </c>
      <c r="O3" s="43">
        <v>80</v>
      </c>
      <c r="P3" s="43">
        <v>80</v>
      </c>
      <c r="Q3" s="43">
        <v>80</v>
      </c>
      <c r="R3" s="43">
        <v>60</v>
      </c>
      <c r="S3" s="45" t="s">
        <v>615</v>
      </c>
    </row>
    <row r="4" spans="1:19" x14ac:dyDescent="0.3">
      <c r="A4" s="42" t="s">
        <v>469</v>
      </c>
      <c r="B4" s="42"/>
      <c r="C4" s="43">
        <v>105</v>
      </c>
      <c r="D4" s="42">
        <v>124</v>
      </c>
      <c r="E4" s="44">
        <f t="shared" si="0"/>
        <v>127.1</v>
      </c>
      <c r="F4" s="44">
        <f t="shared" si="1"/>
        <v>130.20000000000002</v>
      </c>
      <c r="G4" s="44">
        <f t="shared" si="2"/>
        <v>136.4</v>
      </c>
      <c r="H4" s="44">
        <f t="shared" si="3"/>
        <v>142.6</v>
      </c>
      <c r="I4" s="44">
        <f t="shared" si="4"/>
        <v>148.79999999999998</v>
      </c>
      <c r="J4" s="44">
        <f t="shared" si="5"/>
        <v>161.20000000000002</v>
      </c>
      <c r="K4" s="43">
        <v>90</v>
      </c>
      <c r="L4" s="43">
        <v>90</v>
      </c>
      <c r="M4" s="43">
        <v>100</v>
      </c>
      <c r="N4" s="43">
        <v>90</v>
      </c>
      <c r="O4" s="43">
        <v>80</v>
      </c>
      <c r="P4" s="43">
        <v>100</v>
      </c>
      <c r="Q4" s="43">
        <v>80</v>
      </c>
      <c r="R4" s="43">
        <v>80</v>
      </c>
      <c r="S4" s="45" t="s">
        <v>615</v>
      </c>
    </row>
    <row r="5" spans="1:19" x14ac:dyDescent="0.3">
      <c r="A5" s="42" t="s">
        <v>470</v>
      </c>
      <c r="B5" s="42"/>
      <c r="C5" s="43">
        <v>109</v>
      </c>
      <c r="D5" s="42">
        <v>129</v>
      </c>
      <c r="E5" s="44">
        <f t="shared" si="0"/>
        <v>132.22499999999999</v>
      </c>
      <c r="F5" s="44">
        <f t="shared" si="1"/>
        <v>135.45000000000002</v>
      </c>
      <c r="G5" s="44">
        <f t="shared" si="2"/>
        <v>141.9</v>
      </c>
      <c r="H5" s="44">
        <f t="shared" si="3"/>
        <v>148.35</v>
      </c>
      <c r="I5" s="44">
        <f t="shared" si="4"/>
        <v>154.79999999999998</v>
      </c>
      <c r="J5" s="44">
        <f t="shared" si="5"/>
        <v>167.70000000000002</v>
      </c>
      <c r="K5" s="43">
        <v>100</v>
      </c>
      <c r="L5" s="43">
        <v>100</v>
      </c>
      <c r="M5" s="43">
        <v>110</v>
      </c>
      <c r="N5" s="43">
        <v>100</v>
      </c>
      <c r="O5" s="43">
        <v>60</v>
      </c>
      <c r="P5" s="43">
        <v>80</v>
      </c>
      <c r="Q5" s="43">
        <v>80</v>
      </c>
      <c r="R5" s="43">
        <v>80</v>
      </c>
      <c r="S5" s="45" t="s">
        <v>615</v>
      </c>
    </row>
    <row r="6" spans="1:19" x14ac:dyDescent="0.3">
      <c r="A6" s="42" t="s">
        <v>471</v>
      </c>
      <c r="B6" s="42"/>
      <c r="C6" s="43">
        <v>109</v>
      </c>
      <c r="D6" s="42">
        <v>129</v>
      </c>
      <c r="E6" s="44">
        <f t="shared" si="0"/>
        <v>132.22499999999999</v>
      </c>
      <c r="F6" s="44">
        <f t="shared" si="1"/>
        <v>135.45000000000002</v>
      </c>
      <c r="G6" s="44">
        <f t="shared" si="2"/>
        <v>141.9</v>
      </c>
      <c r="H6" s="44">
        <f t="shared" si="3"/>
        <v>148.35</v>
      </c>
      <c r="I6" s="44">
        <f t="shared" si="4"/>
        <v>154.79999999999998</v>
      </c>
      <c r="J6" s="44">
        <f t="shared" si="5"/>
        <v>167.70000000000002</v>
      </c>
      <c r="K6" s="43">
        <v>110</v>
      </c>
      <c r="L6" s="43">
        <v>100</v>
      </c>
      <c r="M6" s="43">
        <v>110</v>
      </c>
      <c r="N6" s="43">
        <v>110</v>
      </c>
      <c r="O6" s="43">
        <v>20</v>
      </c>
      <c r="P6" s="43">
        <v>80</v>
      </c>
      <c r="Q6" s="43">
        <v>80</v>
      </c>
      <c r="R6" s="43">
        <v>80</v>
      </c>
      <c r="S6" s="45" t="s">
        <v>615</v>
      </c>
    </row>
    <row r="7" spans="1:19" x14ac:dyDescent="0.3">
      <c r="A7" s="42" t="s">
        <v>472</v>
      </c>
      <c r="B7" s="42"/>
      <c r="C7" s="43">
        <v>109</v>
      </c>
      <c r="D7" s="42">
        <v>129</v>
      </c>
      <c r="E7" s="44">
        <f t="shared" si="0"/>
        <v>132.22499999999999</v>
      </c>
      <c r="F7" s="44">
        <f t="shared" si="1"/>
        <v>135.45000000000002</v>
      </c>
      <c r="G7" s="44">
        <f t="shared" si="2"/>
        <v>141.9</v>
      </c>
      <c r="H7" s="44">
        <f t="shared" si="3"/>
        <v>148.35</v>
      </c>
      <c r="I7" s="44">
        <f t="shared" si="4"/>
        <v>154.79999999999998</v>
      </c>
      <c r="J7" s="44">
        <f t="shared" si="5"/>
        <v>167.70000000000002</v>
      </c>
      <c r="K7" s="43">
        <v>110</v>
      </c>
      <c r="L7" s="43">
        <v>100</v>
      </c>
      <c r="M7" s="43">
        <v>110</v>
      </c>
      <c r="N7" s="43">
        <v>110</v>
      </c>
      <c r="O7" s="43">
        <v>20</v>
      </c>
      <c r="P7" s="43">
        <v>60</v>
      </c>
      <c r="Q7" s="43">
        <v>60</v>
      </c>
      <c r="R7" s="43">
        <v>60</v>
      </c>
      <c r="S7" s="45" t="s">
        <v>615</v>
      </c>
    </row>
    <row r="8" spans="1:19" x14ac:dyDescent="0.3">
      <c r="A8" s="42" t="s">
        <v>438</v>
      </c>
      <c r="B8" s="42"/>
      <c r="C8" s="43">
        <v>113</v>
      </c>
      <c r="D8" s="42">
        <v>134</v>
      </c>
      <c r="E8" s="44">
        <f t="shared" si="0"/>
        <v>137.35</v>
      </c>
      <c r="F8" s="44">
        <f t="shared" si="1"/>
        <v>140.70000000000002</v>
      </c>
      <c r="G8" s="44">
        <f t="shared" si="2"/>
        <v>147.4</v>
      </c>
      <c r="H8" s="44">
        <f t="shared" si="3"/>
        <v>154.1</v>
      </c>
      <c r="I8" s="44">
        <f t="shared" si="4"/>
        <v>160.79999999999998</v>
      </c>
      <c r="J8" s="44">
        <f t="shared" si="5"/>
        <v>174.20000000000002</v>
      </c>
      <c r="K8" s="43">
        <v>90</v>
      </c>
      <c r="L8" s="43">
        <v>90</v>
      </c>
      <c r="M8" s="43">
        <v>90</v>
      </c>
      <c r="N8" s="43">
        <v>100</v>
      </c>
      <c r="O8" s="43">
        <v>80</v>
      </c>
      <c r="P8" s="43">
        <v>80</v>
      </c>
      <c r="Q8" s="43">
        <v>80</v>
      </c>
      <c r="R8" s="43">
        <v>60</v>
      </c>
      <c r="S8" s="45" t="s">
        <v>615</v>
      </c>
    </row>
    <row r="9" spans="1:19" s="17" customFormat="1" x14ac:dyDescent="0.3">
      <c r="A9" s="42" t="s">
        <v>473</v>
      </c>
      <c r="B9" s="42" t="s">
        <v>593</v>
      </c>
      <c r="C9" s="43">
        <v>113</v>
      </c>
      <c r="D9" s="42">
        <v>134</v>
      </c>
      <c r="E9" s="44">
        <f t="shared" si="0"/>
        <v>137.35</v>
      </c>
      <c r="F9" s="44">
        <f t="shared" si="1"/>
        <v>140.70000000000002</v>
      </c>
      <c r="G9" s="44">
        <f t="shared" si="2"/>
        <v>147.4</v>
      </c>
      <c r="H9" s="44">
        <f t="shared" si="3"/>
        <v>154.1</v>
      </c>
      <c r="I9" s="44">
        <f t="shared" si="4"/>
        <v>160.79999999999998</v>
      </c>
      <c r="J9" s="44">
        <f t="shared" si="5"/>
        <v>174.20000000000002</v>
      </c>
      <c r="K9" s="43">
        <v>90</v>
      </c>
      <c r="L9" s="43">
        <v>90</v>
      </c>
      <c r="M9" s="43">
        <v>65</v>
      </c>
      <c r="N9" s="43">
        <v>90</v>
      </c>
      <c r="O9" s="43">
        <v>60</v>
      </c>
      <c r="P9" s="43">
        <v>20</v>
      </c>
      <c r="Q9" s="43">
        <v>60</v>
      </c>
      <c r="R9" s="43">
        <v>60</v>
      </c>
      <c r="S9" s="45" t="s">
        <v>615</v>
      </c>
    </row>
    <row r="10" spans="1:19" x14ac:dyDescent="0.3">
      <c r="A10" s="42" t="s">
        <v>445</v>
      </c>
      <c r="B10" s="42"/>
      <c r="C10" s="43">
        <v>116</v>
      </c>
      <c r="D10" s="42">
        <v>137</v>
      </c>
      <c r="E10" s="44">
        <f t="shared" si="0"/>
        <v>140.42499999999998</v>
      </c>
      <c r="F10" s="44">
        <f t="shared" si="1"/>
        <v>143.85</v>
      </c>
      <c r="G10" s="44">
        <f t="shared" si="2"/>
        <v>150.70000000000002</v>
      </c>
      <c r="H10" s="44">
        <f t="shared" si="3"/>
        <v>157.54999999999998</v>
      </c>
      <c r="I10" s="44">
        <f t="shared" si="4"/>
        <v>164.4</v>
      </c>
      <c r="J10" s="44">
        <f t="shared" si="5"/>
        <v>178.1</v>
      </c>
      <c r="K10" s="43">
        <v>90</v>
      </c>
      <c r="L10" s="43">
        <v>65</v>
      </c>
      <c r="M10" s="43">
        <v>90</v>
      </c>
      <c r="N10" s="43">
        <v>90</v>
      </c>
      <c r="O10" s="43">
        <v>60</v>
      </c>
      <c r="P10" s="43">
        <v>20</v>
      </c>
      <c r="Q10" s="43">
        <v>80</v>
      </c>
      <c r="R10" s="43">
        <v>60</v>
      </c>
      <c r="S10" s="45" t="s">
        <v>615</v>
      </c>
    </row>
    <row r="11" spans="1:19" x14ac:dyDescent="0.3">
      <c r="A11" s="42" t="s">
        <v>474</v>
      </c>
      <c r="B11" s="42"/>
      <c r="C11" s="43">
        <v>116</v>
      </c>
      <c r="D11" s="42">
        <v>137</v>
      </c>
      <c r="E11" s="44">
        <f t="shared" si="0"/>
        <v>140.42499999999998</v>
      </c>
      <c r="F11" s="44">
        <f t="shared" si="1"/>
        <v>143.85</v>
      </c>
      <c r="G11" s="44">
        <f t="shared" si="2"/>
        <v>150.70000000000002</v>
      </c>
      <c r="H11" s="44">
        <f t="shared" si="3"/>
        <v>157.54999999999998</v>
      </c>
      <c r="I11" s="44">
        <f t="shared" si="4"/>
        <v>164.4</v>
      </c>
      <c r="J11" s="44">
        <f t="shared" si="5"/>
        <v>178.1</v>
      </c>
      <c r="K11" s="43">
        <v>100</v>
      </c>
      <c r="L11" s="43">
        <v>90</v>
      </c>
      <c r="M11" s="43">
        <v>110</v>
      </c>
      <c r="N11" s="43">
        <v>100</v>
      </c>
      <c r="O11" s="43">
        <v>80</v>
      </c>
      <c r="P11" s="43">
        <v>60</v>
      </c>
      <c r="Q11" s="43">
        <v>80</v>
      </c>
      <c r="R11" s="43">
        <v>60</v>
      </c>
      <c r="S11" s="45" t="s">
        <v>615</v>
      </c>
    </row>
    <row r="12" spans="1:19" x14ac:dyDescent="0.3">
      <c r="A12" s="42" t="s">
        <v>475</v>
      </c>
      <c r="B12" s="42"/>
      <c r="C12" s="43">
        <v>116</v>
      </c>
      <c r="D12" s="42">
        <v>137</v>
      </c>
      <c r="E12" s="44">
        <f t="shared" si="0"/>
        <v>140.42499999999998</v>
      </c>
      <c r="F12" s="44">
        <f t="shared" si="1"/>
        <v>143.85</v>
      </c>
      <c r="G12" s="44">
        <f t="shared" si="2"/>
        <v>150.70000000000002</v>
      </c>
      <c r="H12" s="44">
        <f t="shared" si="3"/>
        <v>157.54999999999998</v>
      </c>
      <c r="I12" s="44">
        <f t="shared" si="4"/>
        <v>164.4</v>
      </c>
      <c r="J12" s="44">
        <f t="shared" si="5"/>
        <v>178.1</v>
      </c>
      <c r="K12" s="43">
        <v>100</v>
      </c>
      <c r="L12" s="43">
        <v>65</v>
      </c>
      <c r="M12" s="43">
        <v>110</v>
      </c>
      <c r="N12" s="43">
        <v>100</v>
      </c>
      <c r="O12" s="43">
        <v>80</v>
      </c>
      <c r="P12" s="43">
        <v>60</v>
      </c>
      <c r="Q12" s="43">
        <v>80</v>
      </c>
      <c r="R12" s="43">
        <v>60</v>
      </c>
      <c r="S12" s="45" t="s">
        <v>615</v>
      </c>
    </row>
    <row r="13" spans="1:19" x14ac:dyDescent="0.3">
      <c r="A13" s="42" t="s">
        <v>439</v>
      </c>
      <c r="B13" s="42"/>
      <c r="C13" s="43">
        <v>116</v>
      </c>
      <c r="D13" s="42">
        <v>137</v>
      </c>
      <c r="E13" s="44">
        <f t="shared" si="0"/>
        <v>140.42499999999998</v>
      </c>
      <c r="F13" s="44">
        <f t="shared" si="1"/>
        <v>143.85</v>
      </c>
      <c r="G13" s="44">
        <f t="shared" si="2"/>
        <v>150.70000000000002</v>
      </c>
      <c r="H13" s="44">
        <f t="shared" si="3"/>
        <v>157.54999999999998</v>
      </c>
      <c r="I13" s="44">
        <f t="shared" si="4"/>
        <v>164.4</v>
      </c>
      <c r="J13" s="44">
        <f t="shared" si="5"/>
        <v>178.1</v>
      </c>
      <c r="K13" s="43">
        <v>65</v>
      </c>
      <c r="L13" s="43">
        <v>65</v>
      </c>
      <c r="M13" s="43">
        <v>65</v>
      </c>
      <c r="N13" s="43">
        <v>90</v>
      </c>
      <c r="O13" s="43">
        <v>60</v>
      </c>
      <c r="P13" s="43">
        <v>60</v>
      </c>
      <c r="Q13" s="43">
        <v>80</v>
      </c>
      <c r="R13" s="43">
        <v>60</v>
      </c>
      <c r="S13" s="45" t="s">
        <v>615</v>
      </c>
    </row>
    <row r="14" spans="1:19" x14ac:dyDescent="0.3">
      <c r="A14" s="42" t="s">
        <v>440</v>
      </c>
      <c r="B14" s="42"/>
      <c r="C14" s="43">
        <v>120</v>
      </c>
      <c r="D14" s="42">
        <v>144</v>
      </c>
      <c r="E14" s="44">
        <f t="shared" si="0"/>
        <v>147.6</v>
      </c>
      <c r="F14" s="44">
        <f t="shared" si="1"/>
        <v>151.20000000000002</v>
      </c>
      <c r="G14" s="44">
        <f t="shared" si="2"/>
        <v>158.4</v>
      </c>
      <c r="H14" s="44">
        <f t="shared" si="3"/>
        <v>165.6</v>
      </c>
      <c r="I14" s="44">
        <f t="shared" si="4"/>
        <v>172.79999999999998</v>
      </c>
      <c r="J14" s="44">
        <f t="shared" si="5"/>
        <v>187.20000000000002</v>
      </c>
      <c r="K14" s="43">
        <v>90</v>
      </c>
      <c r="L14" s="43">
        <v>90</v>
      </c>
      <c r="M14" s="43">
        <v>90</v>
      </c>
      <c r="N14" s="43">
        <v>100</v>
      </c>
      <c r="O14" s="43">
        <v>80</v>
      </c>
      <c r="P14" s="43">
        <v>80</v>
      </c>
      <c r="Q14" s="43">
        <v>100</v>
      </c>
      <c r="R14" s="43">
        <v>60</v>
      </c>
      <c r="S14" s="45" t="s">
        <v>615</v>
      </c>
    </row>
    <row r="15" spans="1:19" x14ac:dyDescent="0.3">
      <c r="A15" s="42" t="s">
        <v>476</v>
      </c>
      <c r="B15" s="42"/>
      <c r="C15" s="43">
        <v>120</v>
      </c>
      <c r="D15" s="42">
        <v>144</v>
      </c>
      <c r="E15" s="44">
        <f t="shared" si="0"/>
        <v>147.6</v>
      </c>
      <c r="F15" s="44">
        <f t="shared" si="1"/>
        <v>151.20000000000002</v>
      </c>
      <c r="G15" s="44">
        <f t="shared" si="2"/>
        <v>158.4</v>
      </c>
      <c r="H15" s="44">
        <f t="shared" si="3"/>
        <v>165.6</v>
      </c>
      <c r="I15" s="44">
        <f t="shared" si="4"/>
        <v>172.79999999999998</v>
      </c>
      <c r="J15" s="44">
        <f t="shared" si="5"/>
        <v>187.20000000000002</v>
      </c>
      <c r="K15" s="43">
        <v>100</v>
      </c>
      <c r="L15" s="43">
        <v>100</v>
      </c>
      <c r="M15" s="43">
        <v>110</v>
      </c>
      <c r="N15" s="43">
        <v>100</v>
      </c>
      <c r="O15" s="43">
        <v>100</v>
      </c>
      <c r="P15" s="43">
        <v>100</v>
      </c>
      <c r="Q15" s="43">
        <v>100</v>
      </c>
      <c r="R15" s="43">
        <v>60</v>
      </c>
      <c r="S15" s="45" t="s">
        <v>615</v>
      </c>
    </row>
    <row r="16" spans="1:19" x14ac:dyDescent="0.3">
      <c r="A16" s="42" t="s">
        <v>477</v>
      </c>
      <c r="B16" s="42"/>
      <c r="C16" s="43">
        <v>115</v>
      </c>
      <c r="D16" s="42">
        <v>136</v>
      </c>
      <c r="E16" s="44">
        <f t="shared" si="0"/>
        <v>139.39999999999998</v>
      </c>
      <c r="F16" s="44">
        <f t="shared" si="1"/>
        <v>142.80000000000001</v>
      </c>
      <c r="G16" s="44">
        <f t="shared" si="2"/>
        <v>149.60000000000002</v>
      </c>
      <c r="H16" s="44">
        <f t="shared" si="3"/>
        <v>156.39999999999998</v>
      </c>
      <c r="I16" s="44">
        <f t="shared" si="4"/>
        <v>163.19999999999999</v>
      </c>
      <c r="J16" s="44">
        <f t="shared" si="5"/>
        <v>176.8</v>
      </c>
      <c r="K16" s="43">
        <v>100</v>
      </c>
      <c r="L16" s="43">
        <v>100</v>
      </c>
      <c r="M16" s="43">
        <v>110</v>
      </c>
      <c r="N16" s="43">
        <v>100</v>
      </c>
      <c r="O16" s="43">
        <v>100</v>
      </c>
      <c r="P16" s="43">
        <v>100</v>
      </c>
      <c r="Q16" s="43">
        <v>100</v>
      </c>
      <c r="R16" s="43">
        <v>60</v>
      </c>
      <c r="S16" s="45" t="s">
        <v>615</v>
      </c>
    </row>
    <row r="17" spans="1:19" x14ac:dyDescent="0.3">
      <c r="A17" s="42" t="s">
        <v>441</v>
      </c>
      <c r="B17" s="42"/>
      <c r="C17" s="43">
        <v>119</v>
      </c>
      <c r="D17" s="42">
        <v>141</v>
      </c>
      <c r="E17" s="44">
        <f t="shared" si="0"/>
        <v>144.52499999999998</v>
      </c>
      <c r="F17" s="44">
        <f t="shared" si="1"/>
        <v>148.05000000000001</v>
      </c>
      <c r="G17" s="44">
        <f t="shared" si="2"/>
        <v>155.10000000000002</v>
      </c>
      <c r="H17" s="44">
        <f t="shared" si="3"/>
        <v>162.14999999999998</v>
      </c>
      <c r="I17" s="44">
        <f t="shared" si="4"/>
        <v>169.2</v>
      </c>
      <c r="J17" s="44">
        <f t="shared" si="5"/>
        <v>183.3</v>
      </c>
      <c r="K17" s="43">
        <v>100</v>
      </c>
      <c r="L17" s="43">
        <v>100</v>
      </c>
      <c r="M17" s="43">
        <v>110</v>
      </c>
      <c r="N17" s="43">
        <v>100</v>
      </c>
      <c r="O17" s="43">
        <v>100</v>
      </c>
      <c r="P17" s="43">
        <v>50</v>
      </c>
      <c r="Q17" s="43">
        <v>100</v>
      </c>
      <c r="R17" s="43">
        <v>80</v>
      </c>
      <c r="S17" s="45" t="s">
        <v>615</v>
      </c>
    </row>
    <row r="18" spans="1:19" x14ac:dyDescent="0.3">
      <c r="A18" s="42" t="s">
        <v>478</v>
      </c>
      <c r="B18" s="42"/>
      <c r="C18" s="43">
        <v>119</v>
      </c>
      <c r="D18" s="42">
        <v>141</v>
      </c>
      <c r="E18" s="44">
        <f t="shared" si="0"/>
        <v>144.52499999999998</v>
      </c>
      <c r="F18" s="44">
        <f t="shared" si="1"/>
        <v>148.05000000000001</v>
      </c>
      <c r="G18" s="44">
        <f t="shared" si="2"/>
        <v>155.10000000000002</v>
      </c>
      <c r="H18" s="44">
        <f t="shared" si="3"/>
        <v>162.14999999999998</v>
      </c>
      <c r="I18" s="44">
        <f t="shared" si="4"/>
        <v>169.2</v>
      </c>
      <c r="J18" s="44">
        <f t="shared" si="5"/>
        <v>183.3</v>
      </c>
      <c r="K18" s="43">
        <v>90</v>
      </c>
      <c r="L18" s="43">
        <v>90</v>
      </c>
      <c r="M18" s="43">
        <v>65</v>
      </c>
      <c r="N18" s="43">
        <v>100</v>
      </c>
      <c r="O18" s="43">
        <v>80</v>
      </c>
      <c r="P18" s="43">
        <v>80</v>
      </c>
      <c r="Q18" s="43">
        <v>80</v>
      </c>
      <c r="R18" s="43">
        <v>80</v>
      </c>
      <c r="S18" s="45" t="s">
        <v>615</v>
      </c>
    </row>
    <row r="19" spans="1:19" x14ac:dyDescent="0.3">
      <c r="A19" s="42" t="s">
        <v>442</v>
      </c>
      <c r="B19" s="42"/>
      <c r="C19" s="43">
        <v>123</v>
      </c>
      <c r="D19" s="42">
        <v>148</v>
      </c>
      <c r="E19" s="44">
        <f t="shared" si="0"/>
        <v>151.69999999999999</v>
      </c>
      <c r="F19" s="44">
        <f t="shared" si="1"/>
        <v>155.4</v>
      </c>
      <c r="G19" s="44">
        <f t="shared" si="2"/>
        <v>162.80000000000001</v>
      </c>
      <c r="H19" s="44">
        <f t="shared" si="3"/>
        <v>170.2</v>
      </c>
      <c r="I19" s="44">
        <f t="shared" si="4"/>
        <v>177.6</v>
      </c>
      <c r="J19" s="44">
        <f t="shared" si="5"/>
        <v>192.4</v>
      </c>
      <c r="K19" s="43">
        <v>90</v>
      </c>
      <c r="L19" s="43">
        <v>90</v>
      </c>
      <c r="M19" s="43">
        <v>90</v>
      </c>
      <c r="N19" s="43">
        <v>90</v>
      </c>
      <c r="O19" s="43">
        <v>80</v>
      </c>
      <c r="P19" s="43">
        <v>100</v>
      </c>
      <c r="Q19" s="43">
        <v>80</v>
      </c>
      <c r="R19" s="43">
        <v>60</v>
      </c>
      <c r="S19" s="45" t="s">
        <v>615</v>
      </c>
    </row>
    <row r="20" spans="1:19" x14ac:dyDescent="0.3">
      <c r="A20" s="42" t="s">
        <v>479</v>
      </c>
      <c r="B20" s="42"/>
      <c r="C20" s="43">
        <v>123</v>
      </c>
      <c r="D20" s="42">
        <v>148</v>
      </c>
      <c r="E20" s="44">
        <f t="shared" si="0"/>
        <v>151.69999999999999</v>
      </c>
      <c r="F20" s="44">
        <f t="shared" si="1"/>
        <v>155.4</v>
      </c>
      <c r="G20" s="44">
        <f t="shared" si="2"/>
        <v>162.80000000000001</v>
      </c>
      <c r="H20" s="44">
        <f t="shared" si="3"/>
        <v>170.2</v>
      </c>
      <c r="I20" s="44">
        <f t="shared" si="4"/>
        <v>177.6</v>
      </c>
      <c r="J20" s="44">
        <f t="shared" si="5"/>
        <v>192.4</v>
      </c>
      <c r="K20" s="43">
        <v>90</v>
      </c>
      <c r="L20" s="43">
        <v>90</v>
      </c>
      <c r="M20" s="43">
        <v>90</v>
      </c>
      <c r="N20" s="43">
        <v>90</v>
      </c>
      <c r="O20" s="43">
        <v>60</v>
      </c>
      <c r="P20" s="43">
        <v>60</v>
      </c>
      <c r="Q20" s="43">
        <v>100</v>
      </c>
      <c r="R20" s="43">
        <v>80</v>
      </c>
      <c r="S20" s="45" t="s">
        <v>615</v>
      </c>
    </row>
    <row r="21" spans="1:19" x14ac:dyDescent="0.3">
      <c r="A21" s="42" t="s">
        <v>480</v>
      </c>
      <c r="B21" s="42"/>
      <c r="C21" s="43">
        <v>123</v>
      </c>
      <c r="D21" s="42">
        <v>148</v>
      </c>
      <c r="E21" s="44">
        <f t="shared" si="0"/>
        <v>151.69999999999999</v>
      </c>
      <c r="F21" s="44">
        <f t="shared" si="1"/>
        <v>155.4</v>
      </c>
      <c r="G21" s="44">
        <f t="shared" si="2"/>
        <v>162.80000000000001</v>
      </c>
      <c r="H21" s="44">
        <f t="shared" si="3"/>
        <v>170.2</v>
      </c>
      <c r="I21" s="44">
        <f t="shared" si="4"/>
        <v>177.6</v>
      </c>
      <c r="J21" s="44">
        <f t="shared" si="5"/>
        <v>192.4</v>
      </c>
      <c r="K21" s="43">
        <v>90</v>
      </c>
      <c r="L21" s="43">
        <v>90</v>
      </c>
      <c r="M21" s="43">
        <v>90</v>
      </c>
      <c r="N21" s="43">
        <v>90</v>
      </c>
      <c r="O21" s="43">
        <v>60</v>
      </c>
      <c r="P21" s="43">
        <v>60</v>
      </c>
      <c r="Q21" s="43">
        <v>100</v>
      </c>
      <c r="R21" s="43">
        <v>80</v>
      </c>
      <c r="S21" s="45" t="s">
        <v>615</v>
      </c>
    </row>
    <row r="22" spans="1:19" x14ac:dyDescent="0.3">
      <c r="A22" s="42" t="s">
        <v>443</v>
      </c>
      <c r="B22" s="42"/>
      <c r="C22" s="43">
        <v>123</v>
      </c>
      <c r="D22" s="42">
        <v>148</v>
      </c>
      <c r="E22" s="44">
        <f t="shared" si="0"/>
        <v>151.69999999999999</v>
      </c>
      <c r="F22" s="44">
        <f t="shared" si="1"/>
        <v>155.4</v>
      </c>
      <c r="G22" s="44">
        <f t="shared" si="2"/>
        <v>162.80000000000001</v>
      </c>
      <c r="H22" s="44">
        <f t="shared" si="3"/>
        <v>170.2</v>
      </c>
      <c r="I22" s="44">
        <f t="shared" si="4"/>
        <v>177.6</v>
      </c>
      <c r="J22" s="44">
        <f t="shared" si="5"/>
        <v>192.4</v>
      </c>
      <c r="K22" s="43">
        <v>65</v>
      </c>
      <c r="L22" s="43">
        <v>65</v>
      </c>
      <c r="M22" s="43">
        <v>65</v>
      </c>
      <c r="N22" s="43">
        <v>65</v>
      </c>
      <c r="O22" s="43">
        <v>60</v>
      </c>
      <c r="P22" s="43">
        <v>60</v>
      </c>
      <c r="Q22" s="43">
        <v>60</v>
      </c>
      <c r="R22" s="43">
        <v>20</v>
      </c>
      <c r="S22" s="45" t="s">
        <v>615</v>
      </c>
    </row>
    <row r="23" spans="1:19" x14ac:dyDescent="0.3">
      <c r="A23" s="42" t="s">
        <v>481</v>
      </c>
      <c r="B23" s="42"/>
      <c r="C23" s="43">
        <v>122</v>
      </c>
      <c r="D23" s="42">
        <v>146</v>
      </c>
      <c r="E23" s="44">
        <f t="shared" si="0"/>
        <v>149.64999999999998</v>
      </c>
      <c r="F23" s="44">
        <f t="shared" si="1"/>
        <v>153.30000000000001</v>
      </c>
      <c r="G23" s="44">
        <f t="shared" si="2"/>
        <v>160.60000000000002</v>
      </c>
      <c r="H23" s="44">
        <f t="shared" si="3"/>
        <v>167.89999999999998</v>
      </c>
      <c r="I23" s="44">
        <f t="shared" si="4"/>
        <v>175.2</v>
      </c>
      <c r="J23" s="44">
        <f t="shared" si="5"/>
        <v>189.8</v>
      </c>
      <c r="K23" s="43">
        <v>65</v>
      </c>
      <c r="L23" s="43">
        <v>65</v>
      </c>
      <c r="M23" s="43">
        <v>65</v>
      </c>
      <c r="N23" s="43">
        <v>90</v>
      </c>
      <c r="O23" s="43">
        <v>60</v>
      </c>
      <c r="P23" s="43">
        <v>60</v>
      </c>
      <c r="Q23" s="43">
        <v>60</v>
      </c>
      <c r="R23" s="43">
        <v>60</v>
      </c>
      <c r="S23" s="45" t="s">
        <v>615</v>
      </c>
    </row>
    <row r="24" spans="1:19" x14ac:dyDescent="0.3">
      <c r="A24" s="42" t="s">
        <v>444</v>
      </c>
      <c r="B24" s="42"/>
      <c r="C24" s="43">
        <v>120</v>
      </c>
      <c r="D24" s="42">
        <v>144</v>
      </c>
      <c r="E24" s="44">
        <f t="shared" si="0"/>
        <v>147.6</v>
      </c>
      <c r="F24" s="44">
        <f t="shared" si="1"/>
        <v>151.20000000000002</v>
      </c>
      <c r="G24" s="44">
        <f t="shared" si="2"/>
        <v>158.4</v>
      </c>
      <c r="H24" s="44">
        <f t="shared" si="3"/>
        <v>165.6</v>
      </c>
      <c r="I24" s="44">
        <f t="shared" si="4"/>
        <v>172.79999999999998</v>
      </c>
      <c r="J24" s="44">
        <f t="shared" si="5"/>
        <v>187.20000000000002</v>
      </c>
      <c r="K24" s="43">
        <v>90</v>
      </c>
      <c r="L24" s="43">
        <v>90</v>
      </c>
      <c r="M24" s="43">
        <v>90</v>
      </c>
      <c r="N24" s="43">
        <v>90</v>
      </c>
      <c r="O24" s="43">
        <v>60</v>
      </c>
      <c r="P24" s="43">
        <v>20</v>
      </c>
      <c r="Q24" s="43">
        <v>60</v>
      </c>
      <c r="R24" s="43">
        <v>60</v>
      </c>
      <c r="S24" s="45" t="s">
        <v>615</v>
      </c>
    </row>
    <row r="25" spans="1:19" x14ac:dyDescent="0.3">
      <c r="A25" s="42" t="s">
        <v>482</v>
      </c>
      <c r="B25" s="42"/>
      <c r="C25" s="43">
        <v>112</v>
      </c>
      <c r="D25" s="42">
        <v>132</v>
      </c>
      <c r="E25" s="44">
        <f t="shared" si="0"/>
        <v>135.29999999999998</v>
      </c>
      <c r="F25" s="44">
        <f t="shared" si="1"/>
        <v>138.6</v>
      </c>
      <c r="G25" s="44">
        <f t="shared" si="2"/>
        <v>145.20000000000002</v>
      </c>
      <c r="H25" s="44">
        <f t="shared" si="3"/>
        <v>151.79999999999998</v>
      </c>
      <c r="I25" s="44">
        <f t="shared" si="4"/>
        <v>158.4</v>
      </c>
      <c r="J25" s="44">
        <f t="shared" si="5"/>
        <v>171.6</v>
      </c>
      <c r="K25" s="43">
        <v>100</v>
      </c>
      <c r="L25" s="43">
        <v>100</v>
      </c>
      <c r="M25" s="43">
        <v>110</v>
      </c>
      <c r="N25" s="43">
        <v>100</v>
      </c>
      <c r="O25" s="43">
        <v>80</v>
      </c>
      <c r="P25" s="43">
        <v>120</v>
      </c>
      <c r="Q25" s="43">
        <v>100</v>
      </c>
      <c r="R25" s="43">
        <v>120</v>
      </c>
      <c r="S25" s="45" t="s">
        <v>615</v>
      </c>
    </row>
    <row r="26" spans="1:19" x14ac:dyDescent="0.3">
      <c r="A26" s="42" t="s">
        <v>483</v>
      </c>
      <c r="B26" s="42"/>
      <c r="C26" s="43">
        <v>112</v>
      </c>
      <c r="D26" s="42">
        <v>132</v>
      </c>
      <c r="E26" s="44">
        <f t="shared" si="0"/>
        <v>135.29999999999998</v>
      </c>
      <c r="F26" s="44">
        <f t="shared" si="1"/>
        <v>138.6</v>
      </c>
      <c r="G26" s="44">
        <f t="shared" si="2"/>
        <v>145.20000000000002</v>
      </c>
      <c r="H26" s="44">
        <f t="shared" si="3"/>
        <v>151.79999999999998</v>
      </c>
      <c r="I26" s="44">
        <f t="shared" si="4"/>
        <v>158.4</v>
      </c>
      <c r="J26" s="44">
        <f t="shared" si="5"/>
        <v>171.6</v>
      </c>
      <c r="K26" s="43">
        <v>100</v>
      </c>
      <c r="L26" s="43">
        <v>100</v>
      </c>
      <c r="M26" s="43">
        <v>110</v>
      </c>
      <c r="N26" s="43">
        <v>100</v>
      </c>
      <c r="O26" s="43">
        <v>80</v>
      </c>
      <c r="P26" s="43">
        <v>120</v>
      </c>
      <c r="Q26" s="43">
        <v>100</v>
      </c>
      <c r="R26" s="43">
        <v>120</v>
      </c>
      <c r="S26" s="45" t="s">
        <v>615</v>
      </c>
    </row>
    <row r="27" spans="1:19" x14ac:dyDescent="0.3">
      <c r="A27" s="42" t="s">
        <v>484</v>
      </c>
      <c r="B27" s="42" t="s">
        <v>593</v>
      </c>
      <c r="C27" s="43">
        <v>112</v>
      </c>
      <c r="D27" s="42">
        <v>132</v>
      </c>
      <c r="E27" s="44">
        <f t="shared" si="0"/>
        <v>135.29999999999998</v>
      </c>
      <c r="F27" s="44">
        <f t="shared" si="1"/>
        <v>138.6</v>
      </c>
      <c r="G27" s="44">
        <f t="shared" si="2"/>
        <v>145.20000000000002</v>
      </c>
      <c r="H27" s="44">
        <f t="shared" si="3"/>
        <v>151.79999999999998</v>
      </c>
      <c r="I27" s="44">
        <f t="shared" si="4"/>
        <v>158.4</v>
      </c>
      <c r="J27" s="44">
        <f t="shared" si="5"/>
        <v>171.6</v>
      </c>
      <c r="K27" s="43">
        <v>90</v>
      </c>
      <c r="L27" s="43">
        <v>90</v>
      </c>
      <c r="M27" s="43">
        <v>100</v>
      </c>
      <c r="N27" s="43">
        <v>90</v>
      </c>
      <c r="O27" s="43">
        <v>80</v>
      </c>
      <c r="P27" s="43">
        <v>80</v>
      </c>
      <c r="Q27" s="43">
        <v>60</v>
      </c>
      <c r="R27" s="43">
        <v>80</v>
      </c>
      <c r="S27" s="45" t="s">
        <v>615</v>
      </c>
    </row>
    <row r="28" spans="1:19" x14ac:dyDescent="0.3">
      <c r="A28" s="42" t="s">
        <v>485</v>
      </c>
      <c r="B28" s="42"/>
      <c r="C28" s="43">
        <v>112</v>
      </c>
      <c r="D28" s="42">
        <v>132</v>
      </c>
      <c r="E28" s="44">
        <f t="shared" si="0"/>
        <v>135.29999999999998</v>
      </c>
      <c r="F28" s="44">
        <f t="shared" si="1"/>
        <v>138.6</v>
      </c>
      <c r="G28" s="44">
        <f t="shared" si="2"/>
        <v>145.20000000000002</v>
      </c>
      <c r="H28" s="44">
        <f t="shared" si="3"/>
        <v>151.79999999999998</v>
      </c>
      <c r="I28" s="44">
        <f t="shared" si="4"/>
        <v>158.4</v>
      </c>
      <c r="J28" s="44">
        <f t="shared" si="5"/>
        <v>171.6</v>
      </c>
      <c r="K28" s="43">
        <v>90</v>
      </c>
      <c r="L28" s="43">
        <v>100</v>
      </c>
      <c r="M28" s="43">
        <v>65</v>
      </c>
      <c r="N28" s="43">
        <v>65</v>
      </c>
      <c r="O28" s="43">
        <v>80</v>
      </c>
      <c r="P28" s="43">
        <v>60</v>
      </c>
      <c r="Q28" s="43">
        <v>60</v>
      </c>
      <c r="R28" s="43">
        <v>60</v>
      </c>
      <c r="S28" s="45" t="s">
        <v>615</v>
      </c>
    </row>
    <row r="29" spans="1:19" x14ac:dyDescent="0.3">
      <c r="A29" s="42" t="s">
        <v>446</v>
      </c>
      <c r="B29" s="42" t="s">
        <v>190</v>
      </c>
      <c r="C29" s="43">
        <v>115</v>
      </c>
      <c r="D29" s="42">
        <v>136</v>
      </c>
      <c r="E29" s="44">
        <f t="shared" si="0"/>
        <v>139.39999999999998</v>
      </c>
      <c r="F29" s="44">
        <f t="shared" si="1"/>
        <v>142.80000000000001</v>
      </c>
      <c r="G29" s="44">
        <f t="shared" si="2"/>
        <v>149.60000000000002</v>
      </c>
      <c r="H29" s="44">
        <f t="shared" si="3"/>
        <v>156.39999999999998</v>
      </c>
      <c r="I29" s="44">
        <f t="shared" si="4"/>
        <v>163.19999999999999</v>
      </c>
      <c r="J29" s="44">
        <f t="shared" si="5"/>
        <v>176.8</v>
      </c>
      <c r="K29" s="43">
        <v>65</v>
      </c>
      <c r="L29" s="43">
        <v>65</v>
      </c>
      <c r="M29" s="43">
        <v>65</v>
      </c>
      <c r="N29" s="43">
        <v>90</v>
      </c>
      <c r="O29" s="43">
        <v>60</v>
      </c>
      <c r="P29" s="43">
        <v>60</v>
      </c>
      <c r="Q29" s="43">
        <v>20</v>
      </c>
      <c r="R29" s="43">
        <v>20</v>
      </c>
      <c r="S29" s="45" t="s">
        <v>615</v>
      </c>
    </row>
    <row r="30" spans="1:19" x14ac:dyDescent="0.3">
      <c r="A30" s="42" t="s">
        <v>447</v>
      </c>
      <c r="B30" s="42" t="s">
        <v>594</v>
      </c>
      <c r="C30" s="43">
        <v>120</v>
      </c>
      <c r="D30" s="42">
        <v>144</v>
      </c>
      <c r="E30" s="44">
        <f t="shared" si="0"/>
        <v>147.6</v>
      </c>
      <c r="F30" s="44">
        <f t="shared" si="1"/>
        <v>151.20000000000002</v>
      </c>
      <c r="G30" s="44">
        <f t="shared" si="2"/>
        <v>158.4</v>
      </c>
      <c r="H30" s="44">
        <f t="shared" si="3"/>
        <v>165.6</v>
      </c>
      <c r="I30" s="44">
        <f t="shared" si="4"/>
        <v>172.79999999999998</v>
      </c>
      <c r="J30" s="44">
        <f t="shared" si="5"/>
        <v>187.20000000000002</v>
      </c>
      <c r="K30" s="43">
        <v>90</v>
      </c>
      <c r="L30" s="43">
        <v>90</v>
      </c>
      <c r="M30" s="43">
        <v>90</v>
      </c>
      <c r="N30" s="43">
        <v>90</v>
      </c>
      <c r="O30" s="43">
        <v>60</v>
      </c>
      <c r="P30" s="43">
        <v>60</v>
      </c>
      <c r="Q30" s="43">
        <v>60</v>
      </c>
      <c r="R30" s="43">
        <v>60</v>
      </c>
      <c r="S30" s="45" t="s">
        <v>615</v>
      </c>
    </row>
    <row r="31" spans="1:19" x14ac:dyDescent="0.3">
      <c r="A31" s="42" t="s">
        <v>448</v>
      </c>
      <c r="B31" s="42"/>
      <c r="C31" s="43">
        <v>122</v>
      </c>
      <c r="D31" s="42">
        <v>146</v>
      </c>
      <c r="E31" s="44">
        <f t="shared" si="0"/>
        <v>149.64999999999998</v>
      </c>
      <c r="F31" s="44">
        <f t="shared" si="1"/>
        <v>153.30000000000001</v>
      </c>
      <c r="G31" s="44">
        <f t="shared" si="2"/>
        <v>160.60000000000002</v>
      </c>
      <c r="H31" s="44">
        <f t="shared" si="3"/>
        <v>167.89999999999998</v>
      </c>
      <c r="I31" s="44">
        <f t="shared" si="4"/>
        <v>175.2</v>
      </c>
      <c r="J31" s="44">
        <f t="shared" si="5"/>
        <v>189.8</v>
      </c>
      <c r="K31" s="43">
        <v>90</v>
      </c>
      <c r="L31" s="43">
        <v>90</v>
      </c>
      <c r="M31" s="43">
        <v>90</v>
      </c>
      <c r="N31" s="43">
        <v>90</v>
      </c>
      <c r="O31" s="43">
        <v>60</v>
      </c>
      <c r="P31" s="43">
        <v>20</v>
      </c>
      <c r="Q31" s="43">
        <v>60</v>
      </c>
      <c r="R31" s="43">
        <v>60</v>
      </c>
      <c r="S31" s="45" t="s">
        <v>615</v>
      </c>
    </row>
    <row r="32" spans="1:19" x14ac:dyDescent="0.3">
      <c r="A32" s="42" t="s">
        <v>486</v>
      </c>
      <c r="B32" s="42"/>
      <c r="C32" s="43">
        <v>122</v>
      </c>
      <c r="D32" s="42">
        <v>146</v>
      </c>
      <c r="E32" s="44">
        <f t="shared" si="0"/>
        <v>149.64999999999998</v>
      </c>
      <c r="F32" s="44">
        <f t="shared" si="1"/>
        <v>153.30000000000001</v>
      </c>
      <c r="G32" s="44">
        <f t="shared" si="2"/>
        <v>160.60000000000002</v>
      </c>
      <c r="H32" s="44">
        <f t="shared" si="3"/>
        <v>167.89999999999998</v>
      </c>
      <c r="I32" s="44">
        <f t="shared" si="4"/>
        <v>175.2</v>
      </c>
      <c r="J32" s="44">
        <f t="shared" si="5"/>
        <v>189.8</v>
      </c>
      <c r="K32" s="43">
        <v>65</v>
      </c>
      <c r="L32" s="43">
        <v>90</v>
      </c>
      <c r="M32" s="43">
        <v>65</v>
      </c>
      <c r="N32" s="43">
        <v>65</v>
      </c>
      <c r="O32" s="43">
        <v>80</v>
      </c>
      <c r="P32" s="43">
        <v>100</v>
      </c>
      <c r="Q32" s="43">
        <v>80</v>
      </c>
      <c r="R32" s="43">
        <v>20</v>
      </c>
      <c r="S32" s="45" t="s">
        <v>615</v>
      </c>
    </row>
    <row r="33" spans="1:19" x14ac:dyDescent="0.3">
      <c r="A33" s="42" t="s">
        <v>487</v>
      </c>
      <c r="B33" s="42"/>
      <c r="C33" s="43">
        <v>122</v>
      </c>
      <c r="D33" s="42">
        <v>146</v>
      </c>
      <c r="E33" s="44">
        <f t="shared" si="0"/>
        <v>149.64999999999998</v>
      </c>
      <c r="F33" s="44">
        <f t="shared" si="1"/>
        <v>153.30000000000001</v>
      </c>
      <c r="G33" s="44">
        <f t="shared" si="2"/>
        <v>160.60000000000002</v>
      </c>
      <c r="H33" s="44">
        <f t="shared" si="3"/>
        <v>167.89999999999998</v>
      </c>
      <c r="I33" s="44">
        <f t="shared" si="4"/>
        <v>175.2</v>
      </c>
      <c r="J33" s="44">
        <f t="shared" si="5"/>
        <v>189.8</v>
      </c>
      <c r="K33" s="43">
        <v>90</v>
      </c>
      <c r="L33" s="43">
        <v>90</v>
      </c>
      <c r="M33" s="43">
        <v>90</v>
      </c>
      <c r="N33" s="43">
        <v>90</v>
      </c>
      <c r="O33" s="43">
        <v>60</v>
      </c>
      <c r="P33" s="43">
        <v>60</v>
      </c>
      <c r="Q33" s="43">
        <v>60</v>
      </c>
      <c r="R33" s="43">
        <v>20</v>
      </c>
      <c r="S33" s="45" t="s">
        <v>615</v>
      </c>
    </row>
    <row r="34" spans="1:19" x14ac:dyDescent="0.3">
      <c r="A34" s="42" t="s">
        <v>456</v>
      </c>
      <c r="B34" s="42"/>
      <c r="C34" s="42">
        <v>122</v>
      </c>
      <c r="D34" s="42">
        <v>125</v>
      </c>
      <c r="E34" s="44">
        <f t="shared" si="0"/>
        <v>128.125</v>
      </c>
      <c r="F34" s="44">
        <f t="shared" si="1"/>
        <v>131.25</v>
      </c>
      <c r="G34" s="44">
        <f t="shared" si="2"/>
        <v>137.5</v>
      </c>
      <c r="H34" s="44">
        <f t="shared" si="3"/>
        <v>143.75</v>
      </c>
      <c r="I34" s="44">
        <f t="shared" si="4"/>
        <v>150</v>
      </c>
      <c r="J34" s="44">
        <f t="shared" si="5"/>
        <v>162.5</v>
      </c>
      <c r="K34" s="42">
        <v>70</v>
      </c>
      <c r="L34" s="42">
        <v>70</v>
      </c>
      <c r="M34" s="42">
        <v>80</v>
      </c>
      <c r="N34" s="42">
        <v>100</v>
      </c>
      <c r="O34" s="42">
        <v>60</v>
      </c>
      <c r="P34" s="42">
        <v>100</v>
      </c>
      <c r="Q34" s="42">
        <v>60</v>
      </c>
      <c r="R34" s="42">
        <v>60</v>
      </c>
      <c r="S34" s="45" t="s">
        <v>492</v>
      </c>
    </row>
    <row r="35" spans="1:19" x14ac:dyDescent="0.3">
      <c r="A35" s="42" t="s">
        <v>468</v>
      </c>
      <c r="B35" s="42" t="s">
        <v>593</v>
      </c>
      <c r="C35" s="42">
        <v>125</v>
      </c>
      <c r="D35" s="42">
        <v>127</v>
      </c>
      <c r="E35" s="44">
        <f t="shared" si="0"/>
        <v>130.17499999999998</v>
      </c>
      <c r="F35" s="44">
        <f t="shared" si="1"/>
        <v>133.35</v>
      </c>
      <c r="G35" s="44">
        <f t="shared" si="2"/>
        <v>139.70000000000002</v>
      </c>
      <c r="H35" s="44">
        <f t="shared" si="3"/>
        <v>146.04999999999998</v>
      </c>
      <c r="I35" s="44">
        <f t="shared" si="4"/>
        <v>152.4</v>
      </c>
      <c r="J35" s="44">
        <f t="shared" si="5"/>
        <v>165.1</v>
      </c>
      <c r="K35" s="42">
        <v>65</v>
      </c>
      <c r="L35" s="42">
        <v>65</v>
      </c>
      <c r="M35" s="42">
        <v>65</v>
      </c>
      <c r="N35" s="42">
        <v>90</v>
      </c>
      <c r="O35" s="42">
        <v>60</v>
      </c>
      <c r="P35" s="42">
        <v>60</v>
      </c>
      <c r="Q35" s="42">
        <v>60</v>
      </c>
      <c r="R35" s="42">
        <v>60</v>
      </c>
      <c r="S35" s="45" t="s">
        <v>492</v>
      </c>
    </row>
    <row r="36" spans="1:19" x14ac:dyDescent="0.3">
      <c r="A36" s="42" t="s">
        <v>460</v>
      </c>
      <c r="B36" s="42"/>
      <c r="C36" s="42">
        <v>123</v>
      </c>
      <c r="D36" s="42">
        <v>126</v>
      </c>
      <c r="E36" s="44">
        <f t="shared" si="0"/>
        <v>129.14999999999998</v>
      </c>
      <c r="F36" s="44">
        <f t="shared" si="1"/>
        <v>132.30000000000001</v>
      </c>
      <c r="G36" s="44">
        <f t="shared" si="2"/>
        <v>138.60000000000002</v>
      </c>
      <c r="H36" s="44">
        <f t="shared" si="3"/>
        <v>144.89999999999998</v>
      </c>
      <c r="I36" s="44">
        <f t="shared" si="4"/>
        <v>151.19999999999999</v>
      </c>
      <c r="J36" s="44">
        <f t="shared" si="5"/>
        <v>163.80000000000001</v>
      </c>
      <c r="K36" s="42">
        <v>80</v>
      </c>
      <c r="L36" s="42">
        <v>80</v>
      </c>
      <c r="M36" s="42">
        <v>60</v>
      </c>
      <c r="N36" s="42">
        <v>100</v>
      </c>
      <c r="O36" s="42">
        <v>60</v>
      </c>
      <c r="P36" s="42">
        <v>75</v>
      </c>
      <c r="Q36" s="42">
        <v>100</v>
      </c>
      <c r="R36" s="42">
        <v>80</v>
      </c>
      <c r="S36" s="45" t="s">
        <v>492</v>
      </c>
    </row>
    <row r="37" spans="1:19" x14ac:dyDescent="0.3">
      <c r="A37" s="42" t="s">
        <v>457</v>
      </c>
      <c r="B37" s="42"/>
      <c r="C37" s="42">
        <v>124</v>
      </c>
      <c r="D37" s="42">
        <v>126</v>
      </c>
      <c r="E37" s="44">
        <f t="shared" si="0"/>
        <v>129.14999999999998</v>
      </c>
      <c r="F37" s="44">
        <f t="shared" si="1"/>
        <v>132.30000000000001</v>
      </c>
      <c r="G37" s="44">
        <f t="shared" si="2"/>
        <v>138.60000000000002</v>
      </c>
      <c r="H37" s="44">
        <f t="shared" si="3"/>
        <v>144.89999999999998</v>
      </c>
      <c r="I37" s="44">
        <f t="shared" si="4"/>
        <v>151.19999999999999</v>
      </c>
      <c r="J37" s="44">
        <f t="shared" si="5"/>
        <v>163.80000000000001</v>
      </c>
      <c r="K37" s="42">
        <v>80</v>
      </c>
      <c r="L37" s="42">
        <v>100</v>
      </c>
      <c r="M37" s="42">
        <v>60</v>
      </c>
      <c r="N37" s="42">
        <v>60</v>
      </c>
      <c r="O37" s="42">
        <v>80</v>
      </c>
      <c r="P37" s="42">
        <v>100</v>
      </c>
      <c r="Q37" s="42">
        <v>100</v>
      </c>
      <c r="R37" s="42">
        <v>120</v>
      </c>
      <c r="S37" s="45" t="s">
        <v>492</v>
      </c>
    </row>
    <row r="38" spans="1:19" x14ac:dyDescent="0.3">
      <c r="A38" s="42" t="s">
        <v>458</v>
      </c>
      <c r="B38" s="42"/>
      <c r="C38" s="42">
        <v>124</v>
      </c>
      <c r="D38" s="42">
        <v>126</v>
      </c>
      <c r="E38" s="44">
        <f t="shared" si="0"/>
        <v>129.14999999999998</v>
      </c>
      <c r="F38" s="44">
        <f t="shared" si="1"/>
        <v>132.30000000000001</v>
      </c>
      <c r="G38" s="44">
        <f t="shared" si="2"/>
        <v>138.60000000000002</v>
      </c>
      <c r="H38" s="44">
        <f t="shared" si="3"/>
        <v>144.89999999999998</v>
      </c>
      <c r="I38" s="44">
        <f t="shared" si="4"/>
        <v>151.19999999999999</v>
      </c>
      <c r="J38" s="44">
        <f t="shared" si="5"/>
        <v>163.80000000000001</v>
      </c>
      <c r="K38" s="42">
        <v>80</v>
      </c>
      <c r="L38" s="42">
        <v>100</v>
      </c>
      <c r="M38" s="42">
        <v>80</v>
      </c>
      <c r="N38" s="42">
        <v>80</v>
      </c>
      <c r="O38" s="42">
        <v>60</v>
      </c>
      <c r="P38" s="42">
        <v>140</v>
      </c>
      <c r="Q38" s="42">
        <v>80</v>
      </c>
      <c r="R38" s="42">
        <v>60</v>
      </c>
      <c r="S38" s="45" t="s">
        <v>492</v>
      </c>
    </row>
    <row r="39" spans="1:19" x14ac:dyDescent="0.3">
      <c r="A39" s="42" t="s">
        <v>467</v>
      </c>
      <c r="B39" s="42"/>
      <c r="C39" s="42">
        <v>124</v>
      </c>
      <c r="D39" s="42">
        <v>126</v>
      </c>
      <c r="E39" s="44">
        <f t="shared" si="0"/>
        <v>129.14999999999998</v>
      </c>
      <c r="F39" s="44">
        <f t="shared" si="1"/>
        <v>132.30000000000001</v>
      </c>
      <c r="G39" s="44">
        <f t="shared" si="2"/>
        <v>138.60000000000002</v>
      </c>
      <c r="H39" s="44">
        <f t="shared" si="3"/>
        <v>144.89999999999998</v>
      </c>
      <c r="I39" s="44">
        <f t="shared" si="4"/>
        <v>151.19999999999999</v>
      </c>
      <c r="J39" s="44">
        <f t="shared" si="5"/>
        <v>163.80000000000001</v>
      </c>
      <c r="K39" s="42">
        <v>80</v>
      </c>
      <c r="L39" s="42">
        <v>80</v>
      </c>
      <c r="M39" s="42">
        <v>100</v>
      </c>
      <c r="N39" s="42">
        <v>80</v>
      </c>
      <c r="O39" s="42">
        <v>80</v>
      </c>
      <c r="P39" s="42">
        <v>60</v>
      </c>
      <c r="Q39" s="42">
        <v>80</v>
      </c>
      <c r="R39" s="42">
        <v>60</v>
      </c>
      <c r="S39" s="45" t="s">
        <v>492</v>
      </c>
    </row>
    <row r="40" spans="1:19" x14ac:dyDescent="0.3">
      <c r="A40" s="42" t="s">
        <v>466</v>
      </c>
      <c r="B40" s="42"/>
      <c r="C40" s="42">
        <v>124</v>
      </c>
      <c r="D40" s="42">
        <v>126</v>
      </c>
      <c r="E40" s="44">
        <f t="shared" si="0"/>
        <v>129.14999999999998</v>
      </c>
      <c r="F40" s="44">
        <f t="shared" si="1"/>
        <v>132.30000000000001</v>
      </c>
      <c r="G40" s="44">
        <f t="shared" si="2"/>
        <v>138.60000000000002</v>
      </c>
      <c r="H40" s="44">
        <f t="shared" si="3"/>
        <v>144.89999999999998</v>
      </c>
      <c r="I40" s="44">
        <f t="shared" si="4"/>
        <v>151.19999999999999</v>
      </c>
      <c r="J40" s="44">
        <f t="shared" si="5"/>
        <v>163.80000000000001</v>
      </c>
      <c r="K40" s="42">
        <v>80</v>
      </c>
      <c r="L40" s="42">
        <v>80</v>
      </c>
      <c r="M40" s="42">
        <v>100</v>
      </c>
      <c r="N40" s="42">
        <v>80</v>
      </c>
      <c r="O40" s="42">
        <v>80</v>
      </c>
      <c r="P40" s="42">
        <v>60</v>
      </c>
      <c r="Q40" s="42">
        <v>80</v>
      </c>
      <c r="R40" s="42">
        <v>100</v>
      </c>
      <c r="S40" s="45" t="s">
        <v>492</v>
      </c>
    </row>
    <row r="41" spans="1:19" x14ac:dyDescent="0.3">
      <c r="A41" s="42" t="s">
        <v>459</v>
      </c>
      <c r="B41" s="42"/>
      <c r="C41" s="42">
        <v>124</v>
      </c>
      <c r="D41" s="42">
        <v>126</v>
      </c>
      <c r="E41" s="44">
        <f t="shared" si="0"/>
        <v>129.14999999999998</v>
      </c>
      <c r="F41" s="44">
        <f t="shared" si="1"/>
        <v>132.30000000000001</v>
      </c>
      <c r="G41" s="44">
        <f t="shared" si="2"/>
        <v>138.60000000000002</v>
      </c>
      <c r="H41" s="44">
        <f t="shared" si="3"/>
        <v>144.89999999999998</v>
      </c>
      <c r="I41" s="44">
        <f t="shared" si="4"/>
        <v>151.19999999999999</v>
      </c>
      <c r="J41" s="44">
        <f t="shared" si="5"/>
        <v>163.80000000000001</v>
      </c>
      <c r="K41" s="42">
        <v>80</v>
      </c>
      <c r="L41" s="42">
        <v>80</v>
      </c>
      <c r="M41" s="42">
        <v>60</v>
      </c>
      <c r="N41" s="42">
        <v>80</v>
      </c>
      <c r="O41" s="42">
        <v>80</v>
      </c>
      <c r="P41" s="42">
        <v>100</v>
      </c>
      <c r="Q41" s="42">
        <v>100</v>
      </c>
      <c r="R41" s="42">
        <v>120</v>
      </c>
      <c r="S41" s="45" t="s">
        <v>492</v>
      </c>
    </row>
    <row r="42" spans="1:19" x14ac:dyDescent="0.3">
      <c r="A42" s="42" t="s">
        <v>463</v>
      </c>
      <c r="B42" s="42"/>
      <c r="C42" s="42">
        <v>125</v>
      </c>
      <c r="D42" s="42">
        <v>127</v>
      </c>
      <c r="E42" s="44">
        <f t="shared" si="0"/>
        <v>130.17499999999998</v>
      </c>
      <c r="F42" s="44">
        <f t="shared" si="1"/>
        <v>133.35</v>
      </c>
      <c r="G42" s="44">
        <f t="shared" si="2"/>
        <v>139.70000000000002</v>
      </c>
      <c r="H42" s="44">
        <f t="shared" si="3"/>
        <v>146.04999999999998</v>
      </c>
      <c r="I42" s="44">
        <f t="shared" si="4"/>
        <v>152.4</v>
      </c>
      <c r="J42" s="44">
        <f t="shared" si="5"/>
        <v>165.1</v>
      </c>
      <c r="K42" s="42">
        <v>80</v>
      </c>
      <c r="L42" s="42">
        <v>80</v>
      </c>
      <c r="M42" s="42">
        <v>100</v>
      </c>
      <c r="N42" s="42">
        <v>80</v>
      </c>
      <c r="O42" s="42">
        <v>80</v>
      </c>
      <c r="P42" s="42">
        <v>60</v>
      </c>
      <c r="Q42" s="42">
        <v>80</v>
      </c>
      <c r="R42" s="42">
        <v>80</v>
      </c>
      <c r="S42" s="45" t="s">
        <v>492</v>
      </c>
    </row>
    <row r="43" spans="1:19" x14ac:dyDescent="0.3">
      <c r="A43" s="42" t="s">
        <v>464</v>
      </c>
      <c r="B43" s="42"/>
      <c r="C43" s="42">
        <v>125</v>
      </c>
      <c r="D43" s="42">
        <v>127</v>
      </c>
      <c r="E43" s="44">
        <f t="shared" si="0"/>
        <v>130.17499999999998</v>
      </c>
      <c r="F43" s="44">
        <f t="shared" si="1"/>
        <v>133.35</v>
      </c>
      <c r="G43" s="44">
        <f t="shared" si="2"/>
        <v>139.70000000000002</v>
      </c>
      <c r="H43" s="44">
        <f t="shared" si="3"/>
        <v>146.04999999999998</v>
      </c>
      <c r="I43" s="44">
        <f t="shared" si="4"/>
        <v>152.4</v>
      </c>
      <c r="J43" s="44">
        <f t="shared" si="5"/>
        <v>165.1</v>
      </c>
      <c r="K43" s="42">
        <v>80</v>
      </c>
      <c r="L43" s="42">
        <v>80</v>
      </c>
      <c r="M43" s="42">
        <v>100</v>
      </c>
      <c r="N43" s="42">
        <v>80</v>
      </c>
      <c r="O43" s="42">
        <v>60</v>
      </c>
      <c r="P43" s="42">
        <v>60</v>
      </c>
      <c r="Q43" s="42">
        <v>60</v>
      </c>
      <c r="R43" s="42">
        <v>60</v>
      </c>
      <c r="S43" s="45" t="s">
        <v>492</v>
      </c>
    </row>
    <row r="44" spans="1:19" x14ac:dyDescent="0.3">
      <c r="A44" s="42" t="s">
        <v>462</v>
      </c>
      <c r="B44" s="42"/>
      <c r="C44" s="42">
        <v>125</v>
      </c>
      <c r="D44" s="42">
        <v>127</v>
      </c>
      <c r="E44" s="44">
        <f t="shared" si="0"/>
        <v>130.17499999999998</v>
      </c>
      <c r="F44" s="44">
        <f t="shared" si="1"/>
        <v>133.35</v>
      </c>
      <c r="G44" s="44">
        <f t="shared" si="2"/>
        <v>139.70000000000002</v>
      </c>
      <c r="H44" s="44">
        <f t="shared" si="3"/>
        <v>146.04999999999998</v>
      </c>
      <c r="I44" s="44">
        <f t="shared" si="4"/>
        <v>152.4</v>
      </c>
      <c r="J44" s="44">
        <f t="shared" si="5"/>
        <v>165.1</v>
      </c>
      <c r="K44" s="42">
        <v>80</v>
      </c>
      <c r="L44" s="42">
        <v>80</v>
      </c>
      <c r="M44" s="42">
        <v>60</v>
      </c>
      <c r="N44" s="42">
        <v>80</v>
      </c>
      <c r="O44" s="42">
        <v>80</v>
      </c>
      <c r="P44" s="42">
        <v>100</v>
      </c>
      <c r="Q44" s="42">
        <v>80</v>
      </c>
      <c r="R44" s="42">
        <v>80</v>
      </c>
      <c r="S44" s="45" t="s">
        <v>492</v>
      </c>
    </row>
    <row r="45" spans="1:19" x14ac:dyDescent="0.3">
      <c r="A45" s="42" t="s">
        <v>461</v>
      </c>
      <c r="B45" s="42"/>
      <c r="C45" s="42">
        <v>125</v>
      </c>
      <c r="D45" s="42">
        <v>127</v>
      </c>
      <c r="E45" s="44">
        <f t="shared" si="0"/>
        <v>130.17499999999998</v>
      </c>
      <c r="F45" s="44">
        <f t="shared" si="1"/>
        <v>133.35</v>
      </c>
      <c r="G45" s="44">
        <f t="shared" si="2"/>
        <v>139.70000000000002</v>
      </c>
      <c r="H45" s="44">
        <f t="shared" si="3"/>
        <v>146.04999999999998</v>
      </c>
      <c r="I45" s="44">
        <f t="shared" si="4"/>
        <v>152.4</v>
      </c>
      <c r="J45" s="44">
        <f t="shared" si="5"/>
        <v>165.1</v>
      </c>
      <c r="K45" s="42">
        <v>60</v>
      </c>
      <c r="L45" s="42">
        <v>60</v>
      </c>
      <c r="M45" s="42">
        <v>60</v>
      </c>
      <c r="N45" s="42">
        <v>80</v>
      </c>
      <c r="O45" s="42">
        <v>60</v>
      </c>
      <c r="P45" s="42">
        <v>60</v>
      </c>
      <c r="Q45" s="42">
        <v>60</v>
      </c>
      <c r="R45" s="42">
        <v>100</v>
      </c>
      <c r="S45" s="45" t="s">
        <v>492</v>
      </c>
    </row>
    <row r="46" spans="1:19" x14ac:dyDescent="0.3">
      <c r="A46" s="42" t="s">
        <v>465</v>
      </c>
      <c r="B46" s="42"/>
      <c r="C46" s="42">
        <v>125</v>
      </c>
      <c r="D46" s="42">
        <v>127</v>
      </c>
      <c r="E46" s="44">
        <f t="shared" si="0"/>
        <v>130.17499999999998</v>
      </c>
      <c r="F46" s="44">
        <f t="shared" si="1"/>
        <v>133.35</v>
      </c>
      <c r="G46" s="44">
        <f t="shared" si="2"/>
        <v>139.70000000000002</v>
      </c>
      <c r="H46" s="44">
        <f t="shared" si="3"/>
        <v>146.04999999999998</v>
      </c>
      <c r="I46" s="44">
        <f t="shared" si="4"/>
        <v>152.4</v>
      </c>
      <c r="J46" s="44">
        <f t="shared" si="5"/>
        <v>165.1</v>
      </c>
      <c r="K46" s="42">
        <v>60</v>
      </c>
      <c r="L46" s="42">
        <v>60</v>
      </c>
      <c r="M46" s="42">
        <v>60</v>
      </c>
      <c r="N46" s="42">
        <v>80</v>
      </c>
      <c r="O46" s="42">
        <v>60</v>
      </c>
      <c r="P46" s="42">
        <v>60</v>
      </c>
      <c r="Q46" s="42">
        <v>60</v>
      </c>
      <c r="R46" s="42">
        <v>60</v>
      </c>
      <c r="S46" s="45" t="s">
        <v>492</v>
      </c>
    </row>
    <row r="47" spans="1:19" ht="16.399999999999999" customHeight="1" x14ac:dyDescent="0.3">
      <c r="A47" s="42" t="s">
        <v>488</v>
      </c>
      <c r="B47" s="42"/>
      <c r="C47" s="43">
        <v>84</v>
      </c>
      <c r="D47" s="43">
        <v>84</v>
      </c>
      <c r="E47" s="43">
        <v>84</v>
      </c>
      <c r="F47" s="43">
        <v>84</v>
      </c>
      <c r="G47" s="43">
        <v>84</v>
      </c>
      <c r="H47" s="43">
        <v>84</v>
      </c>
      <c r="I47" s="43">
        <v>84</v>
      </c>
      <c r="J47" s="43">
        <v>84</v>
      </c>
      <c r="K47" s="43">
        <v>78</v>
      </c>
      <c r="L47" s="43">
        <v>120</v>
      </c>
      <c r="M47" s="43">
        <v>78</v>
      </c>
      <c r="N47" s="43">
        <v>120</v>
      </c>
      <c r="O47" s="43">
        <v>168</v>
      </c>
      <c r="P47" s="43">
        <v>240</v>
      </c>
      <c r="Q47" s="43">
        <v>168</v>
      </c>
      <c r="R47" s="43">
        <v>168</v>
      </c>
      <c r="S47" s="45" t="s">
        <v>615</v>
      </c>
    </row>
    <row r="48" spans="1:19" x14ac:dyDescent="0.3">
      <c r="A48" s="42" t="s">
        <v>489</v>
      </c>
      <c r="B48" s="42"/>
      <c r="C48" s="43">
        <v>84</v>
      </c>
      <c r="D48" s="43">
        <v>84</v>
      </c>
      <c r="E48" s="43">
        <v>84</v>
      </c>
      <c r="F48" s="43">
        <v>84</v>
      </c>
      <c r="G48" s="43">
        <v>84</v>
      </c>
      <c r="H48" s="43">
        <v>84</v>
      </c>
      <c r="I48" s="43">
        <v>84</v>
      </c>
      <c r="J48" s="43">
        <v>84</v>
      </c>
      <c r="K48" s="43">
        <v>117</v>
      </c>
      <c r="L48" s="43">
        <v>180</v>
      </c>
      <c r="M48" s="43">
        <v>117</v>
      </c>
      <c r="N48" s="43">
        <v>180</v>
      </c>
      <c r="O48" s="43">
        <f>O47*1.5</f>
        <v>252</v>
      </c>
      <c r="P48" s="43">
        <f>P47*1.5</f>
        <v>360</v>
      </c>
      <c r="Q48" s="43">
        <f>Q47*1.5</f>
        <v>252</v>
      </c>
      <c r="R48" s="43">
        <f>R47*1.5</f>
        <v>252</v>
      </c>
      <c r="S48" s="45" t="s">
        <v>615</v>
      </c>
    </row>
    <row r="49" spans="1:19" x14ac:dyDescent="0.3">
      <c r="A49" s="42" t="s">
        <v>595</v>
      </c>
      <c r="B49" s="42"/>
      <c r="C49" s="43">
        <v>117</v>
      </c>
      <c r="D49" s="43">
        <v>139</v>
      </c>
      <c r="E49" s="44">
        <f t="shared" si="0"/>
        <v>142.47499999999999</v>
      </c>
      <c r="F49" s="44">
        <f t="shared" si="1"/>
        <v>145.95000000000002</v>
      </c>
      <c r="G49" s="44">
        <f t="shared" si="2"/>
        <v>152.9</v>
      </c>
      <c r="H49" s="44">
        <f t="shared" si="3"/>
        <v>159.85</v>
      </c>
      <c r="I49" s="44">
        <f t="shared" si="4"/>
        <v>166.79999999999998</v>
      </c>
      <c r="J49" s="44">
        <f t="shared" si="5"/>
        <v>180.70000000000002</v>
      </c>
      <c r="K49" s="43">
        <v>100</v>
      </c>
      <c r="L49" s="43">
        <v>100</v>
      </c>
      <c r="M49" s="43">
        <v>110</v>
      </c>
      <c r="N49" s="43">
        <v>100</v>
      </c>
      <c r="O49" s="43">
        <v>100</v>
      </c>
      <c r="P49" s="43">
        <v>100</v>
      </c>
      <c r="Q49" s="43">
        <v>100</v>
      </c>
      <c r="R49" s="43">
        <v>80</v>
      </c>
      <c r="S49" s="45" t="s">
        <v>615</v>
      </c>
    </row>
    <row r="50" spans="1:19" x14ac:dyDescent="0.5">
      <c r="A50" s="42" t="s">
        <v>596</v>
      </c>
      <c r="B50" s="46"/>
      <c r="C50" s="43">
        <v>120</v>
      </c>
      <c r="D50" s="43">
        <v>144</v>
      </c>
      <c r="E50" s="44">
        <f t="shared" si="0"/>
        <v>147.6</v>
      </c>
      <c r="F50" s="44">
        <f t="shared" si="1"/>
        <v>151.20000000000002</v>
      </c>
      <c r="G50" s="44">
        <f t="shared" si="2"/>
        <v>158.4</v>
      </c>
      <c r="H50" s="44">
        <f t="shared" si="3"/>
        <v>165.6</v>
      </c>
      <c r="I50" s="44">
        <f t="shared" si="4"/>
        <v>172.79999999999998</v>
      </c>
      <c r="J50" s="44">
        <f t="shared" si="5"/>
        <v>187.20000000000002</v>
      </c>
      <c r="K50" s="43">
        <v>100</v>
      </c>
      <c r="L50" s="43">
        <v>100</v>
      </c>
      <c r="M50" s="43">
        <v>90</v>
      </c>
      <c r="N50" s="43">
        <v>100</v>
      </c>
      <c r="O50" s="43">
        <v>100</v>
      </c>
      <c r="P50" s="43">
        <v>60</v>
      </c>
      <c r="Q50" s="43">
        <v>80</v>
      </c>
      <c r="R50" s="43">
        <v>80</v>
      </c>
      <c r="S50" s="60" t="s">
        <v>615</v>
      </c>
    </row>
    <row r="51" spans="1:19" x14ac:dyDescent="0.5">
      <c r="A51" s="42" t="s">
        <v>597</v>
      </c>
      <c r="B51" s="46"/>
      <c r="C51" s="43">
        <v>112</v>
      </c>
      <c r="D51" s="42">
        <v>132</v>
      </c>
      <c r="E51" s="44">
        <f t="shared" si="0"/>
        <v>135.29999999999998</v>
      </c>
      <c r="F51" s="44">
        <f t="shared" si="1"/>
        <v>138.6</v>
      </c>
      <c r="G51" s="44">
        <f t="shared" si="2"/>
        <v>145.20000000000002</v>
      </c>
      <c r="H51" s="44">
        <f t="shared" si="3"/>
        <v>151.79999999999998</v>
      </c>
      <c r="I51" s="44">
        <f t="shared" si="4"/>
        <v>158.4</v>
      </c>
      <c r="J51" s="44">
        <f t="shared" si="5"/>
        <v>171.6</v>
      </c>
      <c r="K51" s="43">
        <v>100</v>
      </c>
      <c r="L51" s="43">
        <v>100</v>
      </c>
      <c r="M51" s="43">
        <v>100</v>
      </c>
      <c r="N51" s="43">
        <v>100</v>
      </c>
      <c r="O51" s="43">
        <v>100</v>
      </c>
      <c r="P51" s="43">
        <v>100</v>
      </c>
      <c r="Q51" s="43">
        <v>100</v>
      </c>
      <c r="R51" s="43">
        <v>100</v>
      </c>
      <c r="S51" s="60" t="s">
        <v>615</v>
      </c>
    </row>
  </sheetData>
  <phoneticPr fontId="1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Y320"/>
  <sheetViews>
    <sheetView zoomScale="80" zoomScaleNormal="80" workbookViewId="0">
      <pane xSplit="2" ySplit="1" topLeftCell="C195" activePane="bottomRight" state="frozen"/>
      <selection pane="topRight"/>
      <selection pane="bottomLeft"/>
      <selection pane="bottomRight" activeCell="D311" sqref="D311"/>
    </sheetView>
  </sheetViews>
  <sheetFormatPr defaultColWidth="8.84375" defaultRowHeight="16.3" x14ac:dyDescent="0.3"/>
  <cols>
    <col min="1" max="1" width="14.84375" style="8" customWidth="1"/>
    <col min="2" max="2" width="32.53515625" style="8" customWidth="1"/>
    <col min="3" max="3" width="13.07421875" style="8" customWidth="1"/>
    <col min="4" max="4" width="12.765625" style="8" customWidth="1"/>
    <col min="5" max="5" width="10.4609375" style="8" customWidth="1"/>
    <col min="6" max="6" width="10" style="8"/>
    <col min="7" max="11" width="10.4609375" style="8" customWidth="1"/>
    <col min="12" max="12" width="8.84375" style="8"/>
    <col min="13" max="13" width="10.3046875" style="8" customWidth="1"/>
    <col min="14" max="14" width="9.765625" style="8" customWidth="1"/>
    <col min="15" max="15" width="10.23046875" style="8" customWidth="1"/>
    <col min="16" max="17" width="8.84375" style="8"/>
    <col min="18" max="18" width="9.4609375" style="8" bestFit="1" customWidth="1"/>
    <col min="19" max="21" width="8.84375" style="8"/>
    <col min="22" max="23" width="13.84375" style="8" customWidth="1"/>
    <col min="24" max="24" width="26.3046875" style="8" customWidth="1"/>
    <col min="25" max="25" width="28.3046875" style="8" customWidth="1"/>
    <col min="26" max="16384" width="8.84375" style="8"/>
  </cols>
  <sheetData>
    <row r="1" spans="1:25" x14ac:dyDescent="0.3">
      <c r="A1" s="9" t="s">
        <v>592</v>
      </c>
      <c r="B1" s="51" t="s">
        <v>591</v>
      </c>
      <c r="C1" s="51" t="s">
        <v>750</v>
      </c>
      <c r="D1" s="9" t="s">
        <v>601</v>
      </c>
      <c r="E1" s="9" t="s">
        <v>602</v>
      </c>
      <c r="F1" s="9" t="s">
        <v>603</v>
      </c>
      <c r="G1" s="9" t="s">
        <v>561</v>
      </c>
      <c r="H1" s="9" t="s">
        <v>562</v>
      </c>
      <c r="I1" s="9" t="s">
        <v>563</v>
      </c>
      <c r="J1" s="9" t="s">
        <v>564</v>
      </c>
      <c r="K1" s="9" t="s">
        <v>565</v>
      </c>
      <c r="L1" s="9" t="s">
        <v>560</v>
      </c>
      <c r="M1" s="9" t="s">
        <v>626</v>
      </c>
      <c r="N1" s="9" t="s">
        <v>25</v>
      </c>
      <c r="O1" s="9" t="s">
        <v>310</v>
      </c>
      <c r="P1" s="9" t="s">
        <v>23</v>
      </c>
      <c r="Q1" s="9" t="s">
        <v>699</v>
      </c>
      <c r="R1" s="9" t="s">
        <v>622</v>
      </c>
      <c r="S1" s="9" t="s">
        <v>624</v>
      </c>
      <c r="T1" s="9" t="s">
        <v>551</v>
      </c>
      <c r="U1" s="9" t="s">
        <v>613</v>
      </c>
      <c r="V1" s="9" t="s">
        <v>693</v>
      </c>
      <c r="W1" s="9" t="s">
        <v>779</v>
      </c>
      <c r="X1" s="20" t="s">
        <v>499</v>
      </c>
      <c r="Y1" s="20" t="s">
        <v>500</v>
      </c>
    </row>
    <row r="2" spans="1:25" x14ac:dyDescent="0.3">
      <c r="A2" s="19">
        <v>40000</v>
      </c>
      <c r="B2" s="59" t="s">
        <v>449</v>
      </c>
      <c r="C2" s="19">
        <v>1</v>
      </c>
      <c r="D2" s="19">
        <v>10</v>
      </c>
      <c r="E2" s="19">
        <v>0</v>
      </c>
      <c r="F2" s="19">
        <v>0</v>
      </c>
      <c r="G2" s="19">
        <v>0</v>
      </c>
      <c r="H2" s="19">
        <v>152</v>
      </c>
      <c r="I2" s="19">
        <v>0</v>
      </c>
      <c r="J2" s="19">
        <v>0</v>
      </c>
      <c r="K2" s="19">
        <v>0</v>
      </c>
      <c r="L2" s="19" t="s">
        <v>45</v>
      </c>
      <c r="M2" s="19" t="s">
        <v>45</v>
      </c>
      <c r="N2" s="19" t="s">
        <v>45</v>
      </c>
      <c r="O2" s="19" t="s">
        <v>45</v>
      </c>
      <c r="P2" s="19" t="s">
        <v>28</v>
      </c>
      <c r="Q2" s="19">
        <v>7</v>
      </c>
      <c r="R2" s="19">
        <v>3</v>
      </c>
      <c r="S2" s="19">
        <v>1</v>
      </c>
      <c r="T2" s="19"/>
      <c r="U2" s="19"/>
      <c r="V2" s="19">
        <v>0</v>
      </c>
      <c r="W2" s="19"/>
      <c r="X2" s="8" t="str" cm="1">
        <f t="array" ref="X2:X160">_xlfn._xlws.FILTER($B$2:$B$320,$P$2:$P$320=X1)</f>
        <v>辉石魔砾</v>
      </c>
      <c r="Y2" s="8" t="str" cm="1">
        <f t="array" ref="Y2:Y161">_xlfn._xlws.FILTER($B$2:$B$320,$P$2:$P$320=Y1)</f>
        <v>黄金之怒</v>
      </c>
    </row>
    <row r="3" spans="1:25" x14ac:dyDescent="0.3">
      <c r="A3" s="19">
        <v>40100</v>
      </c>
      <c r="B3" s="59" t="s">
        <v>450</v>
      </c>
      <c r="C3" s="19">
        <v>1</v>
      </c>
      <c r="D3" s="19">
        <v>12</v>
      </c>
      <c r="E3" s="19">
        <v>0</v>
      </c>
      <c r="F3" s="19">
        <v>0</v>
      </c>
      <c r="G3" s="19">
        <v>0</v>
      </c>
      <c r="H3" s="19">
        <v>114</v>
      </c>
      <c r="I3" s="19">
        <v>0</v>
      </c>
      <c r="J3" s="19">
        <v>0</v>
      </c>
      <c r="K3" s="19">
        <v>0</v>
      </c>
      <c r="L3" s="19" t="s">
        <v>45</v>
      </c>
      <c r="M3" s="19" t="s">
        <v>45</v>
      </c>
      <c r="N3" s="19" t="s">
        <v>45</v>
      </c>
      <c r="O3" s="19" t="s">
        <v>45</v>
      </c>
      <c r="P3" s="19" t="s">
        <v>28</v>
      </c>
      <c r="Q3" s="19">
        <v>5</v>
      </c>
      <c r="R3" s="19">
        <v>2</v>
      </c>
      <c r="S3" s="19">
        <v>8</v>
      </c>
      <c r="T3" s="19"/>
      <c r="U3" s="19"/>
      <c r="V3" s="19">
        <v>0</v>
      </c>
      <c r="W3" s="19"/>
      <c r="X3" s="8" t="str">
        <v>辉石迅魔砾</v>
      </c>
      <c r="Y3" s="8" t="str">
        <v>黄金之怒-蓄力</v>
      </c>
    </row>
    <row r="4" spans="1:25" x14ac:dyDescent="0.3">
      <c r="A4" s="19">
        <v>40010</v>
      </c>
      <c r="B4" s="59" t="s">
        <v>29</v>
      </c>
      <c r="C4" s="19">
        <v>1</v>
      </c>
      <c r="D4" s="19">
        <v>16</v>
      </c>
      <c r="E4" s="19">
        <v>0</v>
      </c>
      <c r="F4" s="19">
        <v>0</v>
      </c>
      <c r="G4" s="19">
        <v>0</v>
      </c>
      <c r="H4" s="19">
        <v>211</v>
      </c>
      <c r="I4" s="19">
        <v>0</v>
      </c>
      <c r="J4" s="19">
        <v>0</v>
      </c>
      <c r="K4" s="19">
        <v>0</v>
      </c>
      <c r="L4" s="19" t="s">
        <v>45</v>
      </c>
      <c r="M4" s="19" t="s">
        <v>45</v>
      </c>
      <c r="N4" s="19" t="s">
        <v>45</v>
      </c>
      <c r="O4" s="19" t="s">
        <v>45</v>
      </c>
      <c r="P4" s="19" t="s">
        <v>28</v>
      </c>
      <c r="Q4" s="19">
        <v>12</v>
      </c>
      <c r="R4" s="19">
        <v>5.5</v>
      </c>
      <c r="S4" s="19">
        <v>1</v>
      </c>
      <c r="T4" s="19"/>
      <c r="U4" s="19"/>
      <c r="V4" s="19">
        <v>0</v>
      </c>
      <c r="W4" s="19"/>
      <c r="X4" s="8" t="str">
        <v>辉石大魔砾</v>
      </c>
      <c r="Y4" s="8" t="str">
        <v>远方之怒</v>
      </c>
    </row>
    <row r="5" spans="1:25" x14ac:dyDescent="0.3">
      <c r="A5" s="19">
        <v>40200</v>
      </c>
      <c r="B5" s="59" t="s">
        <v>30</v>
      </c>
      <c r="C5" s="19">
        <v>1</v>
      </c>
      <c r="D5" s="19">
        <v>36</v>
      </c>
      <c r="E5" s="19">
        <v>0</v>
      </c>
      <c r="F5" s="19">
        <v>0</v>
      </c>
      <c r="G5" s="19">
        <v>0</v>
      </c>
      <c r="H5" s="19">
        <v>259</v>
      </c>
      <c r="I5" s="19">
        <v>0</v>
      </c>
      <c r="J5" s="19">
        <v>0</v>
      </c>
      <c r="K5" s="19">
        <v>0</v>
      </c>
      <c r="L5" s="19" t="s">
        <v>45</v>
      </c>
      <c r="M5" s="19" t="s">
        <v>46</v>
      </c>
      <c r="N5" s="19" t="s">
        <v>45</v>
      </c>
      <c r="O5" s="19" t="s">
        <v>45</v>
      </c>
      <c r="P5" s="19" t="s">
        <v>28</v>
      </c>
      <c r="Q5" s="19">
        <v>17</v>
      </c>
      <c r="R5" s="19">
        <v>5.5</v>
      </c>
      <c r="S5" s="19">
        <v>1</v>
      </c>
      <c r="T5" s="19"/>
      <c r="U5" s="19"/>
      <c r="V5" s="19">
        <v>0</v>
      </c>
      <c r="W5" s="19"/>
      <c r="X5" s="8" t="str">
        <v>辉石彗星</v>
      </c>
      <c r="Y5" s="8" t="str">
        <v>远方之怒-蓄力</v>
      </c>
    </row>
    <row r="6" spans="1:25" x14ac:dyDescent="0.3">
      <c r="A6" s="19">
        <v>40201</v>
      </c>
      <c r="B6" s="59" t="s">
        <v>31</v>
      </c>
      <c r="C6" s="19">
        <v>1</v>
      </c>
      <c r="D6" s="19">
        <v>36</v>
      </c>
      <c r="E6" s="19">
        <v>0</v>
      </c>
      <c r="F6" s="19">
        <v>0</v>
      </c>
      <c r="G6" s="19">
        <v>0</v>
      </c>
      <c r="H6" s="19">
        <v>324</v>
      </c>
      <c r="I6" s="19">
        <v>0</v>
      </c>
      <c r="J6" s="19">
        <v>0</v>
      </c>
      <c r="K6" s="19">
        <v>0</v>
      </c>
      <c r="L6" s="19" t="s">
        <v>45</v>
      </c>
      <c r="M6" s="19" t="s">
        <v>46</v>
      </c>
      <c r="N6" s="19" t="s">
        <v>47</v>
      </c>
      <c r="O6" s="19" t="s">
        <v>45</v>
      </c>
      <c r="P6" s="19" t="s">
        <v>28</v>
      </c>
      <c r="Q6" s="19">
        <v>17</v>
      </c>
      <c r="R6" s="19">
        <v>10.175000000000001</v>
      </c>
      <c r="S6" s="19">
        <v>1</v>
      </c>
      <c r="T6" s="19"/>
      <c r="U6" s="19"/>
      <c r="V6" s="19">
        <v>0</v>
      </c>
      <c r="W6" s="19"/>
      <c r="X6" s="8" t="str">
        <v>辉石彗星-蓄力</v>
      </c>
      <c r="Y6" s="8" t="str">
        <v>熔炉百相之喉囊</v>
      </c>
    </row>
    <row r="7" spans="1:25" x14ac:dyDescent="0.3">
      <c r="A7" s="19">
        <v>40210</v>
      </c>
      <c r="B7" s="59" t="s">
        <v>32</v>
      </c>
      <c r="C7" s="19">
        <v>1</v>
      </c>
      <c r="D7" s="19">
        <v>52</v>
      </c>
      <c r="E7" s="19">
        <v>0</v>
      </c>
      <c r="F7" s="19">
        <v>0</v>
      </c>
      <c r="G7" s="19">
        <v>0</v>
      </c>
      <c r="H7" s="19">
        <v>292</v>
      </c>
      <c r="I7" s="19">
        <v>0</v>
      </c>
      <c r="J7" s="19">
        <v>0</v>
      </c>
      <c r="K7" s="19">
        <v>0</v>
      </c>
      <c r="L7" s="19" t="s">
        <v>45</v>
      </c>
      <c r="M7" s="19" t="s">
        <v>46</v>
      </c>
      <c r="N7" s="19" t="s">
        <v>45</v>
      </c>
      <c r="O7" s="19" t="s">
        <v>45</v>
      </c>
      <c r="P7" s="19" t="s">
        <v>28</v>
      </c>
      <c r="Q7" s="19">
        <v>24</v>
      </c>
      <c r="R7" s="19">
        <v>7</v>
      </c>
      <c r="S7" s="19">
        <v>1</v>
      </c>
      <c r="T7" s="19"/>
      <c r="U7" s="19"/>
      <c r="V7" s="19">
        <v>0</v>
      </c>
      <c r="W7" s="19"/>
      <c r="X7" s="8" t="str">
        <v>帚星</v>
      </c>
      <c r="Y7" s="8" t="str">
        <v>熔炉百相之尾</v>
      </c>
    </row>
    <row r="8" spans="1:25" x14ac:dyDescent="0.3">
      <c r="A8" s="19">
        <v>40211</v>
      </c>
      <c r="B8" s="59" t="s">
        <v>33</v>
      </c>
      <c r="C8" s="19">
        <v>1</v>
      </c>
      <c r="D8" s="19">
        <v>52</v>
      </c>
      <c r="E8" s="19">
        <v>0</v>
      </c>
      <c r="F8" s="19">
        <v>0</v>
      </c>
      <c r="G8" s="19">
        <v>0</v>
      </c>
      <c r="H8" s="19">
        <v>365</v>
      </c>
      <c r="I8" s="19">
        <v>0</v>
      </c>
      <c r="J8" s="19">
        <v>0</v>
      </c>
      <c r="K8" s="19">
        <v>0</v>
      </c>
      <c r="L8" s="19" t="s">
        <v>45</v>
      </c>
      <c r="M8" s="19" t="s">
        <v>46</v>
      </c>
      <c r="N8" s="19" t="s">
        <v>47</v>
      </c>
      <c r="O8" s="19" t="s">
        <v>45</v>
      </c>
      <c r="P8" s="19" t="s">
        <v>28</v>
      </c>
      <c r="Q8" s="19">
        <v>24</v>
      </c>
      <c r="R8" s="19">
        <v>12.95</v>
      </c>
      <c r="S8" s="19">
        <v>2</v>
      </c>
      <c r="T8" s="19"/>
      <c r="U8" s="19"/>
      <c r="V8" s="19">
        <v>0</v>
      </c>
      <c r="W8" s="19"/>
      <c r="X8" s="8" t="str">
        <v>帚星-蓄力</v>
      </c>
      <c r="Y8" s="8" t="str">
        <v>熔炉百相之尾-蓄力二段</v>
      </c>
    </row>
    <row r="9" spans="1:25" x14ac:dyDescent="0.3">
      <c r="A9" s="19">
        <v>40300</v>
      </c>
      <c r="B9" s="59" t="s">
        <v>34</v>
      </c>
      <c r="C9" s="19">
        <v>3</v>
      </c>
      <c r="D9" s="19">
        <v>27</v>
      </c>
      <c r="E9" s="19">
        <v>0</v>
      </c>
      <c r="F9" s="19">
        <v>0</v>
      </c>
      <c r="G9" s="19">
        <v>0</v>
      </c>
      <c r="H9" s="19">
        <v>92</v>
      </c>
      <c r="I9" s="19">
        <v>0</v>
      </c>
      <c r="J9" s="19">
        <v>0</v>
      </c>
      <c r="K9" s="19">
        <v>0</v>
      </c>
      <c r="L9" s="19" t="s">
        <v>45</v>
      </c>
      <c r="M9" s="19" t="s">
        <v>45</v>
      </c>
      <c r="N9" s="19" t="s">
        <v>45</v>
      </c>
      <c r="O9" s="19" t="s">
        <v>45</v>
      </c>
      <c r="P9" s="19" t="s">
        <v>28</v>
      </c>
      <c r="Q9" s="19">
        <v>14</v>
      </c>
      <c r="R9" s="19">
        <v>2</v>
      </c>
      <c r="S9" s="19">
        <v>1</v>
      </c>
      <c r="T9" s="19"/>
      <c r="U9" s="19"/>
      <c r="V9" s="19">
        <v>0</v>
      </c>
      <c r="W9" s="19"/>
      <c r="X9" s="8" t="str">
        <v>旋飞魔砾</v>
      </c>
      <c r="Y9" s="8" t="str">
        <v>熔炉百相之角</v>
      </c>
    </row>
    <row r="10" spans="1:25" x14ac:dyDescent="0.3">
      <c r="A10" s="19">
        <v>40301</v>
      </c>
      <c r="B10" s="59" t="s">
        <v>48</v>
      </c>
      <c r="C10" s="19">
        <v>3</v>
      </c>
      <c r="D10" s="19">
        <v>27</v>
      </c>
      <c r="E10" s="19">
        <v>0</v>
      </c>
      <c r="F10" s="19">
        <v>0</v>
      </c>
      <c r="G10" s="19">
        <v>0</v>
      </c>
      <c r="H10" s="19">
        <v>110</v>
      </c>
      <c r="I10" s="19">
        <v>0</v>
      </c>
      <c r="J10" s="19">
        <v>0</v>
      </c>
      <c r="K10" s="19">
        <v>0</v>
      </c>
      <c r="L10" s="19" t="s">
        <v>45</v>
      </c>
      <c r="M10" s="19" t="s">
        <v>45</v>
      </c>
      <c r="N10" s="19" t="s">
        <v>47</v>
      </c>
      <c r="O10" s="19" t="s">
        <v>45</v>
      </c>
      <c r="P10" s="19" t="s">
        <v>28</v>
      </c>
      <c r="Q10" s="19">
        <v>14</v>
      </c>
      <c r="R10" s="19">
        <v>3.7</v>
      </c>
      <c r="S10" s="19">
        <v>1</v>
      </c>
      <c r="T10" s="19"/>
      <c r="U10" s="19"/>
      <c r="V10" s="19">
        <v>0</v>
      </c>
      <c r="W10" s="19"/>
      <c r="X10" s="8" t="str">
        <v>旋飞魔砾-蓄力</v>
      </c>
      <c r="Y10" s="8" t="str">
        <v>熔炉百相之角-蓄力</v>
      </c>
    </row>
    <row r="11" spans="1:25" x14ac:dyDescent="0.3">
      <c r="A11" s="19">
        <v>40400</v>
      </c>
      <c r="B11" s="59" t="s">
        <v>740</v>
      </c>
      <c r="C11" s="19">
        <v>1</v>
      </c>
      <c r="D11" s="19">
        <v>12</v>
      </c>
      <c r="E11" s="19">
        <v>0</v>
      </c>
      <c r="F11" s="19">
        <v>0</v>
      </c>
      <c r="G11" s="19">
        <v>0</v>
      </c>
      <c r="H11" s="19">
        <v>87</v>
      </c>
      <c r="I11" s="19">
        <v>0</v>
      </c>
      <c r="J11" s="19">
        <v>0</v>
      </c>
      <c r="K11" s="19">
        <v>0</v>
      </c>
      <c r="L11" s="19" t="s">
        <v>45</v>
      </c>
      <c r="M11" s="19" t="s">
        <v>49</v>
      </c>
      <c r="N11" s="19" t="s">
        <v>45</v>
      </c>
      <c r="O11" s="19" t="s">
        <v>45</v>
      </c>
      <c r="P11" s="19" t="s">
        <v>28</v>
      </c>
      <c r="Q11" s="19">
        <v>12</v>
      </c>
      <c r="R11" s="19">
        <v>2</v>
      </c>
      <c r="S11" s="19">
        <v>1</v>
      </c>
      <c r="T11" s="19"/>
      <c r="U11" s="19"/>
      <c r="V11" s="19">
        <v>0</v>
      </c>
      <c r="W11" s="19"/>
      <c r="X11" s="8" t="str">
        <v>辉石流星-1</v>
      </c>
      <c r="Y11" s="8" t="str">
        <v>熔炉百相之针（撞击）</v>
      </c>
    </row>
    <row r="12" spans="1:25" x14ac:dyDescent="0.3">
      <c r="A12" s="19">
        <v>40401</v>
      </c>
      <c r="B12" s="59" t="s">
        <v>741</v>
      </c>
      <c r="C12" s="19">
        <v>1</v>
      </c>
      <c r="D12" s="19">
        <v>12</v>
      </c>
      <c r="E12" s="19">
        <v>0</v>
      </c>
      <c r="F12" s="19">
        <v>0</v>
      </c>
      <c r="G12" s="19">
        <v>0</v>
      </c>
      <c r="H12" s="19">
        <v>78</v>
      </c>
      <c r="I12" s="19">
        <v>0</v>
      </c>
      <c r="J12" s="19">
        <v>0</v>
      </c>
      <c r="K12" s="19">
        <v>0</v>
      </c>
      <c r="L12" s="19" t="s">
        <v>45</v>
      </c>
      <c r="M12" s="19" t="s">
        <v>49</v>
      </c>
      <c r="N12" s="19" t="s">
        <v>45</v>
      </c>
      <c r="O12" s="19" t="s">
        <v>45</v>
      </c>
      <c r="P12" s="19" t="s">
        <v>28</v>
      </c>
      <c r="Q12" s="19">
        <v>12</v>
      </c>
      <c r="R12" s="19">
        <v>2</v>
      </c>
      <c r="S12" s="19">
        <v>1</v>
      </c>
      <c r="T12" s="19"/>
      <c r="U12" s="19"/>
      <c r="V12" s="19">
        <v>0</v>
      </c>
      <c r="W12" s="19"/>
      <c r="X12" s="8" t="str">
        <v>辉石流星-2</v>
      </c>
      <c r="Y12" s="8" t="str">
        <v>熔炉百相之针（针）</v>
      </c>
    </row>
    <row r="13" spans="1:25" x14ac:dyDescent="0.3">
      <c r="A13" s="19">
        <v>40402</v>
      </c>
      <c r="B13" s="59" t="s">
        <v>742</v>
      </c>
      <c r="C13" s="19">
        <v>1</v>
      </c>
      <c r="D13" s="19">
        <v>12</v>
      </c>
      <c r="E13" s="19">
        <v>0</v>
      </c>
      <c r="F13" s="19">
        <v>0</v>
      </c>
      <c r="G13" s="19">
        <v>0</v>
      </c>
      <c r="H13" s="19">
        <v>68</v>
      </c>
      <c r="I13" s="19">
        <v>0</v>
      </c>
      <c r="J13" s="19">
        <v>0</v>
      </c>
      <c r="K13" s="19">
        <v>0</v>
      </c>
      <c r="L13" s="19" t="s">
        <v>45</v>
      </c>
      <c r="M13" s="19" t="s">
        <v>49</v>
      </c>
      <c r="N13" s="19" t="s">
        <v>45</v>
      </c>
      <c r="O13" s="19" t="s">
        <v>45</v>
      </c>
      <c r="P13" s="19" t="s">
        <v>28</v>
      </c>
      <c r="Q13" s="19">
        <v>12</v>
      </c>
      <c r="R13" s="19">
        <v>2</v>
      </c>
      <c r="S13" s="19">
        <v>1</v>
      </c>
      <c r="T13" s="19"/>
      <c r="U13" s="19"/>
      <c r="V13" s="19">
        <v>0</v>
      </c>
      <c r="W13" s="19"/>
      <c r="X13" s="8" t="str">
        <v>辉石流星-3</v>
      </c>
      <c r="Y13" s="8" t="str">
        <v>熔炉百相之花</v>
      </c>
    </row>
    <row r="14" spans="1:25" x14ac:dyDescent="0.3">
      <c r="A14" s="19">
        <v>40405</v>
      </c>
      <c r="B14" s="59" t="s">
        <v>747</v>
      </c>
      <c r="C14" s="19">
        <v>1</v>
      </c>
      <c r="D14" s="19">
        <v>12</v>
      </c>
      <c r="E14" s="19">
        <v>0</v>
      </c>
      <c r="F14" s="19">
        <v>0</v>
      </c>
      <c r="G14" s="19">
        <v>0</v>
      </c>
      <c r="H14" s="19">
        <v>99</v>
      </c>
      <c r="I14" s="19">
        <v>0</v>
      </c>
      <c r="J14" s="19">
        <v>0</v>
      </c>
      <c r="K14" s="19">
        <v>0</v>
      </c>
      <c r="L14" s="19" t="s">
        <v>45</v>
      </c>
      <c r="M14" s="19" t="s">
        <v>49</v>
      </c>
      <c r="N14" s="19" t="s">
        <v>47</v>
      </c>
      <c r="O14" s="19" t="s">
        <v>45</v>
      </c>
      <c r="P14" s="19" t="s">
        <v>28</v>
      </c>
      <c r="Q14" s="19">
        <v>12</v>
      </c>
      <c r="R14" s="19">
        <v>3.7</v>
      </c>
      <c r="S14" s="19">
        <v>1</v>
      </c>
      <c r="T14" s="19"/>
      <c r="U14" s="19"/>
      <c r="V14" s="19">
        <v>0</v>
      </c>
      <c r="W14" s="19"/>
      <c r="X14" s="8" t="str">
        <v>辉石流星-1-蓄力</v>
      </c>
      <c r="Y14" s="8" t="str">
        <v>熔炉百相之花-蓄力</v>
      </c>
    </row>
    <row r="15" spans="1:25" x14ac:dyDescent="0.3">
      <c r="A15" s="19">
        <v>40406</v>
      </c>
      <c r="B15" s="59" t="s">
        <v>748</v>
      </c>
      <c r="C15" s="19">
        <v>1</v>
      </c>
      <c r="D15" s="19">
        <v>12</v>
      </c>
      <c r="E15" s="19">
        <v>0</v>
      </c>
      <c r="F15" s="19">
        <v>0</v>
      </c>
      <c r="G15" s="19">
        <v>0</v>
      </c>
      <c r="H15" s="19">
        <v>90</v>
      </c>
      <c r="I15" s="19">
        <v>0</v>
      </c>
      <c r="J15" s="19">
        <v>0</v>
      </c>
      <c r="K15" s="19">
        <v>0</v>
      </c>
      <c r="L15" s="19" t="s">
        <v>45</v>
      </c>
      <c r="M15" s="19" t="s">
        <v>49</v>
      </c>
      <c r="N15" s="19" t="s">
        <v>47</v>
      </c>
      <c r="O15" s="19" t="s">
        <v>45</v>
      </c>
      <c r="P15" s="19" t="s">
        <v>28</v>
      </c>
      <c r="Q15" s="19">
        <v>12</v>
      </c>
      <c r="R15" s="19">
        <v>3.7</v>
      </c>
      <c r="S15" s="19">
        <v>1</v>
      </c>
      <c r="T15" s="19"/>
      <c r="U15" s="19"/>
      <c r="V15" s="19">
        <v>0</v>
      </c>
      <c r="W15" s="19"/>
      <c r="X15" s="8" t="str">
        <v>辉石流星-2-蓄力</v>
      </c>
      <c r="Y15" s="8" t="str">
        <v>幽影之地（爆炸）</v>
      </c>
    </row>
    <row r="16" spans="1:25" x14ac:dyDescent="0.3">
      <c r="A16" s="19">
        <v>40407</v>
      </c>
      <c r="B16" s="59" t="s">
        <v>749</v>
      </c>
      <c r="C16" s="19">
        <v>1</v>
      </c>
      <c r="D16" s="19">
        <v>12</v>
      </c>
      <c r="E16" s="19">
        <v>0</v>
      </c>
      <c r="F16" s="19">
        <v>0</v>
      </c>
      <c r="G16" s="19">
        <v>0</v>
      </c>
      <c r="H16" s="19">
        <v>80</v>
      </c>
      <c r="I16" s="19">
        <v>0</v>
      </c>
      <c r="J16" s="19">
        <v>0</v>
      </c>
      <c r="K16" s="19">
        <v>0</v>
      </c>
      <c r="L16" s="19" t="s">
        <v>45</v>
      </c>
      <c r="M16" s="19" t="s">
        <v>49</v>
      </c>
      <c r="N16" s="19" t="s">
        <v>47</v>
      </c>
      <c r="O16" s="19" t="s">
        <v>45</v>
      </c>
      <c r="P16" s="19" t="s">
        <v>28</v>
      </c>
      <c r="Q16" s="19">
        <v>12</v>
      </c>
      <c r="R16" s="19">
        <v>3.7</v>
      </c>
      <c r="S16" s="19">
        <v>1</v>
      </c>
      <c r="T16" s="19"/>
      <c r="U16" s="19"/>
      <c r="V16" s="19">
        <v>0</v>
      </c>
      <c r="W16" s="19"/>
      <c r="X16" s="8" t="str">
        <v>辉石流星-3-蓄力</v>
      </c>
      <c r="Y16" s="8" t="str">
        <v>幽影之地（光球）</v>
      </c>
    </row>
    <row r="17" spans="1:25" x14ac:dyDescent="0.3">
      <c r="A17" s="19">
        <v>40500</v>
      </c>
      <c r="B17" s="59" t="s">
        <v>50</v>
      </c>
      <c r="C17" s="19">
        <v>1</v>
      </c>
      <c r="D17" s="19">
        <v>24</v>
      </c>
      <c r="E17" s="19">
        <v>0</v>
      </c>
      <c r="F17" s="19">
        <v>0</v>
      </c>
      <c r="G17" s="19">
        <v>0</v>
      </c>
      <c r="H17" s="19">
        <v>79</v>
      </c>
      <c r="I17" s="19">
        <v>0</v>
      </c>
      <c r="J17" s="19">
        <v>0</v>
      </c>
      <c r="K17" s="19">
        <v>0</v>
      </c>
      <c r="L17" s="19" t="s">
        <v>45</v>
      </c>
      <c r="M17" s="19" t="s">
        <v>49</v>
      </c>
      <c r="N17" s="19" t="s">
        <v>45</v>
      </c>
      <c r="O17" s="19" t="s">
        <v>45</v>
      </c>
      <c r="P17" s="19" t="s">
        <v>28</v>
      </c>
      <c r="Q17" s="19">
        <v>23</v>
      </c>
      <c r="R17" s="19">
        <v>1</v>
      </c>
      <c r="S17" s="19">
        <v>1</v>
      </c>
      <c r="T17" s="19"/>
      <c r="U17" s="19"/>
      <c r="V17" s="19">
        <v>0</v>
      </c>
      <c r="W17" s="19"/>
      <c r="X17" s="8" t="str">
        <v>流星雨1</v>
      </c>
      <c r="Y17" s="8" t="str">
        <v>艾尔登流星（大）</v>
      </c>
    </row>
    <row r="18" spans="1:25" x14ac:dyDescent="0.3">
      <c r="A18" s="19">
        <v>40501</v>
      </c>
      <c r="B18" s="59" t="s">
        <v>51</v>
      </c>
      <c r="C18" s="19">
        <v>1</v>
      </c>
      <c r="D18" s="19">
        <v>24</v>
      </c>
      <c r="E18" s="19">
        <v>0</v>
      </c>
      <c r="F18" s="19">
        <v>0</v>
      </c>
      <c r="G18" s="19">
        <v>0</v>
      </c>
      <c r="H18" s="19">
        <v>69</v>
      </c>
      <c r="I18" s="19">
        <v>0</v>
      </c>
      <c r="J18" s="19">
        <v>0</v>
      </c>
      <c r="K18" s="19">
        <v>0</v>
      </c>
      <c r="L18" s="19" t="s">
        <v>45</v>
      </c>
      <c r="M18" s="19" t="s">
        <v>49</v>
      </c>
      <c r="N18" s="19" t="s">
        <v>45</v>
      </c>
      <c r="O18" s="19" t="s">
        <v>45</v>
      </c>
      <c r="P18" s="19" t="s">
        <v>28</v>
      </c>
      <c r="Q18" s="19">
        <v>23</v>
      </c>
      <c r="R18" s="19">
        <v>1</v>
      </c>
      <c r="S18" s="19">
        <v>1</v>
      </c>
      <c r="T18" s="19"/>
      <c r="U18" s="19"/>
      <c r="V18" s="19">
        <v>0</v>
      </c>
      <c r="W18" s="19"/>
      <c r="X18" s="8" t="str">
        <v>流星雨2</v>
      </c>
      <c r="Y18" s="8" t="str">
        <v>艾尔登流星（小）</v>
      </c>
    </row>
    <row r="19" spans="1:25" x14ac:dyDescent="0.3">
      <c r="A19" s="19">
        <v>40502</v>
      </c>
      <c r="B19" s="59" t="s">
        <v>52</v>
      </c>
      <c r="C19" s="19">
        <v>1</v>
      </c>
      <c r="D19" s="19">
        <v>24</v>
      </c>
      <c r="E19" s="19">
        <v>0</v>
      </c>
      <c r="F19" s="19">
        <v>0</v>
      </c>
      <c r="G19" s="19">
        <v>0</v>
      </c>
      <c r="H19" s="19">
        <v>69</v>
      </c>
      <c r="I19" s="19">
        <v>0</v>
      </c>
      <c r="J19" s="19">
        <v>0</v>
      </c>
      <c r="K19" s="19">
        <v>0</v>
      </c>
      <c r="L19" s="19" t="s">
        <v>45</v>
      </c>
      <c r="M19" s="19" t="s">
        <v>49</v>
      </c>
      <c r="N19" s="19" t="s">
        <v>45</v>
      </c>
      <c r="O19" s="19" t="s">
        <v>45</v>
      </c>
      <c r="P19" s="19" t="s">
        <v>28</v>
      </c>
      <c r="Q19" s="19">
        <v>23</v>
      </c>
      <c r="R19" s="19">
        <v>1</v>
      </c>
      <c r="S19" s="19">
        <v>1</v>
      </c>
      <c r="T19" s="19"/>
      <c r="U19" s="19"/>
      <c r="V19" s="19">
        <v>0</v>
      </c>
      <c r="W19" s="19"/>
      <c r="X19" s="8" t="str">
        <v>流星雨3</v>
      </c>
      <c r="Y19" s="8" t="str">
        <v>艾尔登流星（轨迹）</v>
      </c>
    </row>
    <row r="20" spans="1:25" x14ac:dyDescent="0.3">
      <c r="A20" s="19">
        <v>40503</v>
      </c>
      <c r="B20" s="59" t="s">
        <v>53</v>
      </c>
      <c r="C20" s="19">
        <v>1</v>
      </c>
      <c r="D20" s="19">
        <v>24</v>
      </c>
      <c r="E20" s="19">
        <v>0</v>
      </c>
      <c r="F20" s="19">
        <v>0</v>
      </c>
      <c r="G20" s="19">
        <v>0</v>
      </c>
      <c r="H20" s="19">
        <v>59</v>
      </c>
      <c r="I20" s="19">
        <v>0</v>
      </c>
      <c r="J20" s="19">
        <v>0</v>
      </c>
      <c r="K20" s="19">
        <v>0</v>
      </c>
      <c r="L20" s="19" t="s">
        <v>45</v>
      </c>
      <c r="M20" s="19" t="s">
        <v>49</v>
      </c>
      <c r="N20" s="19" t="s">
        <v>45</v>
      </c>
      <c r="O20" s="19" t="s">
        <v>45</v>
      </c>
      <c r="P20" s="19" t="s">
        <v>28</v>
      </c>
      <c r="Q20" s="19">
        <v>23</v>
      </c>
      <c r="R20" s="19">
        <v>1</v>
      </c>
      <c r="S20" s="19">
        <v>1</v>
      </c>
      <c r="T20" s="19"/>
      <c r="U20" s="19"/>
      <c r="V20" s="19">
        <v>0</v>
      </c>
      <c r="W20" s="19"/>
      <c r="X20" s="8" t="str">
        <v>流星雨4</v>
      </c>
      <c r="Y20" s="8" t="str">
        <v>黑剑（一段）-剑身</v>
      </c>
    </row>
    <row r="21" spans="1:25" x14ac:dyDescent="0.3">
      <c r="A21" s="19">
        <v>40504</v>
      </c>
      <c r="B21" s="59" t="s">
        <v>54</v>
      </c>
      <c r="C21" s="19">
        <v>1</v>
      </c>
      <c r="D21" s="19">
        <v>24</v>
      </c>
      <c r="E21" s="19">
        <v>0</v>
      </c>
      <c r="F21" s="19">
        <v>0</v>
      </c>
      <c r="G21" s="19">
        <v>0</v>
      </c>
      <c r="H21" s="19">
        <v>49</v>
      </c>
      <c r="I21" s="19">
        <v>0</v>
      </c>
      <c r="J21" s="19">
        <v>0</v>
      </c>
      <c r="K21" s="19">
        <v>0</v>
      </c>
      <c r="L21" s="19" t="s">
        <v>45</v>
      </c>
      <c r="M21" s="19" t="s">
        <v>49</v>
      </c>
      <c r="N21" s="19" t="s">
        <v>45</v>
      </c>
      <c r="O21" s="19" t="s">
        <v>45</v>
      </c>
      <c r="P21" s="19" t="s">
        <v>28</v>
      </c>
      <c r="Q21" s="19">
        <v>23</v>
      </c>
      <c r="R21" s="19">
        <v>1</v>
      </c>
      <c r="S21" s="19">
        <v>1</v>
      </c>
      <c r="T21" s="19"/>
      <c r="U21" s="19"/>
      <c r="V21" s="19">
        <v>0</v>
      </c>
      <c r="W21" s="19"/>
      <c r="X21" s="8" t="str">
        <v>流星雨5</v>
      </c>
      <c r="Y21" s="8" t="str">
        <v>黑剑（一段）-剑气</v>
      </c>
    </row>
    <row r="22" spans="1:25" x14ac:dyDescent="0.3">
      <c r="A22" s="19">
        <v>40505</v>
      </c>
      <c r="B22" s="59" t="s">
        <v>55</v>
      </c>
      <c r="C22" s="19">
        <v>1</v>
      </c>
      <c r="D22" s="19">
        <v>24</v>
      </c>
      <c r="E22" s="19">
        <v>0</v>
      </c>
      <c r="F22" s="19">
        <v>0</v>
      </c>
      <c r="G22" s="19">
        <v>0</v>
      </c>
      <c r="H22" s="19">
        <v>44</v>
      </c>
      <c r="I22" s="19">
        <v>0</v>
      </c>
      <c r="J22" s="19">
        <v>0</v>
      </c>
      <c r="K22" s="19">
        <v>0</v>
      </c>
      <c r="L22" s="19" t="s">
        <v>45</v>
      </c>
      <c r="M22" s="19" t="s">
        <v>49</v>
      </c>
      <c r="N22" s="19" t="s">
        <v>45</v>
      </c>
      <c r="O22" s="19" t="s">
        <v>45</v>
      </c>
      <c r="P22" s="19" t="s">
        <v>28</v>
      </c>
      <c r="Q22" s="19">
        <v>23</v>
      </c>
      <c r="R22" s="19">
        <v>1</v>
      </c>
      <c r="S22" s="19">
        <v>1</v>
      </c>
      <c r="T22" s="19"/>
      <c r="U22" s="19"/>
      <c r="V22" s="19">
        <v>0</v>
      </c>
      <c r="W22" s="19"/>
      <c r="X22" s="8" t="str">
        <v>流星雨6</v>
      </c>
      <c r="Y22" s="8" t="str">
        <v>黑剑（二段）-剑身</v>
      </c>
    </row>
    <row r="23" spans="1:25" x14ac:dyDescent="0.3">
      <c r="A23" s="19">
        <v>40510</v>
      </c>
      <c r="B23" s="59" t="s">
        <v>56</v>
      </c>
      <c r="C23" s="19">
        <v>1</v>
      </c>
      <c r="D23" s="19">
        <v>24</v>
      </c>
      <c r="E23" s="19">
        <v>0</v>
      </c>
      <c r="F23" s="19">
        <v>0</v>
      </c>
      <c r="G23" s="19">
        <v>0</v>
      </c>
      <c r="H23" s="19">
        <v>88</v>
      </c>
      <c r="I23" s="19">
        <v>0</v>
      </c>
      <c r="J23" s="19">
        <v>0</v>
      </c>
      <c r="K23" s="19">
        <v>0</v>
      </c>
      <c r="L23" s="19" t="s">
        <v>45</v>
      </c>
      <c r="M23" s="19" t="s">
        <v>49</v>
      </c>
      <c r="N23" s="19" t="s">
        <v>47</v>
      </c>
      <c r="O23" s="19" t="s">
        <v>45</v>
      </c>
      <c r="P23" s="19" t="s">
        <v>28</v>
      </c>
      <c r="Q23" s="19">
        <v>23</v>
      </c>
      <c r="R23" s="19">
        <v>1.85</v>
      </c>
      <c r="S23" s="19">
        <v>1</v>
      </c>
      <c r="T23" s="19"/>
      <c r="U23" s="19"/>
      <c r="V23" s="19">
        <v>0</v>
      </c>
      <c r="W23" s="19"/>
      <c r="X23" s="8" t="str">
        <v>流星雨1-蓄力</v>
      </c>
      <c r="Y23" s="8" t="str">
        <v>黑剑（二段）-剑气</v>
      </c>
    </row>
    <row r="24" spans="1:25" x14ac:dyDescent="0.3">
      <c r="A24" s="19">
        <v>40511</v>
      </c>
      <c r="B24" s="59" t="s">
        <v>57</v>
      </c>
      <c r="C24" s="19">
        <v>1</v>
      </c>
      <c r="D24" s="19">
        <v>24</v>
      </c>
      <c r="E24" s="19">
        <v>0</v>
      </c>
      <c r="F24" s="19">
        <v>0</v>
      </c>
      <c r="G24" s="19">
        <v>0</v>
      </c>
      <c r="H24" s="19">
        <v>78</v>
      </c>
      <c r="I24" s="19">
        <v>0</v>
      </c>
      <c r="J24" s="19">
        <v>0</v>
      </c>
      <c r="K24" s="19">
        <v>0</v>
      </c>
      <c r="L24" s="19" t="s">
        <v>45</v>
      </c>
      <c r="M24" s="19" t="s">
        <v>49</v>
      </c>
      <c r="N24" s="19" t="s">
        <v>47</v>
      </c>
      <c r="O24" s="19" t="s">
        <v>45</v>
      </c>
      <c r="P24" s="19" t="s">
        <v>28</v>
      </c>
      <c r="Q24" s="19">
        <v>23</v>
      </c>
      <c r="R24" s="19">
        <v>1.85</v>
      </c>
      <c r="S24" s="19">
        <v>1</v>
      </c>
      <c r="T24" s="19"/>
      <c r="U24" s="19"/>
      <c r="V24" s="19">
        <v>0</v>
      </c>
      <c r="W24" s="19"/>
      <c r="X24" s="8" t="str">
        <v>流星雨2-蓄力</v>
      </c>
      <c r="Y24" s="8" t="str">
        <v>光环</v>
      </c>
    </row>
    <row r="25" spans="1:25" x14ac:dyDescent="0.3">
      <c r="A25" s="19">
        <v>40512</v>
      </c>
      <c r="B25" s="59" t="s">
        <v>58</v>
      </c>
      <c r="C25" s="19">
        <v>1</v>
      </c>
      <c r="D25" s="19">
        <v>24</v>
      </c>
      <c r="E25" s="19">
        <v>0</v>
      </c>
      <c r="F25" s="19">
        <v>0</v>
      </c>
      <c r="G25" s="19">
        <v>0</v>
      </c>
      <c r="H25" s="19">
        <v>68</v>
      </c>
      <c r="I25" s="19">
        <v>0</v>
      </c>
      <c r="J25" s="19">
        <v>0</v>
      </c>
      <c r="K25" s="19">
        <v>0</v>
      </c>
      <c r="L25" s="19" t="s">
        <v>45</v>
      </c>
      <c r="M25" s="19" t="s">
        <v>49</v>
      </c>
      <c r="N25" s="19" t="s">
        <v>47</v>
      </c>
      <c r="O25" s="19" t="s">
        <v>45</v>
      </c>
      <c r="P25" s="19" t="s">
        <v>28</v>
      </c>
      <c r="Q25" s="19">
        <v>23</v>
      </c>
      <c r="R25" s="19">
        <v>1.85</v>
      </c>
      <c r="S25" s="19">
        <v>1</v>
      </c>
      <c r="T25" s="19"/>
      <c r="U25" s="19"/>
      <c r="V25" s="19">
        <v>0</v>
      </c>
      <c r="W25" s="19"/>
      <c r="X25" s="8" t="str">
        <v>流星雨3-蓄力</v>
      </c>
      <c r="Y25" s="8" t="str">
        <v>化三光环</v>
      </c>
    </row>
    <row r="26" spans="1:25" x14ac:dyDescent="0.3">
      <c r="A26" s="19">
        <v>40513</v>
      </c>
      <c r="B26" s="59" t="s">
        <v>59</v>
      </c>
      <c r="C26" s="19">
        <v>1</v>
      </c>
      <c r="D26" s="19">
        <v>24</v>
      </c>
      <c r="E26" s="19">
        <v>0</v>
      </c>
      <c r="F26" s="19">
        <v>0</v>
      </c>
      <c r="G26" s="19">
        <v>0</v>
      </c>
      <c r="H26" s="19">
        <v>63</v>
      </c>
      <c r="I26" s="19">
        <v>0</v>
      </c>
      <c r="J26" s="19">
        <v>0</v>
      </c>
      <c r="K26" s="19">
        <v>0</v>
      </c>
      <c r="L26" s="19" t="s">
        <v>45</v>
      </c>
      <c r="M26" s="19" t="s">
        <v>49</v>
      </c>
      <c r="N26" s="19" t="s">
        <v>47</v>
      </c>
      <c r="O26" s="19" t="s">
        <v>45</v>
      </c>
      <c r="P26" s="19" t="s">
        <v>28</v>
      </c>
      <c r="Q26" s="19">
        <v>23</v>
      </c>
      <c r="R26" s="19">
        <v>1.85</v>
      </c>
      <c r="S26" s="19">
        <v>1</v>
      </c>
      <c r="T26" s="19"/>
      <c r="U26" s="19"/>
      <c r="V26" s="19">
        <v>0</v>
      </c>
      <c r="W26" s="19"/>
      <c r="X26" s="8" t="str">
        <v>流星雨4-蓄力</v>
      </c>
      <c r="Y26" s="8" t="str">
        <v>拉达冈的光环</v>
      </c>
    </row>
    <row r="27" spans="1:25" x14ac:dyDescent="0.3">
      <c r="A27" s="19">
        <v>40514</v>
      </c>
      <c r="B27" s="59" t="s">
        <v>60</v>
      </c>
      <c r="C27" s="19">
        <v>1</v>
      </c>
      <c r="D27" s="19">
        <v>24</v>
      </c>
      <c r="E27" s="19">
        <v>0</v>
      </c>
      <c r="F27" s="19">
        <v>0</v>
      </c>
      <c r="G27" s="19">
        <v>0</v>
      </c>
      <c r="H27" s="19">
        <v>58</v>
      </c>
      <c r="I27" s="19">
        <v>0</v>
      </c>
      <c r="J27" s="19">
        <v>0</v>
      </c>
      <c r="K27" s="19">
        <v>0</v>
      </c>
      <c r="L27" s="19" t="s">
        <v>45</v>
      </c>
      <c r="M27" s="19" t="s">
        <v>49</v>
      </c>
      <c r="N27" s="19" t="s">
        <v>47</v>
      </c>
      <c r="O27" s="19" t="s">
        <v>45</v>
      </c>
      <c r="P27" s="19" t="s">
        <v>28</v>
      </c>
      <c r="Q27" s="19">
        <v>23</v>
      </c>
      <c r="R27" s="19">
        <v>1.85</v>
      </c>
      <c r="S27" s="19">
        <v>1</v>
      </c>
      <c r="T27" s="19"/>
      <c r="U27" s="19"/>
      <c r="V27" s="19">
        <v>0</v>
      </c>
      <c r="W27" s="19"/>
      <c r="X27" s="8" t="str">
        <v>流星雨5-蓄力</v>
      </c>
      <c r="Y27" s="8" t="str">
        <v>拉达冈的光环-蓄力</v>
      </c>
    </row>
    <row r="28" spans="1:25" x14ac:dyDescent="0.3">
      <c r="A28" s="19">
        <v>40515</v>
      </c>
      <c r="B28" s="59" t="s">
        <v>61</v>
      </c>
      <c r="C28" s="19">
        <v>1</v>
      </c>
      <c r="D28" s="19">
        <v>24</v>
      </c>
      <c r="E28" s="19">
        <v>0</v>
      </c>
      <c r="F28" s="19">
        <v>0</v>
      </c>
      <c r="G28" s="19">
        <v>0</v>
      </c>
      <c r="H28" s="19">
        <v>53</v>
      </c>
      <c r="I28" s="19">
        <v>0</v>
      </c>
      <c r="J28" s="19">
        <v>0</v>
      </c>
      <c r="K28" s="19">
        <v>0</v>
      </c>
      <c r="L28" s="19" t="s">
        <v>45</v>
      </c>
      <c r="M28" s="19" t="s">
        <v>49</v>
      </c>
      <c r="N28" s="19" t="s">
        <v>47</v>
      </c>
      <c r="O28" s="19" t="s">
        <v>45</v>
      </c>
      <c r="P28" s="19" t="s">
        <v>28</v>
      </c>
      <c r="Q28" s="19">
        <v>23</v>
      </c>
      <c r="R28" s="19">
        <v>1.85</v>
      </c>
      <c r="S28" s="19">
        <v>1</v>
      </c>
      <c r="T28" s="19"/>
      <c r="U28" s="19"/>
      <c r="V28" s="19">
        <v>0</v>
      </c>
      <c r="W28" s="19"/>
      <c r="X28" s="8" t="str">
        <v>流星雨6-蓄力</v>
      </c>
      <c r="Y28" s="8" t="str">
        <v>相迭光环（本体）</v>
      </c>
    </row>
    <row r="29" spans="1:25" x14ac:dyDescent="0.3">
      <c r="A29" s="19">
        <v>40070</v>
      </c>
      <c r="B29" s="59" t="s">
        <v>63</v>
      </c>
      <c r="C29" s="19">
        <v>1</v>
      </c>
      <c r="D29" s="19">
        <v>13</v>
      </c>
      <c r="E29" s="19">
        <v>0</v>
      </c>
      <c r="F29" s="19">
        <v>0</v>
      </c>
      <c r="G29" s="19">
        <v>0</v>
      </c>
      <c r="H29" s="19">
        <v>148</v>
      </c>
      <c r="I29" s="19">
        <v>0</v>
      </c>
      <c r="J29" s="19">
        <v>0</v>
      </c>
      <c r="K29" s="19">
        <v>0</v>
      </c>
      <c r="L29" s="19" t="s">
        <v>45</v>
      </c>
      <c r="M29" s="19" t="s">
        <v>45</v>
      </c>
      <c r="N29" s="19" t="s">
        <v>45</v>
      </c>
      <c r="O29" s="19" t="s">
        <v>45</v>
      </c>
      <c r="P29" s="19" t="s">
        <v>28</v>
      </c>
      <c r="Q29" s="19">
        <v>9</v>
      </c>
      <c r="R29" s="19">
        <v>5</v>
      </c>
      <c r="S29" s="19">
        <v>1</v>
      </c>
      <c r="T29" s="19"/>
      <c r="U29" s="19"/>
      <c r="V29" s="19">
        <v>0</v>
      </c>
      <c r="W29" s="19"/>
      <c r="X29" s="8" t="str">
        <v>辉石弯弧</v>
      </c>
      <c r="Y29" s="8" t="str">
        <v>相迭光环（持续）</v>
      </c>
    </row>
    <row r="30" spans="1:25" x14ac:dyDescent="0.3">
      <c r="A30" s="19">
        <v>40600</v>
      </c>
      <c r="B30" s="59" t="s">
        <v>62</v>
      </c>
      <c r="C30" s="19">
        <v>11</v>
      </c>
      <c r="D30" s="19">
        <v>23</v>
      </c>
      <c r="E30" s="19">
        <v>0</v>
      </c>
      <c r="F30" s="19">
        <v>0</v>
      </c>
      <c r="G30" s="19">
        <v>0</v>
      </c>
      <c r="H30" s="19">
        <v>36</v>
      </c>
      <c r="I30" s="19">
        <v>0</v>
      </c>
      <c r="J30" s="19">
        <v>0</v>
      </c>
      <c r="K30" s="19">
        <v>0</v>
      </c>
      <c r="L30" s="19" t="s">
        <v>45</v>
      </c>
      <c r="M30" s="19" t="s">
        <v>45</v>
      </c>
      <c r="N30" s="19" t="s">
        <v>45</v>
      </c>
      <c r="O30" s="19" t="s">
        <v>45</v>
      </c>
      <c r="P30" s="19" t="s">
        <v>28</v>
      </c>
      <c r="Q30" s="19">
        <v>14</v>
      </c>
      <c r="R30" s="19">
        <v>0.5</v>
      </c>
      <c r="S30" s="19">
        <v>0</v>
      </c>
      <c r="T30" s="19"/>
      <c r="U30" s="19"/>
      <c r="V30" s="19">
        <v>0</v>
      </c>
      <c r="W30" s="19"/>
      <c r="X30" s="8" t="str">
        <v>结晶连弹</v>
      </c>
      <c r="Y30" s="8" t="str">
        <v>相迭光环（本体）-蓄力</v>
      </c>
    </row>
    <row r="31" spans="1:25" x14ac:dyDescent="0.3">
      <c r="A31" s="19">
        <v>40900</v>
      </c>
      <c r="B31" s="59" t="s">
        <v>66</v>
      </c>
      <c r="C31" s="19">
        <v>13</v>
      </c>
      <c r="D31" s="19">
        <v>18</v>
      </c>
      <c r="E31" s="19">
        <v>0</v>
      </c>
      <c r="F31" s="19">
        <v>0</v>
      </c>
      <c r="G31" s="19">
        <v>0</v>
      </c>
      <c r="H31" s="19">
        <v>40</v>
      </c>
      <c r="I31" s="19">
        <v>0</v>
      </c>
      <c r="J31" s="19">
        <v>0</v>
      </c>
      <c r="K31" s="19">
        <v>0</v>
      </c>
      <c r="L31" s="19" t="s">
        <v>45</v>
      </c>
      <c r="M31" s="19" t="s">
        <v>45</v>
      </c>
      <c r="N31" s="19" t="s">
        <v>45</v>
      </c>
      <c r="O31" s="19" t="s">
        <v>45</v>
      </c>
      <c r="P31" s="19" t="s">
        <v>28</v>
      </c>
      <c r="Q31" s="19">
        <v>14</v>
      </c>
      <c r="R31" s="19">
        <v>1</v>
      </c>
      <c r="S31" s="19">
        <v>8</v>
      </c>
      <c r="T31" s="19"/>
      <c r="U31" s="19"/>
      <c r="V31" s="19">
        <v>0</v>
      </c>
      <c r="W31" s="19"/>
      <c r="X31" s="8" t="str">
        <v>结晶散射</v>
      </c>
      <c r="Y31" s="8" t="str">
        <v>相迭光环（持续）-蓄力</v>
      </c>
    </row>
    <row r="32" spans="1:25" x14ac:dyDescent="0.3">
      <c r="A32" s="19">
        <v>40905</v>
      </c>
      <c r="B32" s="59" t="s">
        <v>67</v>
      </c>
      <c r="C32" s="19">
        <v>13</v>
      </c>
      <c r="D32" s="19">
        <v>18</v>
      </c>
      <c r="E32" s="19">
        <v>0</v>
      </c>
      <c r="F32" s="19">
        <v>0</v>
      </c>
      <c r="G32" s="19">
        <v>0</v>
      </c>
      <c r="H32" s="19">
        <v>45</v>
      </c>
      <c r="I32" s="19">
        <v>0</v>
      </c>
      <c r="J32" s="19">
        <v>0</v>
      </c>
      <c r="K32" s="19">
        <v>0</v>
      </c>
      <c r="L32" s="19" t="s">
        <v>45</v>
      </c>
      <c r="M32" s="19" t="s">
        <v>45</v>
      </c>
      <c r="N32" s="19" t="s">
        <v>47</v>
      </c>
      <c r="O32" s="19" t="s">
        <v>45</v>
      </c>
      <c r="P32" s="19" t="s">
        <v>28</v>
      </c>
      <c r="Q32" s="19">
        <v>14</v>
      </c>
      <c r="R32" s="19">
        <v>1.85</v>
      </c>
      <c r="S32" s="19">
        <v>8</v>
      </c>
      <c r="T32" s="19"/>
      <c r="U32" s="19"/>
      <c r="V32" s="19">
        <v>0</v>
      </c>
      <c r="W32" s="19"/>
      <c r="X32" s="8" t="str">
        <v>结晶散射-蓄力</v>
      </c>
      <c r="Y32" s="8" t="str">
        <v>纠死圣律</v>
      </c>
    </row>
    <row r="33" spans="1:25" x14ac:dyDescent="0.3">
      <c r="A33" s="19">
        <v>40801</v>
      </c>
      <c r="B33" s="59" t="s">
        <v>64</v>
      </c>
      <c r="C33" s="19">
        <v>1</v>
      </c>
      <c r="D33" s="19">
        <v>25</v>
      </c>
      <c r="E33" s="19">
        <v>0</v>
      </c>
      <c r="F33" s="19">
        <v>0</v>
      </c>
      <c r="G33" s="19">
        <v>0</v>
      </c>
      <c r="H33" s="19">
        <v>285</v>
      </c>
      <c r="I33" s="19">
        <v>0</v>
      </c>
      <c r="J33" s="19">
        <v>0</v>
      </c>
      <c r="K33" s="19">
        <v>0</v>
      </c>
      <c r="L33" s="19" t="s">
        <v>45</v>
      </c>
      <c r="M33" s="19" t="s">
        <v>45</v>
      </c>
      <c r="N33" s="19" t="s">
        <v>45</v>
      </c>
      <c r="O33" s="19" t="s">
        <v>45</v>
      </c>
      <c r="P33" s="19" t="s">
        <v>28</v>
      </c>
      <c r="Q33" s="19">
        <v>38</v>
      </c>
      <c r="R33" s="19">
        <v>16.113499999999998</v>
      </c>
      <c r="S33" s="19">
        <v>7</v>
      </c>
      <c r="T33" s="19"/>
      <c r="U33" s="19"/>
      <c r="V33" s="19">
        <v>0</v>
      </c>
      <c r="W33" s="19"/>
      <c r="X33" s="8" t="str">
        <v>海摩炮弹</v>
      </c>
      <c r="Y33" s="8" t="str">
        <v>米凯拉的光（大光柱）</v>
      </c>
    </row>
    <row r="34" spans="1:25" x14ac:dyDescent="0.3">
      <c r="A34" s="19">
        <v>40806</v>
      </c>
      <c r="B34" s="59" t="s">
        <v>65</v>
      </c>
      <c r="C34" s="19">
        <v>1</v>
      </c>
      <c r="D34" s="19">
        <v>25</v>
      </c>
      <c r="E34" s="19">
        <v>0</v>
      </c>
      <c r="F34" s="19">
        <v>0</v>
      </c>
      <c r="G34" s="19">
        <v>0</v>
      </c>
      <c r="H34" s="19">
        <v>332</v>
      </c>
      <c r="I34" s="19">
        <v>0</v>
      </c>
      <c r="J34" s="19">
        <v>0</v>
      </c>
      <c r="K34" s="19">
        <v>0</v>
      </c>
      <c r="L34" s="19" t="s">
        <v>45</v>
      </c>
      <c r="M34" s="19" t="s">
        <v>45</v>
      </c>
      <c r="N34" s="19" t="s">
        <v>47</v>
      </c>
      <c r="O34" s="19" t="s">
        <v>45</v>
      </c>
      <c r="P34" s="19" t="s">
        <v>28</v>
      </c>
      <c r="Q34" s="19">
        <v>38</v>
      </c>
      <c r="R34" s="19">
        <v>19.295999999999999</v>
      </c>
      <c r="S34" s="19">
        <v>7</v>
      </c>
      <c r="T34" s="19"/>
      <c r="U34" s="19"/>
      <c r="V34" s="19">
        <v>0</v>
      </c>
      <c r="W34" s="19"/>
      <c r="X34" s="8" t="str">
        <v>海摩炮弹-蓄力</v>
      </c>
      <c r="Y34" s="8" t="str">
        <v>米凯拉的光（小光柱）</v>
      </c>
    </row>
    <row r="35" spans="1:25" x14ac:dyDescent="0.3">
      <c r="A35" s="19">
        <v>41200</v>
      </c>
      <c r="B35" s="59" t="s">
        <v>71</v>
      </c>
      <c r="C35" s="19">
        <v>1</v>
      </c>
      <c r="D35" s="19">
        <v>25</v>
      </c>
      <c r="E35" s="19">
        <v>0</v>
      </c>
      <c r="F35" s="19">
        <v>0</v>
      </c>
      <c r="G35" s="19">
        <v>0</v>
      </c>
      <c r="H35" s="19">
        <v>297</v>
      </c>
      <c r="I35" s="19">
        <v>0</v>
      </c>
      <c r="J35" s="19">
        <v>0</v>
      </c>
      <c r="K35" s="19">
        <v>0</v>
      </c>
      <c r="L35" s="19" t="s">
        <v>45</v>
      </c>
      <c r="M35" s="19" t="s">
        <v>45</v>
      </c>
      <c r="N35" s="19" t="s">
        <v>45</v>
      </c>
      <c r="O35" s="19" t="s">
        <v>45</v>
      </c>
      <c r="P35" s="19" t="s">
        <v>28</v>
      </c>
      <c r="Q35" s="19">
        <v>22</v>
      </c>
      <c r="R35" s="19">
        <v>22.512</v>
      </c>
      <c r="S35" s="19">
        <v>6</v>
      </c>
      <c r="T35" s="19"/>
      <c r="U35" s="19"/>
      <c r="V35" s="19">
        <v>0</v>
      </c>
      <c r="W35" s="19"/>
      <c r="X35" s="8" t="str">
        <v>海摩大槌（本体）</v>
      </c>
      <c r="Y35" s="8" t="str">
        <v>雷电枪</v>
      </c>
    </row>
    <row r="36" spans="1:25" x14ac:dyDescent="0.3">
      <c r="A36" s="19">
        <v>41205</v>
      </c>
      <c r="B36" s="59" t="s">
        <v>72</v>
      </c>
      <c r="C36" s="19">
        <v>1</v>
      </c>
      <c r="D36" s="19">
        <v>25</v>
      </c>
      <c r="E36" s="19">
        <v>0</v>
      </c>
      <c r="F36" s="19">
        <v>0</v>
      </c>
      <c r="G36" s="19">
        <v>0</v>
      </c>
      <c r="H36" s="19">
        <v>242</v>
      </c>
      <c r="I36" s="19">
        <v>0</v>
      </c>
      <c r="J36" s="19">
        <v>0</v>
      </c>
      <c r="K36" s="19">
        <v>0</v>
      </c>
      <c r="L36" s="19" t="s">
        <v>45</v>
      </c>
      <c r="M36" s="19" t="s">
        <v>45</v>
      </c>
      <c r="N36" s="19" t="s">
        <v>45</v>
      </c>
      <c r="O36" s="19" t="s">
        <v>45</v>
      </c>
      <c r="P36" s="19" t="s">
        <v>28</v>
      </c>
      <c r="Q36" s="19">
        <v>22</v>
      </c>
      <c r="R36" s="19">
        <v>16.113499999999998</v>
      </c>
      <c r="S36" s="19">
        <v>6</v>
      </c>
      <c r="T36" s="19"/>
      <c r="U36" s="19"/>
      <c r="V36" s="19">
        <v>0</v>
      </c>
      <c r="W36" s="19"/>
      <c r="X36" s="8" t="str">
        <v>海摩大槌（溅射）</v>
      </c>
      <c r="Y36" s="8" t="str">
        <v>雷电枪-蓄力</v>
      </c>
    </row>
    <row r="37" spans="1:25" x14ac:dyDescent="0.3">
      <c r="A37" s="19">
        <v>41003</v>
      </c>
      <c r="B37" s="59" t="s">
        <v>755</v>
      </c>
      <c r="C37" s="19">
        <v>1</v>
      </c>
      <c r="D37" s="19">
        <v>15</v>
      </c>
      <c r="E37" s="19">
        <v>0</v>
      </c>
      <c r="F37" s="19">
        <v>0</v>
      </c>
      <c r="G37" s="19">
        <v>0</v>
      </c>
      <c r="H37" s="19">
        <v>68</v>
      </c>
      <c r="I37" s="19">
        <v>0</v>
      </c>
      <c r="J37" s="19">
        <v>0</v>
      </c>
      <c r="K37" s="19">
        <v>0</v>
      </c>
      <c r="L37" s="19" t="s">
        <v>45</v>
      </c>
      <c r="M37" s="19" t="s">
        <v>68</v>
      </c>
      <c r="N37" s="19" t="s">
        <v>45</v>
      </c>
      <c r="O37" s="19" t="s">
        <v>45</v>
      </c>
      <c r="P37" s="19" t="s">
        <v>28</v>
      </c>
      <c r="Q37" s="19">
        <v>10</v>
      </c>
      <c r="R37" s="19">
        <v>6</v>
      </c>
      <c r="S37" s="19">
        <v>1</v>
      </c>
      <c r="T37" s="19"/>
      <c r="U37" s="19"/>
      <c r="V37" s="19">
        <v>0</v>
      </c>
      <c r="W37" s="19"/>
      <c r="X37" s="8" t="str">
        <v>爆碎岩盘（起手）-</v>
      </c>
      <c r="Y37" s="8" t="str">
        <v>骑士雷电枪</v>
      </c>
    </row>
    <row r="38" spans="1:25" x14ac:dyDescent="0.3">
      <c r="A38" s="19">
        <v>41002</v>
      </c>
      <c r="B38" s="59" t="s">
        <v>752</v>
      </c>
      <c r="C38" s="19">
        <v>3</v>
      </c>
      <c r="D38" s="19">
        <v>15</v>
      </c>
      <c r="E38" s="19">
        <v>0</v>
      </c>
      <c r="F38" s="19">
        <v>0</v>
      </c>
      <c r="G38" s="19">
        <v>0</v>
      </c>
      <c r="H38" s="19">
        <v>52</v>
      </c>
      <c r="I38" s="19">
        <v>0</v>
      </c>
      <c r="J38" s="19">
        <v>0</v>
      </c>
      <c r="K38" s="19">
        <v>0</v>
      </c>
      <c r="L38" s="19" t="s">
        <v>45</v>
      </c>
      <c r="M38" s="19" t="s">
        <v>68</v>
      </c>
      <c r="N38" s="19" t="s">
        <v>45</v>
      </c>
      <c r="O38" s="19" t="s">
        <v>45</v>
      </c>
      <c r="P38" s="19" t="s">
        <v>28</v>
      </c>
      <c r="Q38" s="19">
        <v>10</v>
      </c>
      <c r="R38" s="19">
        <v>4</v>
      </c>
      <c r="S38" s="19">
        <v>8</v>
      </c>
      <c r="T38" s="19"/>
      <c r="U38" s="19"/>
      <c r="V38" s="19">
        <v>0</v>
      </c>
      <c r="W38" s="19"/>
      <c r="X38" s="8" t="str">
        <v>爆碎岩盘（一段）-1</v>
      </c>
      <c r="Y38" s="8" t="str">
        <v>骑士雷电枪-蓄力</v>
      </c>
    </row>
    <row r="39" spans="1:25" x14ac:dyDescent="0.3">
      <c r="A39" s="19">
        <v>41000</v>
      </c>
      <c r="B39" s="59" t="s">
        <v>753</v>
      </c>
      <c r="C39" s="19">
        <v>1</v>
      </c>
      <c r="D39" s="19">
        <v>15</v>
      </c>
      <c r="E39" s="19">
        <v>0</v>
      </c>
      <c r="F39" s="19">
        <v>0</v>
      </c>
      <c r="G39" s="19">
        <v>0</v>
      </c>
      <c r="H39" s="19">
        <v>182</v>
      </c>
      <c r="I39" s="19">
        <v>0</v>
      </c>
      <c r="J39" s="19">
        <v>0</v>
      </c>
      <c r="K39" s="19">
        <v>0</v>
      </c>
      <c r="L39" s="19" t="s">
        <v>45</v>
      </c>
      <c r="M39" s="19" t="s">
        <v>68</v>
      </c>
      <c r="N39" s="19" t="s">
        <v>45</v>
      </c>
      <c r="O39" s="19" t="s">
        <v>45</v>
      </c>
      <c r="P39" s="19" t="s">
        <v>28</v>
      </c>
      <c r="Q39" s="19">
        <v>10</v>
      </c>
      <c r="R39" s="19">
        <v>10.175000000000001</v>
      </c>
      <c r="S39" s="19">
        <v>2</v>
      </c>
      <c r="T39" s="19"/>
      <c r="U39" s="19"/>
      <c r="V39" s="19">
        <v>0</v>
      </c>
      <c r="W39" s="19"/>
      <c r="X39" s="8" t="str">
        <v>爆碎岩盘（一段）-2</v>
      </c>
      <c r="Y39" s="8" t="str">
        <v>雷击</v>
      </c>
    </row>
    <row r="40" spans="1:25" x14ac:dyDescent="0.3">
      <c r="A40" s="19">
        <v>41001</v>
      </c>
      <c r="B40" s="59" t="s">
        <v>754</v>
      </c>
      <c r="C40" s="19">
        <v>1</v>
      </c>
      <c r="D40" s="19">
        <v>15</v>
      </c>
      <c r="E40" s="19">
        <v>0</v>
      </c>
      <c r="F40" s="19">
        <v>0</v>
      </c>
      <c r="G40" s="19">
        <v>0</v>
      </c>
      <c r="H40" s="19">
        <v>205</v>
      </c>
      <c r="I40" s="19">
        <v>0</v>
      </c>
      <c r="J40" s="19">
        <v>0</v>
      </c>
      <c r="K40" s="19">
        <v>0</v>
      </c>
      <c r="L40" s="19" t="s">
        <v>45</v>
      </c>
      <c r="M40" s="19" t="s">
        <v>68</v>
      </c>
      <c r="N40" s="19" t="s">
        <v>45</v>
      </c>
      <c r="O40" s="19" t="s">
        <v>45</v>
      </c>
      <c r="P40" s="19" t="s">
        <v>28</v>
      </c>
      <c r="Q40" s="19">
        <v>10</v>
      </c>
      <c r="R40" s="19">
        <v>10.175000000000001</v>
      </c>
      <c r="S40" s="19">
        <v>3</v>
      </c>
      <c r="T40" s="19"/>
      <c r="U40" s="19"/>
      <c r="V40" s="19">
        <v>0</v>
      </c>
      <c r="W40" s="19"/>
      <c r="X40" s="8" t="str">
        <v>爆碎岩盘（二段）</v>
      </c>
      <c r="Y40" s="8" t="str">
        <v>精准雷击</v>
      </c>
    </row>
    <row r="41" spans="1:25" x14ac:dyDescent="0.3">
      <c r="A41" s="19">
        <v>41100</v>
      </c>
      <c r="B41" s="59" t="s">
        <v>69</v>
      </c>
      <c r="C41" s="19">
        <v>6</v>
      </c>
      <c r="D41" s="19">
        <v>21</v>
      </c>
      <c r="E41" s="19">
        <v>0</v>
      </c>
      <c r="F41" s="19">
        <v>0</v>
      </c>
      <c r="G41" s="19">
        <v>0</v>
      </c>
      <c r="H41" s="19">
        <v>64</v>
      </c>
      <c r="I41" s="19">
        <v>0</v>
      </c>
      <c r="J41" s="19">
        <v>0</v>
      </c>
      <c r="K41" s="19">
        <v>0</v>
      </c>
      <c r="L41" s="19" t="s">
        <v>45</v>
      </c>
      <c r="M41" s="19" t="s">
        <v>68</v>
      </c>
      <c r="N41" s="19" t="s">
        <v>45</v>
      </c>
      <c r="O41" s="19" t="s">
        <v>45</v>
      </c>
      <c r="P41" s="19" t="s">
        <v>28</v>
      </c>
      <c r="Q41" s="19">
        <v>22</v>
      </c>
      <c r="R41" s="19">
        <v>2</v>
      </c>
      <c r="S41" s="19">
        <v>1</v>
      </c>
      <c r="T41" s="19"/>
      <c r="U41" s="19"/>
      <c r="V41" s="19">
        <v>0</v>
      </c>
      <c r="W41" s="19"/>
      <c r="X41" s="8" t="str">
        <v>爆破岩盘（杖）</v>
      </c>
      <c r="Y41" s="8" t="str">
        <v>古龙雷枪（贴脸）</v>
      </c>
    </row>
    <row r="42" spans="1:25" x14ac:dyDescent="0.3">
      <c r="A42" s="19">
        <v>41101</v>
      </c>
      <c r="B42" s="59" t="s">
        <v>70</v>
      </c>
      <c r="C42" s="19">
        <v>1</v>
      </c>
      <c r="D42" s="19">
        <v>21</v>
      </c>
      <c r="E42" s="19">
        <v>0</v>
      </c>
      <c r="F42" s="19">
        <v>0</v>
      </c>
      <c r="G42" s="19">
        <v>0</v>
      </c>
      <c r="H42" s="19">
        <v>260</v>
      </c>
      <c r="I42" s="19">
        <v>0</v>
      </c>
      <c r="J42" s="19">
        <v>0</v>
      </c>
      <c r="K42" s="19">
        <v>0</v>
      </c>
      <c r="L42" s="19" t="s">
        <v>45</v>
      </c>
      <c r="M42" s="19" t="s">
        <v>68</v>
      </c>
      <c r="N42" s="19" t="s">
        <v>45</v>
      </c>
      <c r="O42" s="19" t="s">
        <v>45</v>
      </c>
      <c r="P42" s="19" t="s">
        <v>28</v>
      </c>
      <c r="Q42" s="19">
        <v>22</v>
      </c>
      <c r="R42" s="19">
        <v>16.113499999999998</v>
      </c>
      <c r="S42" s="19">
        <v>2</v>
      </c>
      <c r="T42" s="19"/>
      <c r="U42" s="19"/>
      <c r="V42" s="19">
        <v>0</v>
      </c>
      <c r="W42" s="19"/>
      <c r="X42" s="8" t="str">
        <v>爆破岩盘（爆炸）</v>
      </c>
      <c r="Y42" s="8" t="str">
        <v>古龙雷枪（前端）</v>
      </c>
    </row>
    <row r="43" spans="1:25" x14ac:dyDescent="0.3">
      <c r="A43" s="19">
        <v>42000</v>
      </c>
      <c r="B43" s="59" t="s">
        <v>758</v>
      </c>
      <c r="C43" s="19">
        <v>3</v>
      </c>
      <c r="D43" s="19">
        <v>60</v>
      </c>
      <c r="E43" s="19">
        <v>0</v>
      </c>
      <c r="F43" s="19">
        <v>0</v>
      </c>
      <c r="G43" s="19">
        <v>0</v>
      </c>
      <c r="H43" s="19">
        <v>55</v>
      </c>
      <c r="I43" s="19">
        <v>0</v>
      </c>
      <c r="J43" s="19">
        <v>0</v>
      </c>
      <c r="K43" s="19">
        <v>0</v>
      </c>
      <c r="L43" s="19" t="s">
        <v>45</v>
      </c>
      <c r="M43" s="19" t="s">
        <v>73</v>
      </c>
      <c r="N43" s="19" t="s">
        <v>45</v>
      </c>
      <c r="O43" s="19" t="s">
        <v>45</v>
      </c>
      <c r="P43" s="19" t="s">
        <v>28</v>
      </c>
      <c r="Q43" s="19">
        <v>40</v>
      </c>
      <c r="R43" s="19">
        <v>1</v>
      </c>
      <c r="S43" s="19">
        <v>2</v>
      </c>
      <c r="T43" s="19"/>
      <c r="U43" s="19"/>
      <c r="V43" s="19">
        <v>0</v>
      </c>
      <c r="W43" s="19"/>
      <c r="X43" s="8" t="str">
        <v>彗星亚兹勒-子弹A</v>
      </c>
      <c r="Y43" s="8" t="str">
        <v>古龙雷枪（扩散）</v>
      </c>
    </row>
    <row r="44" spans="1:25" x14ac:dyDescent="0.3">
      <c r="A44" s="19">
        <v>42002</v>
      </c>
      <c r="B44" s="59" t="s">
        <v>759</v>
      </c>
      <c r="C44" s="19">
        <v>3</v>
      </c>
      <c r="D44" s="19">
        <v>60</v>
      </c>
      <c r="E44" s="19">
        <v>0</v>
      </c>
      <c r="F44" s="19">
        <v>0</v>
      </c>
      <c r="G44" s="19">
        <v>0</v>
      </c>
      <c r="H44" s="19">
        <v>75</v>
      </c>
      <c r="I44" s="19">
        <v>0</v>
      </c>
      <c r="J44" s="19">
        <v>0</v>
      </c>
      <c r="K44" s="19">
        <v>0</v>
      </c>
      <c r="L44" s="19" t="s">
        <v>45</v>
      </c>
      <c r="M44" s="19" t="s">
        <v>73</v>
      </c>
      <c r="N44" s="19" t="s">
        <v>45</v>
      </c>
      <c r="O44" s="19" t="s">
        <v>45</v>
      </c>
      <c r="P44" s="19" t="s">
        <v>28</v>
      </c>
      <c r="Q44" s="19">
        <v>40</v>
      </c>
      <c r="R44" s="19">
        <v>0.5</v>
      </c>
      <c r="S44" s="19">
        <v>0</v>
      </c>
      <c r="T44" s="19"/>
      <c r="U44" s="19"/>
      <c r="V44" s="19">
        <v>0</v>
      </c>
      <c r="W44" s="19"/>
      <c r="X44" s="8" t="str">
        <v>彗星亚兹勒-子弹B</v>
      </c>
      <c r="Y44" s="8" t="str">
        <v>古龙雷击</v>
      </c>
    </row>
    <row r="45" spans="1:25" x14ac:dyDescent="0.3">
      <c r="A45" s="19">
        <v>42001</v>
      </c>
      <c r="B45" s="59" t="s">
        <v>760</v>
      </c>
      <c r="C45" s="19">
        <v>3</v>
      </c>
      <c r="D45" s="19">
        <v>60</v>
      </c>
      <c r="E45" s="19">
        <v>0</v>
      </c>
      <c r="F45" s="19">
        <v>0</v>
      </c>
      <c r="G45" s="19">
        <v>0</v>
      </c>
      <c r="H45" s="19">
        <v>90</v>
      </c>
      <c r="I45" s="19">
        <v>0</v>
      </c>
      <c r="J45" s="19">
        <v>0</v>
      </c>
      <c r="K45" s="19">
        <v>0</v>
      </c>
      <c r="L45" s="19" t="s">
        <v>45</v>
      </c>
      <c r="M45" s="19" t="s">
        <v>73</v>
      </c>
      <c r="N45" s="19" t="s">
        <v>45</v>
      </c>
      <c r="O45" s="19" t="s">
        <v>45</v>
      </c>
      <c r="P45" s="19" t="s">
        <v>28</v>
      </c>
      <c r="Q45" s="19">
        <v>40</v>
      </c>
      <c r="R45" s="19">
        <v>0.5</v>
      </c>
      <c r="S45" s="19">
        <v>1</v>
      </c>
      <c r="T45" s="19"/>
      <c r="U45" s="19"/>
      <c r="V45" s="19">
        <v>0</v>
      </c>
      <c r="W45" s="19"/>
      <c r="X45" s="8" t="str">
        <v>彗星亚兹勒-子弹C</v>
      </c>
      <c r="Y45" s="8" t="str">
        <v>古龙雷击-蓄力</v>
      </c>
    </row>
    <row r="46" spans="1:25" x14ac:dyDescent="0.3">
      <c r="A46" s="19">
        <v>42003</v>
      </c>
      <c r="B46" s="59" t="s">
        <v>761</v>
      </c>
      <c r="C46" s="19">
        <v>1</v>
      </c>
      <c r="D46" s="19">
        <v>60</v>
      </c>
      <c r="E46" s="19">
        <v>0</v>
      </c>
      <c r="F46" s="19">
        <v>0</v>
      </c>
      <c r="G46" s="19">
        <v>0</v>
      </c>
      <c r="H46" s="19">
        <v>100</v>
      </c>
      <c r="I46" s="19">
        <v>0</v>
      </c>
      <c r="J46" s="19">
        <v>0</v>
      </c>
      <c r="K46" s="19">
        <v>0</v>
      </c>
      <c r="L46" s="19" t="s">
        <v>45</v>
      </c>
      <c r="M46" s="19" t="s">
        <v>73</v>
      </c>
      <c r="N46" s="19" t="s">
        <v>45</v>
      </c>
      <c r="O46" s="19" t="s">
        <v>45</v>
      </c>
      <c r="P46" s="19" t="s">
        <v>28</v>
      </c>
      <c r="Q46" s="19">
        <v>40</v>
      </c>
      <c r="R46" s="19">
        <v>5</v>
      </c>
      <c r="S46" s="19">
        <v>7</v>
      </c>
      <c r="T46" s="19"/>
      <c r="U46" s="19"/>
      <c r="V46" s="19">
        <v>0</v>
      </c>
      <c r="W46" s="19"/>
      <c r="X46" s="8" t="str">
        <v>彗星亚兹勒-子弹D</v>
      </c>
      <c r="Y46" s="8" t="str">
        <v>兰斯桑克斯的刀（本体）</v>
      </c>
    </row>
    <row r="47" spans="1:25" x14ac:dyDescent="0.3">
      <c r="A47" s="19">
        <v>42004</v>
      </c>
      <c r="B47" s="59" t="s">
        <v>762</v>
      </c>
      <c r="C47" s="19">
        <v>1</v>
      </c>
      <c r="D47" s="19">
        <v>60</v>
      </c>
      <c r="E47" s="19">
        <v>0</v>
      </c>
      <c r="F47" s="19">
        <v>0</v>
      </c>
      <c r="G47" s="19">
        <v>0</v>
      </c>
      <c r="H47" s="19">
        <v>55</v>
      </c>
      <c r="I47" s="19">
        <v>0</v>
      </c>
      <c r="J47" s="19">
        <v>0</v>
      </c>
      <c r="K47" s="19">
        <v>0</v>
      </c>
      <c r="L47" s="19" t="s">
        <v>45</v>
      </c>
      <c r="M47" s="19" t="s">
        <v>73</v>
      </c>
      <c r="N47" s="19" t="s">
        <v>45</v>
      </c>
      <c r="O47" s="19" t="s">
        <v>45</v>
      </c>
      <c r="P47" s="19" t="s">
        <v>28</v>
      </c>
      <c r="Q47" s="19">
        <v>40</v>
      </c>
      <c r="R47" s="19">
        <v>5</v>
      </c>
      <c r="S47" s="19">
        <v>0</v>
      </c>
      <c r="T47" s="19"/>
      <c r="U47" s="19"/>
      <c r="V47" s="19">
        <v>0</v>
      </c>
      <c r="W47" s="19"/>
      <c r="X47" s="8" t="str">
        <v>彗星亚兹勒-子弹A'</v>
      </c>
      <c r="Y47" s="8" t="str">
        <v>兰斯桑克斯的刀（扩散）</v>
      </c>
    </row>
    <row r="48" spans="1:25" x14ac:dyDescent="0.3">
      <c r="A48" s="19">
        <v>42200</v>
      </c>
      <c r="B48" s="59" t="s">
        <v>763</v>
      </c>
      <c r="C48" s="19">
        <v>2</v>
      </c>
      <c r="D48" s="19">
        <v>43</v>
      </c>
      <c r="E48" s="19">
        <v>0</v>
      </c>
      <c r="F48" s="19">
        <v>0</v>
      </c>
      <c r="G48" s="19">
        <v>0</v>
      </c>
      <c r="H48" s="19">
        <v>52</v>
      </c>
      <c r="I48" s="19">
        <v>0</v>
      </c>
      <c r="J48" s="19">
        <v>0</v>
      </c>
      <c r="K48" s="19">
        <v>0</v>
      </c>
      <c r="L48" s="19" t="s">
        <v>45</v>
      </c>
      <c r="M48" s="19" t="s">
        <v>76</v>
      </c>
      <c r="N48" s="19" t="s">
        <v>45</v>
      </c>
      <c r="O48" s="19" t="s">
        <v>45</v>
      </c>
      <c r="P48" s="19" t="s">
        <v>28</v>
      </c>
      <c r="Q48" s="19">
        <v>32</v>
      </c>
      <c r="R48" s="19">
        <v>0.5</v>
      </c>
      <c r="S48" s="19">
        <v>0</v>
      </c>
      <c r="T48" s="19"/>
      <c r="U48" s="19"/>
      <c r="V48" s="19">
        <v>0</v>
      </c>
      <c r="W48" s="19"/>
      <c r="X48" s="8" t="str">
        <v>毁灭流星-1</v>
      </c>
      <c r="Y48" s="8" t="str">
        <v>弗尔桑克斯的雷枪-1-贴脸</v>
      </c>
    </row>
    <row r="49" spans="1:25" x14ac:dyDescent="0.3">
      <c r="A49" s="19">
        <v>42202</v>
      </c>
      <c r="B49" s="59" t="s">
        <v>764</v>
      </c>
      <c r="C49" s="19">
        <v>4</v>
      </c>
      <c r="D49" s="19">
        <v>43</v>
      </c>
      <c r="E49" s="19">
        <v>0</v>
      </c>
      <c r="F49" s="19">
        <v>0</v>
      </c>
      <c r="G49" s="19">
        <v>0</v>
      </c>
      <c r="H49" s="19">
        <v>49</v>
      </c>
      <c r="I49" s="19">
        <v>0</v>
      </c>
      <c r="J49" s="19">
        <v>0</v>
      </c>
      <c r="K49" s="19">
        <v>0</v>
      </c>
      <c r="L49" s="19" t="s">
        <v>45</v>
      </c>
      <c r="M49" s="19" t="s">
        <v>76</v>
      </c>
      <c r="N49" s="19" t="s">
        <v>45</v>
      </c>
      <c r="O49" s="19" t="s">
        <v>45</v>
      </c>
      <c r="P49" s="19" t="s">
        <v>28</v>
      </c>
      <c r="Q49" s="19">
        <v>32</v>
      </c>
      <c r="R49" s="19">
        <v>0.5</v>
      </c>
      <c r="S49" s="19">
        <v>0</v>
      </c>
      <c r="T49" s="19"/>
      <c r="U49" s="19"/>
      <c r="V49" s="19">
        <v>0</v>
      </c>
      <c r="W49" s="19"/>
      <c r="X49" s="8" t="str">
        <v>毁灭流星-2</v>
      </c>
      <c r="Y49" s="8" t="str">
        <v>弗尔桑克斯的雷枪-1-前端</v>
      </c>
    </row>
    <row r="50" spans="1:25" x14ac:dyDescent="0.3">
      <c r="A50" s="19">
        <v>42204</v>
      </c>
      <c r="B50" s="59" t="s">
        <v>765</v>
      </c>
      <c r="C50" s="19">
        <v>4</v>
      </c>
      <c r="D50" s="19">
        <v>43</v>
      </c>
      <c r="E50" s="19">
        <v>0</v>
      </c>
      <c r="F50" s="19">
        <v>0</v>
      </c>
      <c r="G50" s="19">
        <v>0</v>
      </c>
      <c r="H50" s="19">
        <v>45</v>
      </c>
      <c r="I50" s="19">
        <v>0</v>
      </c>
      <c r="J50" s="19">
        <v>0</v>
      </c>
      <c r="K50" s="19">
        <v>0</v>
      </c>
      <c r="L50" s="19" t="s">
        <v>45</v>
      </c>
      <c r="M50" s="19" t="s">
        <v>76</v>
      </c>
      <c r="N50" s="19" t="s">
        <v>45</v>
      </c>
      <c r="O50" s="19" t="s">
        <v>45</v>
      </c>
      <c r="P50" s="19" t="s">
        <v>28</v>
      </c>
      <c r="Q50" s="19">
        <v>32</v>
      </c>
      <c r="R50" s="19">
        <v>0.5</v>
      </c>
      <c r="S50" s="19">
        <v>0</v>
      </c>
      <c r="T50" s="19"/>
      <c r="U50" s="19"/>
      <c r="V50" s="19">
        <v>0</v>
      </c>
      <c r="W50" s="19"/>
      <c r="X50" s="8" t="str">
        <v>毁灭流星-3</v>
      </c>
      <c r="Y50" s="8" t="str">
        <v>弗尔桑克斯的雷枪-1-扩散</v>
      </c>
    </row>
    <row r="51" spans="1:25" x14ac:dyDescent="0.3">
      <c r="A51" s="19">
        <v>42206</v>
      </c>
      <c r="B51" s="59" t="s">
        <v>766</v>
      </c>
      <c r="C51" s="19">
        <v>2</v>
      </c>
      <c r="D51" s="19">
        <v>43</v>
      </c>
      <c r="E51" s="19">
        <v>0</v>
      </c>
      <c r="F51" s="19">
        <v>0</v>
      </c>
      <c r="G51" s="19">
        <v>0</v>
      </c>
      <c r="H51" s="19">
        <v>43</v>
      </c>
      <c r="I51" s="19">
        <v>0</v>
      </c>
      <c r="J51" s="19">
        <v>0</v>
      </c>
      <c r="K51" s="19">
        <v>0</v>
      </c>
      <c r="L51" s="19" t="s">
        <v>45</v>
      </c>
      <c r="M51" s="19" t="s">
        <v>76</v>
      </c>
      <c r="N51" s="19" t="s">
        <v>45</v>
      </c>
      <c r="O51" s="19" t="s">
        <v>45</v>
      </c>
      <c r="P51" s="19" t="s">
        <v>28</v>
      </c>
      <c r="Q51" s="19">
        <v>32</v>
      </c>
      <c r="R51" s="19">
        <v>0.5</v>
      </c>
      <c r="S51" s="19">
        <v>0</v>
      </c>
      <c r="T51" s="19"/>
      <c r="U51" s="19"/>
      <c r="V51" s="19">
        <v>0</v>
      </c>
      <c r="W51" s="19"/>
      <c r="X51" s="8" t="str">
        <v>毁灭流星-4</v>
      </c>
      <c r="Y51" s="8" t="str">
        <v>弗尔桑克斯的雷枪-2-贴脸</v>
      </c>
    </row>
    <row r="52" spans="1:25" x14ac:dyDescent="0.3">
      <c r="A52" s="19">
        <v>42210</v>
      </c>
      <c r="B52" s="59" t="s">
        <v>767</v>
      </c>
      <c r="C52" s="19">
        <v>2</v>
      </c>
      <c r="D52" s="19">
        <v>43</v>
      </c>
      <c r="E52" s="19">
        <v>0</v>
      </c>
      <c r="F52" s="19">
        <v>0</v>
      </c>
      <c r="G52" s="19">
        <v>0</v>
      </c>
      <c r="H52" s="19">
        <v>65</v>
      </c>
      <c r="I52" s="19">
        <v>0</v>
      </c>
      <c r="J52" s="19">
        <v>0</v>
      </c>
      <c r="K52" s="19">
        <v>0</v>
      </c>
      <c r="L52" s="19" t="s">
        <v>45</v>
      </c>
      <c r="M52" s="19" t="s">
        <v>76</v>
      </c>
      <c r="N52" s="19" t="s">
        <v>47</v>
      </c>
      <c r="O52" s="19" t="s">
        <v>45</v>
      </c>
      <c r="P52" s="19" t="s">
        <v>28</v>
      </c>
      <c r="Q52" s="19">
        <v>32</v>
      </c>
      <c r="R52" s="19">
        <v>0.92500000000000004</v>
      </c>
      <c r="S52" s="19">
        <v>0</v>
      </c>
      <c r="T52" s="19"/>
      <c r="U52" s="19"/>
      <c r="V52" s="19">
        <v>0</v>
      </c>
      <c r="W52" s="19"/>
      <c r="X52" s="8" t="str">
        <v>毁灭流星-1-蓄力</v>
      </c>
      <c r="Y52" s="8" t="str">
        <v>弗尔桑克斯的雷枪-2-前端</v>
      </c>
    </row>
    <row r="53" spans="1:25" x14ac:dyDescent="0.3">
      <c r="A53" s="19">
        <v>42212</v>
      </c>
      <c r="B53" s="59" t="s">
        <v>768</v>
      </c>
      <c r="C53" s="19">
        <v>2</v>
      </c>
      <c r="D53" s="19">
        <v>43</v>
      </c>
      <c r="E53" s="19">
        <v>0</v>
      </c>
      <c r="F53" s="19">
        <v>0</v>
      </c>
      <c r="G53" s="19">
        <v>0</v>
      </c>
      <c r="H53" s="19">
        <v>60</v>
      </c>
      <c r="I53" s="19">
        <v>0</v>
      </c>
      <c r="J53" s="19">
        <v>0</v>
      </c>
      <c r="K53" s="19">
        <v>0</v>
      </c>
      <c r="L53" s="19" t="s">
        <v>45</v>
      </c>
      <c r="M53" s="19" t="s">
        <v>76</v>
      </c>
      <c r="N53" s="19" t="s">
        <v>47</v>
      </c>
      <c r="O53" s="19" t="s">
        <v>45</v>
      </c>
      <c r="P53" s="19" t="s">
        <v>28</v>
      </c>
      <c r="Q53" s="19">
        <v>32</v>
      </c>
      <c r="R53" s="19">
        <v>0.92500000000000004</v>
      </c>
      <c r="S53" s="19">
        <v>0</v>
      </c>
      <c r="T53" s="19"/>
      <c r="U53" s="19"/>
      <c r="V53" s="19">
        <v>0</v>
      </c>
      <c r="W53" s="19"/>
      <c r="X53" s="8" t="str">
        <v>毁灭流星-2-蓄力</v>
      </c>
      <c r="Y53" s="8" t="str">
        <v>弗尔桑克斯的雷枪-2-扩散</v>
      </c>
    </row>
    <row r="54" spans="1:25" x14ac:dyDescent="0.3">
      <c r="A54" s="19">
        <v>42214</v>
      </c>
      <c r="B54" s="59" t="s">
        <v>769</v>
      </c>
      <c r="C54" s="19">
        <v>2</v>
      </c>
      <c r="D54" s="19">
        <v>43</v>
      </c>
      <c r="E54" s="19">
        <v>0</v>
      </c>
      <c r="F54" s="19">
        <v>0</v>
      </c>
      <c r="G54" s="19">
        <v>0</v>
      </c>
      <c r="H54" s="19">
        <v>57</v>
      </c>
      <c r="I54" s="19">
        <v>0</v>
      </c>
      <c r="J54" s="19">
        <v>0</v>
      </c>
      <c r="K54" s="19">
        <v>0</v>
      </c>
      <c r="L54" s="19" t="s">
        <v>45</v>
      </c>
      <c r="M54" s="19" t="s">
        <v>76</v>
      </c>
      <c r="N54" s="19" t="s">
        <v>47</v>
      </c>
      <c r="O54" s="19" t="s">
        <v>45</v>
      </c>
      <c r="P54" s="19" t="s">
        <v>28</v>
      </c>
      <c r="Q54" s="19">
        <v>32</v>
      </c>
      <c r="R54" s="19">
        <v>0.92500000000000004</v>
      </c>
      <c r="S54" s="19">
        <v>0</v>
      </c>
      <c r="T54" s="19"/>
      <c r="U54" s="19"/>
      <c r="V54" s="19">
        <v>0</v>
      </c>
      <c r="W54" s="19"/>
      <c r="X54" s="8" t="str">
        <v>毁灭流星-3-蓄力</v>
      </c>
      <c r="Y54" s="8" t="str">
        <v>冰雷枪（贴脸）</v>
      </c>
    </row>
    <row r="55" spans="1:25" x14ac:dyDescent="0.3">
      <c r="A55" s="19">
        <v>42216</v>
      </c>
      <c r="B55" s="59" t="s">
        <v>770</v>
      </c>
      <c r="C55" s="19">
        <v>2</v>
      </c>
      <c r="D55" s="19">
        <v>43</v>
      </c>
      <c r="E55" s="19">
        <v>0</v>
      </c>
      <c r="F55" s="19">
        <v>0</v>
      </c>
      <c r="G55" s="19">
        <v>0</v>
      </c>
      <c r="H55" s="19">
        <v>54</v>
      </c>
      <c r="I55" s="19">
        <v>0</v>
      </c>
      <c r="J55" s="19">
        <v>0</v>
      </c>
      <c r="K55" s="19">
        <v>0</v>
      </c>
      <c r="L55" s="19" t="s">
        <v>45</v>
      </c>
      <c r="M55" s="19" t="s">
        <v>76</v>
      </c>
      <c r="N55" s="19" t="s">
        <v>47</v>
      </c>
      <c r="O55" s="19" t="s">
        <v>45</v>
      </c>
      <c r="P55" s="19" t="s">
        <v>28</v>
      </c>
      <c r="Q55" s="19">
        <v>32</v>
      </c>
      <c r="R55" s="19">
        <v>0.92500000000000004</v>
      </c>
      <c r="S55" s="19">
        <v>0</v>
      </c>
      <c r="T55" s="19"/>
      <c r="U55" s="19"/>
      <c r="V55" s="19">
        <v>0</v>
      </c>
      <c r="W55" s="19"/>
      <c r="X55" s="8" t="str">
        <v>毁灭流星-4-蓄力</v>
      </c>
      <c r="Y55" s="8" t="str">
        <v>冰雷枪（前端及扩散）</v>
      </c>
    </row>
    <row r="56" spans="1:25" x14ac:dyDescent="0.3">
      <c r="A56" s="19">
        <v>42100</v>
      </c>
      <c r="B56" s="59" t="s">
        <v>74</v>
      </c>
      <c r="C56" s="19">
        <v>5</v>
      </c>
      <c r="D56" s="19">
        <v>52</v>
      </c>
      <c r="E56" s="19">
        <v>0</v>
      </c>
      <c r="F56" s="19">
        <v>0</v>
      </c>
      <c r="G56" s="19">
        <v>0</v>
      </c>
      <c r="H56" s="19">
        <v>49</v>
      </c>
      <c r="I56" s="19">
        <v>0</v>
      </c>
      <c r="J56" s="19">
        <v>0</v>
      </c>
      <c r="K56" s="19">
        <v>0</v>
      </c>
      <c r="L56" s="19" t="s">
        <v>45</v>
      </c>
      <c r="M56" s="19" t="s">
        <v>45</v>
      </c>
      <c r="N56" s="19" t="s">
        <v>45</v>
      </c>
      <c r="O56" s="19" t="s">
        <v>45</v>
      </c>
      <c r="P56" s="19" t="s">
        <v>28</v>
      </c>
      <c r="Q56" s="19">
        <v>27</v>
      </c>
      <c r="R56" s="19">
        <v>0.5</v>
      </c>
      <c r="S56" s="19">
        <v>0</v>
      </c>
      <c r="T56" s="19"/>
      <c r="U56" s="19"/>
      <c r="V56" s="19">
        <v>0</v>
      </c>
      <c r="W56" s="19"/>
      <c r="X56" s="8" t="str">
        <v>创星雨</v>
      </c>
      <c r="Y56" s="8" t="str">
        <v>死亡雷击</v>
      </c>
    </row>
    <row r="57" spans="1:25" x14ac:dyDescent="0.3">
      <c r="A57" s="19">
        <v>42105</v>
      </c>
      <c r="B57" s="59" t="s">
        <v>75</v>
      </c>
      <c r="C57" s="19">
        <v>5</v>
      </c>
      <c r="D57" s="19">
        <v>52</v>
      </c>
      <c r="E57" s="19">
        <v>0</v>
      </c>
      <c r="F57" s="19">
        <v>0</v>
      </c>
      <c r="G57" s="19">
        <v>0</v>
      </c>
      <c r="H57" s="19">
        <v>54</v>
      </c>
      <c r="I57" s="19">
        <v>0</v>
      </c>
      <c r="J57" s="19">
        <v>0</v>
      </c>
      <c r="K57" s="19">
        <v>0</v>
      </c>
      <c r="L57" s="19" t="s">
        <v>45</v>
      </c>
      <c r="M57" s="19" t="s">
        <v>45</v>
      </c>
      <c r="N57" s="19" t="s">
        <v>47</v>
      </c>
      <c r="O57" s="19" t="s">
        <v>45</v>
      </c>
      <c r="P57" s="19" t="s">
        <v>28</v>
      </c>
      <c r="Q57" s="19">
        <v>27</v>
      </c>
      <c r="R57" s="19">
        <v>0.92500000000000004</v>
      </c>
      <c r="S57" s="19">
        <v>0</v>
      </c>
      <c r="T57" s="19"/>
      <c r="U57" s="19"/>
      <c r="V57" s="19">
        <v>0</v>
      </c>
      <c r="W57" s="19"/>
      <c r="X57" s="8" t="str">
        <v>创星雨-蓄力</v>
      </c>
      <c r="Y57" s="8" t="str">
        <v>死亡雷击-蓄力</v>
      </c>
    </row>
    <row r="58" spans="1:25" x14ac:dyDescent="0.3">
      <c r="A58" s="19">
        <v>43900</v>
      </c>
      <c r="B58" s="59" t="s">
        <v>90</v>
      </c>
      <c r="C58" s="19">
        <v>1</v>
      </c>
      <c r="D58" s="19">
        <v>14</v>
      </c>
      <c r="E58" s="19">
        <v>0</v>
      </c>
      <c r="F58" s="19">
        <v>0</v>
      </c>
      <c r="G58" s="19">
        <v>0</v>
      </c>
      <c r="H58" s="19">
        <v>182</v>
      </c>
      <c r="I58" s="19">
        <v>0</v>
      </c>
      <c r="J58" s="19">
        <v>0</v>
      </c>
      <c r="K58" s="19">
        <v>0</v>
      </c>
      <c r="L58" s="19" t="s">
        <v>45</v>
      </c>
      <c r="M58" s="19" t="s">
        <v>78</v>
      </c>
      <c r="N58" s="19" t="s">
        <v>45</v>
      </c>
      <c r="O58" s="19" t="s">
        <v>45</v>
      </c>
      <c r="P58" s="19" t="s">
        <v>28</v>
      </c>
      <c r="Q58" s="19">
        <v>12</v>
      </c>
      <c r="R58" s="19">
        <v>5</v>
      </c>
      <c r="S58" s="19">
        <v>1</v>
      </c>
      <c r="T58" s="19"/>
      <c r="U58" s="19"/>
      <c r="V58" s="19">
        <v>0</v>
      </c>
      <c r="W58" s="19"/>
      <c r="X58" s="8" t="str">
        <v>魔法辉剑</v>
      </c>
      <c r="Y58" s="8" t="str">
        <v>带电（爆炸）</v>
      </c>
    </row>
    <row r="59" spans="1:25" x14ac:dyDescent="0.3">
      <c r="A59" s="19">
        <v>43905</v>
      </c>
      <c r="B59" s="59" t="s">
        <v>91</v>
      </c>
      <c r="C59" s="19">
        <v>1</v>
      </c>
      <c r="D59" s="19">
        <v>14</v>
      </c>
      <c r="E59" s="19">
        <v>0</v>
      </c>
      <c r="F59" s="19">
        <v>0</v>
      </c>
      <c r="G59" s="19">
        <v>0</v>
      </c>
      <c r="H59" s="19">
        <v>230</v>
      </c>
      <c r="I59" s="19">
        <v>0</v>
      </c>
      <c r="J59" s="19">
        <v>0</v>
      </c>
      <c r="K59" s="19">
        <v>0</v>
      </c>
      <c r="L59" s="19" t="s">
        <v>45</v>
      </c>
      <c r="M59" s="19" t="s">
        <v>78</v>
      </c>
      <c r="N59" s="19" t="s">
        <v>47</v>
      </c>
      <c r="O59" s="19" t="s">
        <v>45</v>
      </c>
      <c r="P59" s="19" t="s">
        <v>28</v>
      </c>
      <c r="Q59" s="19">
        <v>12</v>
      </c>
      <c r="R59" s="19">
        <v>10.175000000000001</v>
      </c>
      <c r="S59" s="19">
        <v>1</v>
      </c>
      <c r="T59" s="19"/>
      <c r="U59" s="19"/>
      <c r="V59" s="19">
        <v>0</v>
      </c>
      <c r="W59" s="19"/>
      <c r="X59" s="8" t="str">
        <v>魔法辉剑-蓄力</v>
      </c>
      <c r="Y59" s="8" t="str">
        <v>带电（爆炸）-蓄力</v>
      </c>
    </row>
    <row r="60" spans="1:25" x14ac:dyDescent="0.3">
      <c r="A60" s="19">
        <v>210431000</v>
      </c>
      <c r="B60" s="59" t="s">
        <v>320</v>
      </c>
      <c r="C60" s="19">
        <v>3</v>
      </c>
      <c r="D60" s="19">
        <v>28</v>
      </c>
      <c r="E60" s="19">
        <v>0</v>
      </c>
      <c r="F60" s="19">
        <v>0</v>
      </c>
      <c r="G60" s="19">
        <v>0</v>
      </c>
      <c r="H60" s="19">
        <v>109</v>
      </c>
      <c r="I60" s="19">
        <v>0</v>
      </c>
      <c r="J60" s="19">
        <v>0</v>
      </c>
      <c r="K60" s="19">
        <v>0</v>
      </c>
      <c r="L60" s="19" t="s">
        <v>45</v>
      </c>
      <c r="M60" s="19" t="s">
        <v>78</v>
      </c>
      <c r="N60" s="19" t="s">
        <v>45</v>
      </c>
      <c r="O60" s="19" t="s">
        <v>45</v>
      </c>
      <c r="P60" s="19" t="s">
        <v>28</v>
      </c>
      <c r="Q60" s="19">
        <v>19</v>
      </c>
      <c r="R60" s="19">
        <v>4</v>
      </c>
      <c r="S60" s="19">
        <v>1</v>
      </c>
      <c r="T60" s="19"/>
      <c r="U60" s="19"/>
      <c r="V60" s="19">
        <v>0</v>
      </c>
      <c r="W60" s="19"/>
      <c r="X60" s="8" t="str">
        <v>魔法三辉剑</v>
      </c>
      <c r="Y60" s="8" t="str">
        <v>黄金弯弧</v>
      </c>
    </row>
    <row r="61" spans="1:25" x14ac:dyDescent="0.3">
      <c r="A61" s="19">
        <v>210431050</v>
      </c>
      <c r="B61" s="59" t="s">
        <v>321</v>
      </c>
      <c r="C61" s="19">
        <v>3</v>
      </c>
      <c r="D61" s="19">
        <v>28</v>
      </c>
      <c r="E61" s="19">
        <v>0</v>
      </c>
      <c r="F61" s="19">
        <v>0</v>
      </c>
      <c r="G61" s="19">
        <v>0</v>
      </c>
      <c r="H61" s="19">
        <v>127</v>
      </c>
      <c r="I61" s="19">
        <v>0</v>
      </c>
      <c r="J61" s="19">
        <v>0</v>
      </c>
      <c r="K61" s="19">
        <v>0</v>
      </c>
      <c r="L61" s="19" t="s">
        <v>45</v>
      </c>
      <c r="M61" s="19" t="s">
        <v>78</v>
      </c>
      <c r="N61" s="19" t="s">
        <v>47</v>
      </c>
      <c r="O61" s="19" t="s">
        <v>45</v>
      </c>
      <c r="P61" s="19" t="s">
        <v>28</v>
      </c>
      <c r="Q61" s="19">
        <v>19</v>
      </c>
      <c r="R61" s="19">
        <v>6</v>
      </c>
      <c r="S61" s="19">
        <v>1</v>
      </c>
      <c r="T61" s="19"/>
      <c r="U61" s="19"/>
      <c r="V61" s="19">
        <v>0</v>
      </c>
      <c r="W61" s="19"/>
      <c r="X61" s="8" t="str">
        <v>魔法三辉剑-蓄力</v>
      </c>
      <c r="Y61" s="8" t="str">
        <v>黄金弯弧-蓄力</v>
      </c>
    </row>
    <row r="62" spans="1:25" x14ac:dyDescent="0.3">
      <c r="A62" s="19">
        <v>43000</v>
      </c>
      <c r="B62" s="59" t="s">
        <v>77</v>
      </c>
      <c r="C62" s="19">
        <v>5</v>
      </c>
      <c r="D62" s="19">
        <v>22</v>
      </c>
      <c r="E62" s="19">
        <v>0</v>
      </c>
      <c r="F62" s="19">
        <v>0</v>
      </c>
      <c r="G62" s="19">
        <v>0</v>
      </c>
      <c r="H62" s="19">
        <v>60</v>
      </c>
      <c r="I62" s="19">
        <v>0</v>
      </c>
      <c r="J62" s="19">
        <v>0</v>
      </c>
      <c r="K62" s="19">
        <v>0</v>
      </c>
      <c r="L62" s="19" t="s">
        <v>45</v>
      </c>
      <c r="M62" s="19" t="s">
        <v>78</v>
      </c>
      <c r="N62" s="19" t="s">
        <v>45</v>
      </c>
      <c r="O62" s="19" t="s">
        <v>45</v>
      </c>
      <c r="P62" s="19" t="s">
        <v>28</v>
      </c>
      <c r="Q62" s="19">
        <v>18</v>
      </c>
      <c r="R62" s="19">
        <v>1</v>
      </c>
      <c r="S62" s="19">
        <v>1</v>
      </c>
      <c r="T62" s="19"/>
      <c r="U62" s="19"/>
      <c r="V62" s="19">
        <v>0</v>
      </c>
      <c r="W62" s="19"/>
      <c r="X62" s="8" t="str">
        <v>辉剑圆阵</v>
      </c>
      <c r="Y62" s="8" t="str">
        <v>黄金大弯弧</v>
      </c>
    </row>
    <row r="63" spans="1:25" x14ac:dyDescent="0.3">
      <c r="A63" s="19">
        <v>43010</v>
      </c>
      <c r="B63" s="59" t="s">
        <v>79</v>
      </c>
      <c r="C63" s="19">
        <v>9</v>
      </c>
      <c r="D63" s="19">
        <v>34</v>
      </c>
      <c r="E63" s="19">
        <v>0</v>
      </c>
      <c r="F63" s="19">
        <v>0</v>
      </c>
      <c r="G63" s="19">
        <v>0</v>
      </c>
      <c r="H63" s="19">
        <v>48</v>
      </c>
      <c r="I63" s="19">
        <v>0</v>
      </c>
      <c r="J63" s="19">
        <v>0</v>
      </c>
      <c r="K63" s="19">
        <v>0</v>
      </c>
      <c r="L63" s="19" t="s">
        <v>45</v>
      </c>
      <c r="M63" s="19" t="s">
        <v>78</v>
      </c>
      <c r="N63" s="19" t="s">
        <v>45</v>
      </c>
      <c r="O63" s="19" t="s">
        <v>45</v>
      </c>
      <c r="P63" s="19" t="s">
        <v>28</v>
      </c>
      <c r="Q63" s="19">
        <v>24</v>
      </c>
      <c r="R63" s="19">
        <v>1</v>
      </c>
      <c r="S63" s="19">
        <v>1</v>
      </c>
      <c r="T63" s="19"/>
      <c r="U63" s="19"/>
      <c r="V63" s="19">
        <v>0</v>
      </c>
      <c r="W63" s="19"/>
      <c r="X63" s="8" t="str">
        <v>卡利亚圆阵</v>
      </c>
      <c r="Y63" s="8" t="str">
        <v>黄金大弯弧-蓄力</v>
      </c>
    </row>
    <row r="64" spans="1:25" x14ac:dyDescent="0.3">
      <c r="A64" s="19">
        <v>43020</v>
      </c>
      <c r="B64" s="59" t="s">
        <v>80</v>
      </c>
      <c r="C64" s="19">
        <v>3</v>
      </c>
      <c r="D64" s="19">
        <v>29</v>
      </c>
      <c r="E64" s="19">
        <v>0</v>
      </c>
      <c r="F64" s="19">
        <v>0</v>
      </c>
      <c r="G64" s="19">
        <v>0</v>
      </c>
      <c r="H64" s="19">
        <v>100</v>
      </c>
      <c r="I64" s="19">
        <v>0</v>
      </c>
      <c r="J64" s="19">
        <v>0</v>
      </c>
      <c r="K64" s="19">
        <v>0</v>
      </c>
      <c r="L64" s="19" t="s">
        <v>45</v>
      </c>
      <c r="M64" s="19" t="s">
        <v>78</v>
      </c>
      <c r="N64" s="19" t="s">
        <v>45</v>
      </c>
      <c r="O64" s="19" t="s">
        <v>45</v>
      </c>
      <c r="P64" s="19" t="s">
        <v>28</v>
      </c>
      <c r="Q64" s="19">
        <v>30</v>
      </c>
      <c r="R64" s="19">
        <v>10.175000000000001</v>
      </c>
      <c r="S64" s="19">
        <v>2</v>
      </c>
      <c r="T64" s="19"/>
      <c r="U64" s="19"/>
      <c r="V64" s="19">
        <v>0</v>
      </c>
      <c r="W64" s="19"/>
      <c r="X64" s="8" t="str">
        <v>巨剑阵</v>
      </c>
      <c r="Y64" s="8" t="str">
        <v>旋流</v>
      </c>
    </row>
    <row r="65" spans="1:25" x14ac:dyDescent="0.3">
      <c r="A65" s="19">
        <v>43702</v>
      </c>
      <c r="B65" s="59" t="s">
        <v>85</v>
      </c>
      <c r="C65" s="19">
        <v>5</v>
      </c>
      <c r="D65" s="19">
        <v>15</v>
      </c>
      <c r="E65" s="19">
        <v>0</v>
      </c>
      <c r="F65" s="19">
        <v>0</v>
      </c>
      <c r="G65" s="19">
        <v>0</v>
      </c>
      <c r="H65" s="19">
        <v>58</v>
      </c>
      <c r="I65" s="19">
        <v>0</v>
      </c>
      <c r="J65" s="19">
        <v>0</v>
      </c>
      <c r="K65" s="19">
        <v>0</v>
      </c>
      <c r="L65" s="19" t="s">
        <v>45</v>
      </c>
      <c r="M65" s="19" t="s">
        <v>45</v>
      </c>
      <c r="N65" s="19" t="s">
        <v>45</v>
      </c>
      <c r="O65" s="19" t="s">
        <v>45</v>
      </c>
      <c r="P65" s="19" t="s">
        <v>28</v>
      </c>
      <c r="Q65" s="19">
        <v>18</v>
      </c>
      <c r="R65" s="19">
        <v>0.5</v>
      </c>
      <c r="S65" s="19">
        <v>8</v>
      </c>
      <c r="T65" s="19"/>
      <c r="U65" s="19"/>
      <c r="V65" s="19">
        <v>0</v>
      </c>
      <c r="W65" s="19"/>
      <c r="X65" s="8" t="str">
        <v>天降魔力</v>
      </c>
      <c r="Y65" s="8" t="str">
        <v>守护灵</v>
      </c>
    </row>
    <row r="66" spans="1:25" x14ac:dyDescent="0.3">
      <c r="A66" s="19">
        <v>43800</v>
      </c>
      <c r="B66" s="59" t="s">
        <v>86</v>
      </c>
      <c r="C66" s="19">
        <v>1</v>
      </c>
      <c r="D66" s="19">
        <v>26</v>
      </c>
      <c r="E66" s="19">
        <v>0</v>
      </c>
      <c r="F66" s="19">
        <v>0</v>
      </c>
      <c r="G66" s="19">
        <v>0</v>
      </c>
      <c r="H66" s="19">
        <v>270</v>
      </c>
      <c r="I66" s="19">
        <v>0</v>
      </c>
      <c r="J66" s="19">
        <v>0</v>
      </c>
      <c r="K66" s="19">
        <v>0</v>
      </c>
      <c r="L66" s="19" t="s">
        <v>45</v>
      </c>
      <c r="M66" s="19" t="s">
        <v>45</v>
      </c>
      <c r="N66" s="19" t="s">
        <v>45</v>
      </c>
      <c r="O66" s="19" t="s">
        <v>45</v>
      </c>
      <c r="P66" s="19" t="s">
        <v>28</v>
      </c>
      <c r="Q66" s="19">
        <v>24</v>
      </c>
      <c r="R66" s="19">
        <v>7</v>
      </c>
      <c r="S66" s="19">
        <v>3</v>
      </c>
      <c r="T66" s="19"/>
      <c r="U66" s="19"/>
      <c r="V66" s="19">
        <v>0</v>
      </c>
      <c r="W66" s="19"/>
      <c r="X66" s="8" t="str">
        <v>罗蕾塔的大弓</v>
      </c>
      <c r="Y66" s="8" t="str">
        <v>神鸟羽毛</v>
      </c>
    </row>
    <row r="67" spans="1:25" x14ac:dyDescent="0.3">
      <c r="A67" s="19">
        <v>43805</v>
      </c>
      <c r="B67" s="59" t="s">
        <v>87</v>
      </c>
      <c r="C67" s="19">
        <v>1</v>
      </c>
      <c r="D67" s="19">
        <v>26</v>
      </c>
      <c r="E67" s="19">
        <v>0</v>
      </c>
      <c r="F67" s="19">
        <v>0</v>
      </c>
      <c r="G67" s="19">
        <v>0</v>
      </c>
      <c r="H67" s="19">
        <v>330</v>
      </c>
      <c r="I67" s="19">
        <v>0</v>
      </c>
      <c r="J67" s="19">
        <v>0</v>
      </c>
      <c r="K67" s="19">
        <v>0</v>
      </c>
      <c r="L67" s="19" t="s">
        <v>45</v>
      </c>
      <c r="M67" s="19" t="s">
        <v>45</v>
      </c>
      <c r="N67" s="19" t="s">
        <v>47</v>
      </c>
      <c r="O67" s="19" t="s">
        <v>45</v>
      </c>
      <c r="P67" s="19" t="s">
        <v>28</v>
      </c>
      <c r="Q67" s="19">
        <v>24</v>
      </c>
      <c r="R67" s="19">
        <v>12.95</v>
      </c>
      <c r="S67" s="19">
        <v>3</v>
      </c>
      <c r="T67" s="19"/>
      <c r="U67" s="19"/>
      <c r="V67" s="19">
        <v>0</v>
      </c>
      <c r="W67" s="19"/>
      <c r="X67" s="8" t="str">
        <v>罗蕾塔的大弓-蓄力</v>
      </c>
      <c r="Y67" s="8" t="str">
        <v>神兽龙卷风</v>
      </c>
    </row>
    <row r="68" spans="1:25" x14ac:dyDescent="0.3">
      <c r="A68" s="19">
        <v>43810</v>
      </c>
      <c r="B68" s="59" t="s">
        <v>88</v>
      </c>
      <c r="C68" s="19">
        <v>4</v>
      </c>
      <c r="D68" s="19">
        <v>46</v>
      </c>
      <c r="E68" s="19">
        <v>0</v>
      </c>
      <c r="F68" s="19">
        <v>0</v>
      </c>
      <c r="G68" s="19">
        <v>0</v>
      </c>
      <c r="H68" s="19">
        <v>108</v>
      </c>
      <c r="I68" s="19">
        <v>0</v>
      </c>
      <c r="J68" s="19">
        <v>0</v>
      </c>
      <c r="K68" s="19">
        <v>0</v>
      </c>
      <c r="L68" s="19" t="s">
        <v>45</v>
      </c>
      <c r="M68" s="19" t="s">
        <v>45</v>
      </c>
      <c r="N68" s="19" t="s">
        <v>45</v>
      </c>
      <c r="O68" s="19" t="s">
        <v>45</v>
      </c>
      <c r="P68" s="19" t="s">
        <v>28</v>
      </c>
      <c r="Q68" s="19">
        <v>39</v>
      </c>
      <c r="R68" s="19">
        <v>5</v>
      </c>
      <c r="S68" s="19">
        <v>3</v>
      </c>
      <c r="T68" s="19"/>
      <c r="U68" s="19"/>
      <c r="V68" s="19">
        <v>0</v>
      </c>
      <c r="W68" s="19"/>
      <c r="X68" s="8" t="str">
        <v>罗蕾塔的绝招</v>
      </c>
      <c r="Y68" s="8" t="str">
        <v>神兽龙卷风-蓄力</v>
      </c>
    </row>
    <row r="69" spans="1:25" x14ac:dyDescent="0.3">
      <c r="A69" s="19">
        <v>43815</v>
      </c>
      <c r="B69" s="59" t="s">
        <v>89</v>
      </c>
      <c r="C69" s="19">
        <v>4</v>
      </c>
      <c r="D69" s="19">
        <v>46</v>
      </c>
      <c r="E69" s="19">
        <v>0</v>
      </c>
      <c r="F69" s="19">
        <v>0</v>
      </c>
      <c r="G69" s="19">
        <v>0</v>
      </c>
      <c r="H69" s="19">
        <v>127</v>
      </c>
      <c r="I69" s="19">
        <v>0</v>
      </c>
      <c r="J69" s="19">
        <v>0</v>
      </c>
      <c r="K69" s="19">
        <v>0</v>
      </c>
      <c r="L69" s="19" t="s">
        <v>45</v>
      </c>
      <c r="M69" s="19" t="s">
        <v>45</v>
      </c>
      <c r="N69" s="19" t="s">
        <v>47</v>
      </c>
      <c r="O69" s="19" t="s">
        <v>45</v>
      </c>
      <c r="P69" s="19" t="s">
        <v>28</v>
      </c>
      <c r="Q69" s="19">
        <v>39</v>
      </c>
      <c r="R69" s="19">
        <v>9.25</v>
      </c>
      <c r="S69" s="19">
        <v>3</v>
      </c>
      <c r="T69" s="19"/>
      <c r="U69" s="19"/>
      <c r="V69" s="19">
        <v>0</v>
      </c>
      <c r="W69" s="19"/>
      <c r="X69" s="8" t="str">
        <v>罗蕾塔的绝招-蓄力</v>
      </c>
      <c r="Y69" s="8" t="str">
        <v>燃火</v>
      </c>
    </row>
    <row r="70" spans="1:25" x14ac:dyDescent="0.3">
      <c r="A70" s="19">
        <v>43600</v>
      </c>
      <c r="B70" s="59" t="s">
        <v>81</v>
      </c>
      <c r="C70" s="19">
        <v>1</v>
      </c>
      <c r="D70" s="19">
        <v>70</v>
      </c>
      <c r="E70" s="19">
        <v>0</v>
      </c>
      <c r="F70" s="19">
        <v>0</v>
      </c>
      <c r="G70" s="19">
        <v>0</v>
      </c>
      <c r="H70" s="19">
        <v>360</v>
      </c>
      <c r="I70" s="19">
        <v>0</v>
      </c>
      <c r="J70" s="19">
        <v>0</v>
      </c>
      <c r="K70" s="19">
        <v>0</v>
      </c>
      <c r="L70" s="19" t="s">
        <v>45</v>
      </c>
      <c r="M70" s="19" t="s">
        <v>82</v>
      </c>
      <c r="N70" s="19" t="s">
        <v>45</v>
      </c>
      <c r="O70" s="19" t="s">
        <v>45</v>
      </c>
      <c r="P70" s="19" t="s">
        <v>28</v>
      </c>
      <c r="Q70" s="19">
        <v>47</v>
      </c>
      <c r="R70" s="19">
        <v>13.634499999999999</v>
      </c>
      <c r="S70" s="19">
        <v>3</v>
      </c>
      <c r="T70" s="19"/>
      <c r="U70" s="19"/>
      <c r="V70" s="19">
        <v>0</v>
      </c>
      <c r="W70" s="19"/>
      <c r="X70" s="8" t="str">
        <v>蕾娜菈的满月</v>
      </c>
      <c r="Y70" s="8" t="str">
        <v>火焰啊！</v>
      </c>
    </row>
    <row r="71" spans="1:25" x14ac:dyDescent="0.3">
      <c r="A71" s="19">
        <v>43610</v>
      </c>
      <c r="B71" s="59" t="s">
        <v>83</v>
      </c>
      <c r="C71" s="19">
        <v>1</v>
      </c>
      <c r="D71" s="19">
        <v>68</v>
      </c>
      <c r="E71" s="19">
        <v>0</v>
      </c>
      <c r="F71" s="19">
        <v>0</v>
      </c>
      <c r="G71" s="19">
        <v>0</v>
      </c>
      <c r="H71" s="19">
        <v>330</v>
      </c>
      <c r="I71" s="19">
        <v>0</v>
      </c>
      <c r="J71" s="19">
        <v>0</v>
      </c>
      <c r="K71" s="19">
        <v>0</v>
      </c>
      <c r="L71" s="19" t="s">
        <v>45</v>
      </c>
      <c r="M71" s="19" t="s">
        <v>82</v>
      </c>
      <c r="N71" s="19" t="s">
        <v>84</v>
      </c>
      <c r="O71" s="19" t="s">
        <v>45</v>
      </c>
      <c r="P71" s="19" t="s">
        <v>28</v>
      </c>
      <c r="Q71" s="19">
        <v>57</v>
      </c>
      <c r="R71" s="19">
        <v>13.634499999999999</v>
      </c>
      <c r="S71" s="19">
        <v>3</v>
      </c>
      <c r="T71" s="19">
        <v>270</v>
      </c>
      <c r="U71" s="19" t="s">
        <v>614</v>
      </c>
      <c r="V71" s="19">
        <v>0</v>
      </c>
      <c r="W71" s="19"/>
      <c r="X71" s="8" t="str">
        <v>菈妮的暗月</v>
      </c>
      <c r="Y71" s="8" t="str">
        <v>火焰啊！-蓄力</v>
      </c>
    </row>
    <row r="72" spans="1:25" x14ac:dyDescent="0.3">
      <c r="A72" s="19">
        <v>210432000</v>
      </c>
      <c r="B72" s="59" t="s">
        <v>611</v>
      </c>
      <c r="C72" s="19">
        <v>2</v>
      </c>
      <c r="D72" s="19">
        <v>72</v>
      </c>
      <c r="E72" s="19">
        <v>0</v>
      </c>
      <c r="F72" s="19">
        <v>0</v>
      </c>
      <c r="G72" s="19">
        <v>0</v>
      </c>
      <c r="H72" s="19">
        <v>300</v>
      </c>
      <c r="I72" s="19">
        <v>0</v>
      </c>
      <c r="J72" s="19">
        <v>0</v>
      </c>
      <c r="K72" s="19">
        <v>0</v>
      </c>
      <c r="L72" s="19" t="s">
        <v>45</v>
      </c>
      <c r="M72" s="19" t="s">
        <v>82</v>
      </c>
      <c r="N72" s="19" t="s">
        <v>45</v>
      </c>
      <c r="O72" s="19" t="s">
        <v>45</v>
      </c>
      <c r="P72" s="19" t="s">
        <v>28</v>
      </c>
      <c r="Q72" s="19">
        <v>47</v>
      </c>
      <c r="R72" s="19">
        <v>10</v>
      </c>
      <c r="S72" s="19">
        <v>3</v>
      </c>
      <c r="T72" s="19"/>
      <c r="U72" s="19"/>
      <c r="V72" s="19">
        <v>0</v>
      </c>
      <c r="W72" s="19"/>
      <c r="X72" s="8" t="str">
        <v>蕾菈娜的双月（月亮）</v>
      </c>
      <c r="Y72" s="8" t="str">
        <v>投火</v>
      </c>
    </row>
    <row r="73" spans="1:25" x14ac:dyDescent="0.3">
      <c r="A73" s="19">
        <v>210432002</v>
      </c>
      <c r="B73" s="59" t="s">
        <v>612</v>
      </c>
      <c r="C73" s="19">
        <v>1</v>
      </c>
      <c r="D73" s="19">
        <v>72</v>
      </c>
      <c r="E73" s="19">
        <v>0</v>
      </c>
      <c r="F73" s="19">
        <v>0</v>
      </c>
      <c r="G73" s="19">
        <v>0</v>
      </c>
      <c r="H73" s="19">
        <v>400</v>
      </c>
      <c r="I73" s="19">
        <v>0</v>
      </c>
      <c r="J73" s="19">
        <v>0</v>
      </c>
      <c r="K73" s="19">
        <v>0</v>
      </c>
      <c r="L73" s="19" t="s">
        <v>45</v>
      </c>
      <c r="M73" s="19" t="s">
        <v>82</v>
      </c>
      <c r="N73" s="19" t="s">
        <v>45</v>
      </c>
      <c r="O73" s="19" t="s">
        <v>45</v>
      </c>
      <c r="P73" s="19" t="s">
        <v>28</v>
      </c>
      <c r="Q73" s="19">
        <v>47</v>
      </c>
      <c r="R73" s="19">
        <v>10</v>
      </c>
      <c r="S73" s="19">
        <v>9</v>
      </c>
      <c r="T73" s="19"/>
      <c r="U73" s="19"/>
      <c r="V73" s="19">
        <v>0</v>
      </c>
      <c r="W73" s="19"/>
      <c r="X73" s="8" t="str">
        <v>蕾菈娜的双月（爆炸）</v>
      </c>
      <c r="Y73" s="8" t="str">
        <v>投火-蓄力</v>
      </c>
    </row>
    <row r="74" spans="1:25" x14ac:dyDescent="0.3">
      <c r="A74" s="19">
        <v>44400</v>
      </c>
      <c r="B74" s="59" t="s">
        <v>100</v>
      </c>
      <c r="C74" s="19">
        <v>1</v>
      </c>
      <c r="D74" s="19">
        <v>14</v>
      </c>
      <c r="E74" s="19">
        <v>0</v>
      </c>
      <c r="F74" s="19">
        <v>0</v>
      </c>
      <c r="G74" s="19">
        <v>0</v>
      </c>
      <c r="H74" s="19">
        <v>180</v>
      </c>
      <c r="I74" s="19">
        <v>0</v>
      </c>
      <c r="J74" s="19">
        <v>0</v>
      </c>
      <c r="K74" s="19">
        <v>0</v>
      </c>
      <c r="L74" s="19" t="s">
        <v>45</v>
      </c>
      <c r="M74" s="19" t="s">
        <v>98</v>
      </c>
      <c r="N74" s="19" t="s">
        <v>45</v>
      </c>
      <c r="O74" s="19" t="s">
        <v>45</v>
      </c>
      <c r="P74" s="19" t="s">
        <v>28</v>
      </c>
      <c r="Q74" s="19">
        <v>4</v>
      </c>
      <c r="R74" s="19">
        <v>3</v>
      </c>
      <c r="S74" s="19">
        <v>1</v>
      </c>
      <c r="T74" s="19"/>
      <c r="U74" s="19"/>
      <c r="V74" s="19">
        <v>0</v>
      </c>
      <c r="W74" s="19"/>
      <c r="X74" s="8" t="str">
        <v>卡利亚迅剑</v>
      </c>
      <c r="Y74" s="8" t="str">
        <v>感受巨人火焰吧</v>
      </c>
    </row>
    <row r="75" spans="1:25" x14ac:dyDescent="0.3">
      <c r="A75" s="19">
        <v>44407</v>
      </c>
      <c r="B75" s="59" t="s">
        <v>101</v>
      </c>
      <c r="C75" s="19">
        <v>1</v>
      </c>
      <c r="D75" s="19">
        <v>14</v>
      </c>
      <c r="E75" s="19">
        <v>0</v>
      </c>
      <c r="F75" s="19">
        <v>0</v>
      </c>
      <c r="G75" s="19">
        <v>0</v>
      </c>
      <c r="H75" s="19">
        <v>184</v>
      </c>
      <c r="I75" s="19">
        <v>0</v>
      </c>
      <c r="J75" s="19">
        <v>0</v>
      </c>
      <c r="K75" s="19">
        <v>0</v>
      </c>
      <c r="L75" s="19" t="s">
        <v>45</v>
      </c>
      <c r="M75" s="19" t="s">
        <v>98</v>
      </c>
      <c r="N75" s="19" t="s">
        <v>45</v>
      </c>
      <c r="O75" s="19" t="s">
        <v>45</v>
      </c>
      <c r="P75" s="19" t="s">
        <v>28</v>
      </c>
      <c r="Q75" s="19">
        <v>4</v>
      </c>
      <c r="R75" s="19">
        <v>3</v>
      </c>
      <c r="S75" s="19">
        <v>1</v>
      </c>
      <c r="T75" s="19"/>
      <c r="U75" s="19"/>
      <c r="V75" s="19">
        <v>0</v>
      </c>
      <c r="W75" s="19"/>
      <c r="X75" s="8" t="str">
        <v>卡利亚迅剑-骑马</v>
      </c>
      <c r="Y75" s="8" t="str">
        <v>感受巨人火焰吧-蓄力</v>
      </c>
    </row>
    <row r="76" spans="1:25" x14ac:dyDescent="0.3">
      <c r="A76" s="19">
        <v>44300</v>
      </c>
      <c r="B76" s="59" t="s">
        <v>97</v>
      </c>
      <c r="C76" s="19">
        <v>1</v>
      </c>
      <c r="D76" s="19">
        <v>24</v>
      </c>
      <c r="E76" s="19">
        <v>0</v>
      </c>
      <c r="F76" s="19">
        <v>0</v>
      </c>
      <c r="G76" s="19">
        <v>0</v>
      </c>
      <c r="H76" s="19">
        <v>268</v>
      </c>
      <c r="I76" s="19">
        <v>0</v>
      </c>
      <c r="J76" s="19">
        <v>0</v>
      </c>
      <c r="K76" s="19">
        <v>0</v>
      </c>
      <c r="L76" s="19" t="s">
        <v>45</v>
      </c>
      <c r="M76" s="19" t="s">
        <v>98</v>
      </c>
      <c r="N76" s="19" t="s">
        <v>45</v>
      </c>
      <c r="O76" s="19" t="s">
        <v>45</v>
      </c>
      <c r="P76" s="19" t="s">
        <v>28</v>
      </c>
      <c r="Q76" s="19">
        <v>12</v>
      </c>
      <c r="R76" s="19">
        <v>10.175000000000001</v>
      </c>
      <c r="S76" s="19">
        <v>3</v>
      </c>
      <c r="T76" s="19"/>
      <c r="U76" s="19"/>
      <c r="V76" s="19">
        <v>0</v>
      </c>
      <c r="W76" s="19"/>
      <c r="X76" s="8" t="str">
        <v>卡利亚大剑</v>
      </c>
      <c r="Y76" s="8" t="str">
        <v>火焰啊，倾注吧</v>
      </c>
    </row>
    <row r="77" spans="1:25" x14ac:dyDescent="0.3">
      <c r="A77" s="19">
        <v>44307</v>
      </c>
      <c r="B77" s="59" t="s">
        <v>99</v>
      </c>
      <c r="C77" s="19">
        <v>1</v>
      </c>
      <c r="D77" s="19">
        <v>24</v>
      </c>
      <c r="E77" s="19">
        <v>0</v>
      </c>
      <c r="F77" s="19">
        <v>0</v>
      </c>
      <c r="G77" s="19">
        <v>0</v>
      </c>
      <c r="H77" s="19">
        <v>272</v>
      </c>
      <c r="I77" s="19">
        <v>0</v>
      </c>
      <c r="J77" s="19">
        <v>0</v>
      </c>
      <c r="K77" s="19">
        <v>0</v>
      </c>
      <c r="L77" s="19" t="s">
        <v>45</v>
      </c>
      <c r="M77" s="19" t="s">
        <v>98</v>
      </c>
      <c r="N77" s="19" t="s">
        <v>45</v>
      </c>
      <c r="O77" s="19" t="s">
        <v>45</v>
      </c>
      <c r="P77" s="19" t="s">
        <v>28</v>
      </c>
      <c r="Q77" s="19">
        <v>12</v>
      </c>
      <c r="R77" s="19">
        <v>10.175000000000001</v>
      </c>
      <c r="S77" s="19">
        <v>3</v>
      </c>
      <c r="T77" s="19"/>
      <c r="U77" s="19"/>
      <c r="V77" s="19">
        <v>0</v>
      </c>
      <c r="W77" s="19"/>
      <c r="X77" s="8" t="str">
        <v>卡利亚大剑-骑马</v>
      </c>
      <c r="Y77" s="8" t="str">
        <v>火焰啊，倾注吧-蓄力</v>
      </c>
    </row>
    <row r="78" spans="1:25" x14ac:dyDescent="0.3">
      <c r="A78" s="19">
        <v>44500</v>
      </c>
      <c r="B78" s="59" t="s">
        <v>102</v>
      </c>
      <c r="C78" s="19">
        <v>1</v>
      </c>
      <c r="D78" s="19">
        <v>27</v>
      </c>
      <c r="E78" s="19">
        <v>0</v>
      </c>
      <c r="F78" s="19">
        <v>0</v>
      </c>
      <c r="G78" s="19">
        <v>0</v>
      </c>
      <c r="H78" s="19">
        <v>287</v>
      </c>
      <c r="I78" s="19">
        <v>0</v>
      </c>
      <c r="J78" s="19">
        <v>0</v>
      </c>
      <c r="K78" s="19">
        <v>0</v>
      </c>
      <c r="L78" s="19" t="s">
        <v>45</v>
      </c>
      <c r="M78" s="19" t="s">
        <v>98</v>
      </c>
      <c r="N78" s="19" t="s">
        <v>45</v>
      </c>
      <c r="O78" s="19" t="s">
        <v>45</v>
      </c>
      <c r="P78" s="19" t="s">
        <v>28</v>
      </c>
      <c r="Q78" s="19">
        <v>17</v>
      </c>
      <c r="R78" s="19">
        <v>10.175000000000001</v>
      </c>
      <c r="S78" s="19">
        <v>3</v>
      </c>
      <c r="T78" s="19"/>
      <c r="U78" s="19"/>
      <c r="V78" s="19">
        <v>0</v>
      </c>
      <c r="W78" s="19"/>
      <c r="X78" s="8" t="str">
        <v>卡利亚贯刺</v>
      </c>
      <c r="Y78" s="8" t="str">
        <v>恶神火焰</v>
      </c>
    </row>
    <row r="79" spans="1:25" x14ac:dyDescent="0.3">
      <c r="A79" s="19">
        <v>44505</v>
      </c>
      <c r="B79" s="59" t="s">
        <v>103</v>
      </c>
      <c r="C79" s="19">
        <v>1</v>
      </c>
      <c r="D79" s="19">
        <v>27</v>
      </c>
      <c r="E79" s="19">
        <v>0</v>
      </c>
      <c r="F79" s="19">
        <v>0</v>
      </c>
      <c r="G79" s="19">
        <v>0</v>
      </c>
      <c r="H79" s="19">
        <v>355</v>
      </c>
      <c r="I79" s="19">
        <v>0</v>
      </c>
      <c r="J79" s="19">
        <v>0</v>
      </c>
      <c r="K79" s="19">
        <v>0</v>
      </c>
      <c r="L79" s="19" t="s">
        <v>45</v>
      </c>
      <c r="M79" s="19" t="s">
        <v>98</v>
      </c>
      <c r="N79" s="19" t="s">
        <v>47</v>
      </c>
      <c r="O79" s="19" t="s">
        <v>45</v>
      </c>
      <c r="P79" s="19" t="s">
        <v>28</v>
      </c>
      <c r="Q79" s="19">
        <v>17</v>
      </c>
      <c r="R79" s="19">
        <v>12.95</v>
      </c>
      <c r="S79" s="19">
        <v>7</v>
      </c>
      <c r="T79" s="19"/>
      <c r="U79" s="19"/>
      <c r="V79" s="19">
        <v>0</v>
      </c>
      <c r="W79" s="19"/>
      <c r="X79" s="8" t="str">
        <v>卡利亚贯刺-蓄力</v>
      </c>
      <c r="Y79" s="8" t="str">
        <v>恶神火焰（燃烧）</v>
      </c>
    </row>
    <row r="80" spans="1:25" x14ac:dyDescent="0.3">
      <c r="A80" s="19">
        <v>44310</v>
      </c>
      <c r="B80" s="59" t="s">
        <v>329</v>
      </c>
      <c r="C80" s="19">
        <v>1</v>
      </c>
      <c r="D80" s="19">
        <v>32</v>
      </c>
      <c r="E80" s="19">
        <v>0</v>
      </c>
      <c r="F80" s="19">
        <v>0</v>
      </c>
      <c r="G80" s="19">
        <v>0</v>
      </c>
      <c r="H80" s="19">
        <v>133</v>
      </c>
      <c r="I80" s="19">
        <v>0</v>
      </c>
      <c r="J80" s="19">
        <v>0</v>
      </c>
      <c r="K80" s="19">
        <v>0</v>
      </c>
      <c r="L80" s="19" t="s">
        <v>45</v>
      </c>
      <c r="M80" s="19" t="s">
        <v>98</v>
      </c>
      <c r="N80" s="19" t="s">
        <v>45</v>
      </c>
      <c r="O80" s="19" t="s">
        <v>84</v>
      </c>
      <c r="P80" s="19" t="s">
        <v>28</v>
      </c>
      <c r="Q80" s="19">
        <v>22</v>
      </c>
      <c r="R80" s="19">
        <v>8.5</v>
      </c>
      <c r="S80" s="19">
        <v>3</v>
      </c>
      <c r="T80" s="19">
        <v>120</v>
      </c>
      <c r="U80" s="19" t="s">
        <v>614</v>
      </c>
      <c r="V80" s="19">
        <v>0</v>
      </c>
      <c r="W80" s="19"/>
      <c r="X80" s="8" t="str">
        <v>亚杜拉的月光剑（剑身）</v>
      </c>
      <c r="Y80" s="8" t="str">
        <v>火焰啊，喷发吧</v>
      </c>
    </row>
    <row r="81" spans="1:25" x14ac:dyDescent="0.3">
      <c r="A81" s="19">
        <v>44317</v>
      </c>
      <c r="B81" s="59" t="s">
        <v>330</v>
      </c>
      <c r="C81" s="19">
        <v>1</v>
      </c>
      <c r="D81" s="19">
        <v>32</v>
      </c>
      <c r="E81" s="19">
        <v>0</v>
      </c>
      <c r="F81" s="19">
        <v>0</v>
      </c>
      <c r="G81" s="19">
        <v>0</v>
      </c>
      <c r="H81" s="19">
        <v>137</v>
      </c>
      <c r="I81" s="19">
        <v>0</v>
      </c>
      <c r="J81" s="19">
        <v>0</v>
      </c>
      <c r="K81" s="19">
        <v>0</v>
      </c>
      <c r="L81" s="19" t="s">
        <v>45</v>
      </c>
      <c r="M81" s="19" t="s">
        <v>98</v>
      </c>
      <c r="N81" s="19" t="s">
        <v>45</v>
      </c>
      <c r="O81" s="19" t="s">
        <v>84</v>
      </c>
      <c r="P81" s="19" t="s">
        <v>28</v>
      </c>
      <c r="Q81" s="19">
        <v>22</v>
      </c>
      <c r="R81" s="19">
        <v>8.5</v>
      </c>
      <c r="S81" s="19">
        <v>3</v>
      </c>
      <c r="T81" s="19">
        <v>120</v>
      </c>
      <c r="U81" s="19" t="s">
        <v>614</v>
      </c>
      <c r="V81" s="19">
        <v>0</v>
      </c>
      <c r="W81" s="19"/>
      <c r="X81" s="8" t="str">
        <v>亚杜拉的月光剑（剑身，骑马）</v>
      </c>
      <c r="Y81" s="8" t="str">
        <v>火焰啊，缠绕吧</v>
      </c>
    </row>
    <row r="82" spans="1:25" x14ac:dyDescent="0.3">
      <c r="A82" s="19">
        <v>44319</v>
      </c>
      <c r="B82" s="59" t="s">
        <v>331</v>
      </c>
      <c r="C82" s="19">
        <v>1</v>
      </c>
      <c r="D82" s="19">
        <v>32</v>
      </c>
      <c r="E82" s="19">
        <v>0</v>
      </c>
      <c r="F82" s="19">
        <v>0</v>
      </c>
      <c r="G82" s="19">
        <v>0</v>
      </c>
      <c r="H82" s="19">
        <v>189</v>
      </c>
      <c r="I82" s="19">
        <v>0</v>
      </c>
      <c r="J82" s="19">
        <v>0</v>
      </c>
      <c r="K82" s="19">
        <v>0</v>
      </c>
      <c r="L82" s="19" t="s">
        <v>45</v>
      </c>
      <c r="M82" s="19" t="s">
        <v>98</v>
      </c>
      <c r="N82" s="19" t="s">
        <v>45</v>
      </c>
      <c r="O82" s="19" t="s">
        <v>84</v>
      </c>
      <c r="P82" s="19" t="s">
        <v>28</v>
      </c>
      <c r="Q82" s="19">
        <v>22</v>
      </c>
      <c r="R82" s="19">
        <v>3.5</v>
      </c>
      <c r="S82" s="19">
        <v>2</v>
      </c>
      <c r="T82" s="19">
        <v>35</v>
      </c>
      <c r="U82" s="19" t="s">
        <v>614</v>
      </c>
      <c r="V82" s="19">
        <v>0</v>
      </c>
      <c r="W82" s="19"/>
      <c r="X82" s="8" t="str">
        <v>亚杜拉的月光剑（剑气）</v>
      </c>
      <c r="Y82" s="8" t="str">
        <v>火焰啊，缠绕吧-蓄力</v>
      </c>
    </row>
    <row r="83" spans="1:25" x14ac:dyDescent="0.3">
      <c r="A83" s="19">
        <v>46000</v>
      </c>
      <c r="B83" s="59" t="s">
        <v>113</v>
      </c>
      <c r="C83" s="19">
        <v>1</v>
      </c>
      <c r="D83" s="19">
        <v>23</v>
      </c>
      <c r="E83" s="19">
        <v>0</v>
      </c>
      <c r="F83" s="19">
        <v>0</v>
      </c>
      <c r="G83" s="19">
        <v>0</v>
      </c>
      <c r="H83" s="19">
        <v>146</v>
      </c>
      <c r="I83" s="19">
        <v>0</v>
      </c>
      <c r="J83" s="19">
        <v>0</v>
      </c>
      <c r="K83" s="19">
        <v>0</v>
      </c>
      <c r="L83" s="19" t="s">
        <v>45</v>
      </c>
      <c r="M83" s="19" t="s">
        <v>45</v>
      </c>
      <c r="N83" s="19" t="s">
        <v>45</v>
      </c>
      <c r="O83" s="19" t="s">
        <v>45</v>
      </c>
      <c r="P83" s="19" t="s">
        <v>28</v>
      </c>
      <c r="Q83" s="19">
        <v>13</v>
      </c>
      <c r="R83" s="19">
        <v>3</v>
      </c>
      <c r="S83" s="19">
        <v>8</v>
      </c>
      <c r="T83" s="19"/>
      <c r="U83" s="19"/>
      <c r="V83" s="19">
        <v>0</v>
      </c>
      <c r="W83" s="19"/>
      <c r="X83" s="8" t="str">
        <v>奇袭魔砾</v>
      </c>
      <c r="Y83" s="8" t="str">
        <v>火焰啊，吞噬一切！</v>
      </c>
    </row>
    <row r="84" spans="1:25" x14ac:dyDescent="0.3">
      <c r="A84" s="19">
        <v>46100</v>
      </c>
      <c r="B84" s="59" t="s">
        <v>114</v>
      </c>
      <c r="C84" s="19">
        <v>1</v>
      </c>
      <c r="D84" s="19">
        <v>18</v>
      </c>
      <c r="E84" s="19">
        <v>0</v>
      </c>
      <c r="F84" s="19">
        <v>0</v>
      </c>
      <c r="G84" s="19">
        <v>0</v>
      </c>
      <c r="H84" s="19">
        <v>111</v>
      </c>
      <c r="I84" s="19">
        <v>0</v>
      </c>
      <c r="J84" s="19">
        <v>0</v>
      </c>
      <c r="K84" s="19">
        <v>0</v>
      </c>
      <c r="L84" s="19" t="s">
        <v>45</v>
      </c>
      <c r="M84" s="19" t="s">
        <v>115</v>
      </c>
      <c r="N84" s="19" t="s">
        <v>45</v>
      </c>
      <c r="O84" s="19" t="s">
        <v>45</v>
      </c>
      <c r="P84" s="19" t="s">
        <v>28</v>
      </c>
      <c r="Q84" s="19">
        <v>7</v>
      </c>
      <c r="R84" s="19">
        <v>2</v>
      </c>
      <c r="S84" s="19">
        <v>8</v>
      </c>
      <c r="T84" s="19"/>
      <c r="U84" s="19"/>
      <c r="V84" s="19">
        <v>0</v>
      </c>
      <c r="W84" s="19"/>
      <c r="X84" s="8" t="str">
        <v>黑夜魔砾</v>
      </c>
      <c r="Y84" s="8" t="str">
        <v>火焰重罪（爆炸）</v>
      </c>
    </row>
    <row r="85" spans="1:25" x14ac:dyDescent="0.3">
      <c r="A85" s="19">
        <v>46200</v>
      </c>
      <c r="B85" s="59" t="s">
        <v>116</v>
      </c>
      <c r="C85" s="19">
        <v>1</v>
      </c>
      <c r="D85" s="19">
        <v>38</v>
      </c>
      <c r="E85" s="19">
        <v>0</v>
      </c>
      <c r="F85" s="19">
        <v>0</v>
      </c>
      <c r="G85" s="19">
        <v>0</v>
      </c>
      <c r="H85" s="19">
        <v>230</v>
      </c>
      <c r="I85" s="19">
        <v>0</v>
      </c>
      <c r="J85" s="19">
        <v>0</v>
      </c>
      <c r="K85" s="19">
        <v>0</v>
      </c>
      <c r="L85" s="19" t="s">
        <v>45</v>
      </c>
      <c r="M85" s="19" t="s">
        <v>115</v>
      </c>
      <c r="N85" s="19" t="s">
        <v>45</v>
      </c>
      <c r="O85" s="19" t="s">
        <v>45</v>
      </c>
      <c r="P85" s="19" t="s">
        <v>28</v>
      </c>
      <c r="Q85" s="19">
        <v>21</v>
      </c>
      <c r="R85" s="19">
        <v>5.5</v>
      </c>
      <c r="S85" s="19">
        <v>1</v>
      </c>
      <c r="T85" s="19"/>
      <c r="U85" s="19"/>
      <c r="V85" s="19">
        <v>0</v>
      </c>
      <c r="W85" s="19"/>
      <c r="X85" s="8" t="str">
        <v>黑夜彗星</v>
      </c>
      <c r="Y85" s="8" t="str">
        <v>火焰重罪（燃烧）</v>
      </c>
    </row>
    <row r="86" spans="1:25" x14ac:dyDescent="0.3">
      <c r="A86" s="19">
        <v>46201</v>
      </c>
      <c r="B86" s="59" t="s">
        <v>117</v>
      </c>
      <c r="C86" s="19">
        <v>1</v>
      </c>
      <c r="D86" s="19">
        <v>38</v>
      </c>
      <c r="E86" s="19">
        <v>0</v>
      </c>
      <c r="F86" s="19">
        <v>0</v>
      </c>
      <c r="G86" s="19">
        <v>0</v>
      </c>
      <c r="H86" s="19">
        <v>276</v>
      </c>
      <c r="I86" s="19">
        <v>0</v>
      </c>
      <c r="J86" s="19">
        <v>0</v>
      </c>
      <c r="K86" s="19">
        <v>0</v>
      </c>
      <c r="L86" s="19" t="s">
        <v>45</v>
      </c>
      <c r="M86" s="19" t="s">
        <v>115</v>
      </c>
      <c r="N86" s="19" t="s">
        <v>47</v>
      </c>
      <c r="O86" s="19" t="s">
        <v>45</v>
      </c>
      <c r="P86" s="19" t="s">
        <v>28</v>
      </c>
      <c r="Q86" s="19">
        <v>21</v>
      </c>
      <c r="R86" s="19">
        <v>10.175000000000001</v>
      </c>
      <c r="S86" s="19">
        <v>1</v>
      </c>
      <c r="T86" s="19"/>
      <c r="U86" s="19"/>
      <c r="V86" s="19">
        <v>0</v>
      </c>
      <c r="W86" s="19"/>
      <c r="X86" s="8" t="str">
        <v>黑夜彗星-蓄力</v>
      </c>
      <c r="Y86" s="8" t="str">
        <v>火焰重罪（爆炸）-蓄力</v>
      </c>
    </row>
    <row r="87" spans="1:25" x14ac:dyDescent="0.3">
      <c r="A87" s="19">
        <v>48000</v>
      </c>
      <c r="B87" s="59" t="s">
        <v>124</v>
      </c>
      <c r="C87" s="19">
        <v>1</v>
      </c>
      <c r="D87" s="19">
        <v>19</v>
      </c>
      <c r="E87" s="19">
        <v>10</v>
      </c>
      <c r="F87" s="19">
        <v>0</v>
      </c>
      <c r="G87" s="19">
        <v>0</v>
      </c>
      <c r="H87" s="19">
        <v>0</v>
      </c>
      <c r="I87" s="19">
        <v>210</v>
      </c>
      <c r="J87" s="19">
        <v>0</v>
      </c>
      <c r="K87" s="19">
        <v>0</v>
      </c>
      <c r="L87" s="19" t="s">
        <v>45</v>
      </c>
      <c r="M87" s="19" t="s">
        <v>307</v>
      </c>
      <c r="N87" s="19" t="s">
        <v>45</v>
      </c>
      <c r="O87" s="19" t="s">
        <v>311</v>
      </c>
      <c r="P87" s="19" t="s">
        <v>28</v>
      </c>
      <c r="Q87" s="19">
        <v>16</v>
      </c>
      <c r="R87" s="19">
        <v>5</v>
      </c>
      <c r="S87" s="19">
        <v>3</v>
      </c>
      <c r="T87" s="19"/>
      <c r="U87" s="19"/>
      <c r="V87" s="19">
        <v>0</v>
      </c>
      <c r="W87" s="19"/>
      <c r="X87" s="8" t="str">
        <v>熔岩球</v>
      </c>
      <c r="Y87" s="8" t="str">
        <v>火焰重罪燃烧（燃烧）-蓄力</v>
      </c>
    </row>
    <row r="88" spans="1:25" x14ac:dyDescent="0.3">
      <c r="A88" s="19">
        <v>48003</v>
      </c>
      <c r="B88" s="59" t="s">
        <v>125</v>
      </c>
      <c r="C88" s="19">
        <v>4</v>
      </c>
      <c r="D88" s="19">
        <v>19</v>
      </c>
      <c r="E88" s="19">
        <v>10</v>
      </c>
      <c r="F88" s="19">
        <v>0</v>
      </c>
      <c r="G88" s="19">
        <v>0</v>
      </c>
      <c r="H88" s="19">
        <v>0</v>
      </c>
      <c r="I88" s="19">
        <v>48</v>
      </c>
      <c r="J88" s="19">
        <v>0</v>
      </c>
      <c r="K88" s="19">
        <v>0</v>
      </c>
      <c r="L88" s="19" t="s">
        <v>45</v>
      </c>
      <c r="M88" s="19" t="s">
        <v>307</v>
      </c>
      <c r="N88" s="19" t="s">
        <v>45</v>
      </c>
      <c r="O88" s="19" t="s">
        <v>311</v>
      </c>
      <c r="P88" s="19" t="s">
        <v>28</v>
      </c>
      <c r="Q88" s="19">
        <v>16</v>
      </c>
      <c r="R88" s="19">
        <v>0</v>
      </c>
      <c r="S88" s="19">
        <v>0</v>
      </c>
      <c r="T88" s="19"/>
      <c r="U88" s="19"/>
      <c r="V88" s="19">
        <v>0</v>
      </c>
      <c r="W88" s="19"/>
      <c r="X88" s="8" t="str">
        <v>熔岩球（岩浆）</v>
      </c>
      <c r="Y88" s="8" t="str">
        <v>火焰蛇</v>
      </c>
    </row>
    <row r="89" spans="1:25" x14ac:dyDescent="0.3">
      <c r="A89" s="19">
        <v>48005</v>
      </c>
      <c r="B89" s="59" t="s">
        <v>126</v>
      </c>
      <c r="C89" s="19">
        <v>1</v>
      </c>
      <c r="D89" s="19">
        <v>19</v>
      </c>
      <c r="E89" s="19">
        <v>10</v>
      </c>
      <c r="F89" s="19">
        <v>0</v>
      </c>
      <c r="G89" s="19">
        <v>0</v>
      </c>
      <c r="H89" s="19">
        <v>0</v>
      </c>
      <c r="I89" s="19">
        <v>250</v>
      </c>
      <c r="J89" s="19">
        <v>0</v>
      </c>
      <c r="K89" s="19">
        <v>0</v>
      </c>
      <c r="L89" s="19" t="s">
        <v>45</v>
      </c>
      <c r="M89" s="19" t="s">
        <v>307</v>
      </c>
      <c r="N89" s="19" t="s">
        <v>47</v>
      </c>
      <c r="O89" s="19" t="s">
        <v>311</v>
      </c>
      <c r="P89" s="19" t="s">
        <v>28</v>
      </c>
      <c r="Q89" s="19">
        <v>16</v>
      </c>
      <c r="R89" s="19">
        <v>9.25</v>
      </c>
      <c r="S89" s="19">
        <v>3</v>
      </c>
      <c r="T89" s="19"/>
      <c r="U89" s="19"/>
      <c r="V89" s="19">
        <v>0</v>
      </c>
      <c r="W89" s="19"/>
      <c r="X89" s="8" t="str">
        <v>熔岩球-蓄力</v>
      </c>
      <c r="Y89" s="8" t="str">
        <v>火焰蛇-蓄力</v>
      </c>
    </row>
    <row r="90" spans="1:25" x14ac:dyDescent="0.3">
      <c r="A90" s="19">
        <v>48007</v>
      </c>
      <c r="B90" s="59" t="s">
        <v>127</v>
      </c>
      <c r="C90" s="19">
        <v>4</v>
      </c>
      <c r="D90" s="19">
        <v>19</v>
      </c>
      <c r="E90" s="19">
        <v>10</v>
      </c>
      <c r="F90" s="19">
        <v>0</v>
      </c>
      <c r="G90" s="19">
        <v>0</v>
      </c>
      <c r="H90" s="19">
        <v>0</v>
      </c>
      <c r="I90" s="19">
        <v>53</v>
      </c>
      <c r="J90" s="19">
        <v>0</v>
      </c>
      <c r="K90" s="19">
        <v>0</v>
      </c>
      <c r="L90" s="19" t="s">
        <v>45</v>
      </c>
      <c r="M90" s="19" t="s">
        <v>307</v>
      </c>
      <c r="N90" s="19" t="s">
        <v>47</v>
      </c>
      <c r="O90" s="19" t="s">
        <v>311</v>
      </c>
      <c r="P90" s="19" t="s">
        <v>28</v>
      </c>
      <c r="Q90" s="19">
        <v>16</v>
      </c>
      <c r="R90" s="19">
        <v>0</v>
      </c>
      <c r="S90" s="19">
        <v>0</v>
      </c>
      <c r="T90" s="19"/>
      <c r="U90" s="19"/>
      <c r="V90" s="19">
        <v>0</v>
      </c>
      <c r="W90" s="19"/>
      <c r="X90" s="8" t="str">
        <v>熔岩球（岩浆）-蓄力</v>
      </c>
      <c r="Y90" s="8" t="str">
        <v>火焰雨</v>
      </c>
    </row>
    <row r="91" spans="1:25" x14ac:dyDescent="0.3">
      <c r="A91" s="19">
        <v>48108</v>
      </c>
      <c r="B91" s="59" t="s">
        <v>128</v>
      </c>
      <c r="C91" s="19">
        <v>1</v>
      </c>
      <c r="D91" s="19">
        <v>28</v>
      </c>
      <c r="E91" s="19">
        <v>15</v>
      </c>
      <c r="F91" s="19">
        <v>0</v>
      </c>
      <c r="G91" s="19">
        <v>0</v>
      </c>
      <c r="H91" s="19">
        <v>0</v>
      </c>
      <c r="I91" s="19">
        <v>160</v>
      </c>
      <c r="J91" s="19">
        <v>0</v>
      </c>
      <c r="K91" s="19">
        <v>0</v>
      </c>
      <c r="L91" s="19" t="s">
        <v>45</v>
      </c>
      <c r="M91" s="19" t="s">
        <v>307</v>
      </c>
      <c r="N91" s="19" t="s">
        <v>45</v>
      </c>
      <c r="O91" s="19" t="s">
        <v>311</v>
      </c>
      <c r="P91" s="19" t="s">
        <v>28</v>
      </c>
      <c r="Q91" s="19">
        <v>16</v>
      </c>
      <c r="R91" s="19">
        <v>5.0999999999999996</v>
      </c>
      <c r="S91" s="19">
        <v>1</v>
      </c>
      <c r="T91" s="19"/>
      <c r="U91" s="19"/>
      <c r="V91" s="19">
        <v>0</v>
      </c>
      <c r="W91" s="19"/>
      <c r="X91" s="8" t="str">
        <v>格密尔之怒-起手</v>
      </c>
      <c r="Y91" s="8" t="str">
        <v>火焰雨-蓄力</v>
      </c>
    </row>
    <row r="92" spans="1:25" x14ac:dyDescent="0.3">
      <c r="A92" s="19">
        <v>48100</v>
      </c>
      <c r="B92" s="59" t="s">
        <v>129</v>
      </c>
      <c r="C92" s="19">
        <v>3</v>
      </c>
      <c r="D92" s="19">
        <v>28</v>
      </c>
      <c r="E92" s="19">
        <v>15</v>
      </c>
      <c r="F92" s="19">
        <v>0</v>
      </c>
      <c r="G92" s="19">
        <v>0</v>
      </c>
      <c r="H92" s="19">
        <v>0</v>
      </c>
      <c r="I92" s="19">
        <v>125</v>
      </c>
      <c r="J92" s="19">
        <v>0</v>
      </c>
      <c r="K92" s="19">
        <v>0</v>
      </c>
      <c r="L92" s="19" t="s">
        <v>45</v>
      </c>
      <c r="M92" s="19" t="s">
        <v>307</v>
      </c>
      <c r="N92" s="19" t="s">
        <v>45</v>
      </c>
      <c r="O92" s="19" t="s">
        <v>311</v>
      </c>
      <c r="P92" s="19" t="s">
        <v>28</v>
      </c>
      <c r="Q92" s="19">
        <v>16</v>
      </c>
      <c r="R92" s="19">
        <v>3</v>
      </c>
      <c r="S92" s="19">
        <v>2</v>
      </c>
      <c r="T92" s="19"/>
      <c r="U92" s="19"/>
      <c r="V92" s="19">
        <v>0</v>
      </c>
      <c r="W92" s="19"/>
      <c r="X92" s="8" t="str">
        <v>格密尔之怒</v>
      </c>
      <c r="Y92" s="8" t="str">
        <v>梅瑟莫的火球（空中、俯冲）</v>
      </c>
    </row>
    <row r="93" spans="1:25" x14ac:dyDescent="0.3">
      <c r="A93" s="19">
        <v>48200</v>
      </c>
      <c r="B93" s="59" t="s">
        <v>130</v>
      </c>
      <c r="C93" s="19">
        <v>1</v>
      </c>
      <c r="D93" s="19">
        <v>21</v>
      </c>
      <c r="E93" s="19">
        <v>12</v>
      </c>
      <c r="F93" s="19">
        <v>0</v>
      </c>
      <c r="G93" s="19">
        <v>0</v>
      </c>
      <c r="H93" s="19">
        <v>0</v>
      </c>
      <c r="I93" s="19">
        <v>234</v>
      </c>
      <c r="J93" s="19">
        <v>0</v>
      </c>
      <c r="K93" s="19">
        <v>0</v>
      </c>
      <c r="L93" s="19" t="s">
        <v>45</v>
      </c>
      <c r="M93" s="19" t="s">
        <v>307</v>
      </c>
      <c r="N93" s="19" t="s">
        <v>45</v>
      </c>
      <c r="O93" s="19" t="s">
        <v>311</v>
      </c>
      <c r="P93" s="19" t="s">
        <v>28</v>
      </c>
      <c r="Q93" s="19">
        <v>28</v>
      </c>
      <c r="R93" s="19">
        <v>5</v>
      </c>
      <c r="S93" s="19">
        <v>1</v>
      </c>
      <c r="T93" s="19"/>
      <c r="U93" s="19"/>
      <c r="V93" s="19">
        <v>0</v>
      </c>
      <c r="W93" s="19"/>
      <c r="X93" s="8" t="str">
        <v>滚烫熔岩（直击）</v>
      </c>
      <c r="Y93" s="8" t="str">
        <v>梅瑟莫的火球（爆炸）</v>
      </c>
    </row>
    <row r="94" spans="1:25" x14ac:dyDescent="0.3">
      <c r="A94" s="19">
        <v>48204</v>
      </c>
      <c r="B94" s="59" t="s">
        <v>131</v>
      </c>
      <c r="C94" s="19">
        <v>1</v>
      </c>
      <c r="D94" s="19">
        <v>21</v>
      </c>
      <c r="E94" s="19">
        <v>12</v>
      </c>
      <c r="F94" s="19">
        <v>0</v>
      </c>
      <c r="G94" s="19">
        <v>0</v>
      </c>
      <c r="H94" s="19">
        <v>0</v>
      </c>
      <c r="I94" s="19">
        <v>318</v>
      </c>
      <c r="J94" s="19">
        <v>0</v>
      </c>
      <c r="K94" s="19">
        <v>0</v>
      </c>
      <c r="L94" s="19" t="s">
        <v>45</v>
      </c>
      <c r="M94" s="19" t="s">
        <v>307</v>
      </c>
      <c r="N94" s="19" t="s">
        <v>45</v>
      </c>
      <c r="O94" s="19" t="s">
        <v>311</v>
      </c>
      <c r="P94" s="19" t="s">
        <v>28</v>
      </c>
      <c r="Q94" s="19">
        <v>28</v>
      </c>
      <c r="R94" s="19">
        <v>10.175000000000001</v>
      </c>
      <c r="S94" s="19">
        <v>3</v>
      </c>
      <c r="T94" s="19"/>
      <c r="U94" s="19"/>
      <c r="V94" s="19">
        <v>0</v>
      </c>
      <c r="W94" s="19"/>
      <c r="X94" s="8" t="str">
        <v>滚烫熔岩（爆炸）</v>
      </c>
      <c r="Y94" s="8" t="str">
        <v>梅瑟莫的火球（空中、俯冲）-蓄力</v>
      </c>
    </row>
    <row r="95" spans="1:25" x14ac:dyDescent="0.3">
      <c r="A95" s="19">
        <v>48206</v>
      </c>
      <c r="B95" s="59" t="s">
        <v>810</v>
      </c>
      <c r="C95" s="19">
        <v>3</v>
      </c>
      <c r="D95" s="19">
        <v>21</v>
      </c>
      <c r="E95" s="19">
        <v>12</v>
      </c>
      <c r="F95" s="19">
        <v>0</v>
      </c>
      <c r="G95" s="19">
        <v>0</v>
      </c>
      <c r="H95" s="19">
        <v>0</v>
      </c>
      <c r="I95" s="19">
        <v>43</v>
      </c>
      <c r="J95" s="19">
        <v>0</v>
      </c>
      <c r="K95" s="19">
        <v>0</v>
      </c>
      <c r="L95" s="19" t="s">
        <v>45</v>
      </c>
      <c r="M95" s="19" t="s">
        <v>307</v>
      </c>
      <c r="N95" s="19" t="s">
        <v>45</v>
      </c>
      <c r="O95" s="19" t="s">
        <v>311</v>
      </c>
      <c r="P95" s="19" t="s">
        <v>28</v>
      </c>
      <c r="Q95" s="19">
        <v>28</v>
      </c>
      <c r="R95" s="19">
        <v>0</v>
      </c>
      <c r="S95" s="19">
        <v>0</v>
      </c>
      <c r="T95" s="19"/>
      <c r="U95" s="19"/>
      <c r="V95" s="19">
        <v>0</v>
      </c>
      <c r="W95" s="19"/>
      <c r="X95" s="8" t="str">
        <v>滚烫熔岩（爆炸）岩浆</v>
      </c>
      <c r="Y95" s="8" t="str">
        <v>梅瑟莫的火球（爆炸）-蓄力</v>
      </c>
    </row>
    <row r="96" spans="1:25" x14ac:dyDescent="0.3">
      <c r="A96" s="19">
        <v>48210</v>
      </c>
      <c r="B96" s="59" t="s">
        <v>132</v>
      </c>
      <c r="C96" s="19">
        <v>1</v>
      </c>
      <c r="D96" s="19">
        <v>21</v>
      </c>
      <c r="E96" s="19">
        <v>12</v>
      </c>
      <c r="F96" s="19">
        <v>0</v>
      </c>
      <c r="G96" s="19">
        <v>0</v>
      </c>
      <c r="H96" s="19">
        <v>0</v>
      </c>
      <c r="I96" s="19">
        <v>325</v>
      </c>
      <c r="J96" s="19">
        <v>0</v>
      </c>
      <c r="K96" s="19">
        <v>0</v>
      </c>
      <c r="L96" s="19" t="s">
        <v>45</v>
      </c>
      <c r="M96" s="19" t="s">
        <v>307</v>
      </c>
      <c r="N96" s="19" t="s">
        <v>47</v>
      </c>
      <c r="O96" s="19" t="s">
        <v>311</v>
      </c>
      <c r="P96" s="19" t="s">
        <v>28</v>
      </c>
      <c r="Q96" s="19">
        <v>28</v>
      </c>
      <c r="R96" s="19">
        <v>9.25</v>
      </c>
      <c r="S96" s="19">
        <v>1</v>
      </c>
      <c r="T96" s="19"/>
      <c r="U96" s="19"/>
      <c r="V96" s="19">
        <v>0</v>
      </c>
      <c r="W96" s="19"/>
      <c r="X96" s="8" t="str">
        <v>滚烫熔岩（直击）-蓄力</v>
      </c>
      <c r="Y96" s="8" t="str">
        <v>黑焰</v>
      </c>
    </row>
    <row r="97" spans="1:25" x14ac:dyDescent="0.3">
      <c r="A97" s="19">
        <v>48214</v>
      </c>
      <c r="B97" s="59" t="s">
        <v>133</v>
      </c>
      <c r="C97" s="19">
        <v>1</v>
      </c>
      <c r="D97" s="19">
        <v>21</v>
      </c>
      <c r="E97" s="19">
        <v>12</v>
      </c>
      <c r="F97" s="19">
        <v>0</v>
      </c>
      <c r="G97" s="19">
        <v>0</v>
      </c>
      <c r="H97" s="19">
        <v>0</v>
      </c>
      <c r="I97" s="19">
        <v>390</v>
      </c>
      <c r="J97" s="19">
        <v>0</v>
      </c>
      <c r="K97" s="19">
        <v>0</v>
      </c>
      <c r="L97" s="19" t="s">
        <v>45</v>
      </c>
      <c r="M97" s="19" t="s">
        <v>307</v>
      </c>
      <c r="N97" s="19" t="s">
        <v>47</v>
      </c>
      <c r="O97" s="19" t="s">
        <v>311</v>
      </c>
      <c r="P97" s="19" t="s">
        <v>28</v>
      </c>
      <c r="Q97" s="19">
        <v>28</v>
      </c>
      <c r="R97" s="19">
        <v>18</v>
      </c>
      <c r="S97" s="19">
        <v>3</v>
      </c>
      <c r="T97" s="19"/>
      <c r="U97" s="19"/>
      <c r="V97" s="19">
        <v>0</v>
      </c>
      <c r="W97" s="19"/>
      <c r="X97" s="8" t="str">
        <v>滚烫熔岩（爆炸）-蓄力</v>
      </c>
      <c r="Y97" s="8" t="str">
        <v>黑焰-蓄力</v>
      </c>
    </row>
    <row r="98" spans="1:25" x14ac:dyDescent="0.3">
      <c r="A98" s="19">
        <v>48216</v>
      </c>
      <c r="B98" s="59" t="s">
        <v>809</v>
      </c>
      <c r="C98" s="19">
        <v>3</v>
      </c>
      <c r="D98" s="19">
        <v>21</v>
      </c>
      <c r="E98" s="19">
        <v>12</v>
      </c>
      <c r="F98" s="19">
        <v>0</v>
      </c>
      <c r="G98" s="19">
        <v>0</v>
      </c>
      <c r="H98" s="19">
        <v>0</v>
      </c>
      <c r="I98" s="19">
        <v>48</v>
      </c>
      <c r="J98" s="19">
        <v>0</v>
      </c>
      <c r="K98" s="19">
        <v>0</v>
      </c>
      <c r="L98" s="19" t="s">
        <v>45</v>
      </c>
      <c r="M98" s="19" t="s">
        <v>307</v>
      </c>
      <c r="N98" s="19" t="s">
        <v>47</v>
      </c>
      <c r="O98" s="19" t="s">
        <v>311</v>
      </c>
      <c r="P98" s="19" t="s">
        <v>28</v>
      </c>
      <c r="Q98" s="19">
        <v>28</v>
      </c>
      <c r="R98" s="19">
        <v>0</v>
      </c>
      <c r="S98" s="19">
        <v>0</v>
      </c>
      <c r="T98" s="19"/>
      <c r="U98" s="19"/>
      <c r="V98" s="19">
        <v>0</v>
      </c>
      <c r="W98" s="19"/>
      <c r="X98" s="8" t="str">
        <v>滚烫熔岩（爆炸）岩浆-蓄力</v>
      </c>
      <c r="Y98" s="8" t="str">
        <v>横扫黑焰</v>
      </c>
    </row>
    <row r="99" spans="1:25" x14ac:dyDescent="0.3">
      <c r="A99" s="19">
        <v>48300</v>
      </c>
      <c r="B99" s="59" t="s">
        <v>134</v>
      </c>
      <c r="C99" s="19">
        <v>1</v>
      </c>
      <c r="D99" s="19">
        <v>40</v>
      </c>
      <c r="E99" s="19">
        <v>18</v>
      </c>
      <c r="F99" s="19">
        <v>0</v>
      </c>
      <c r="G99" s="19">
        <v>0</v>
      </c>
      <c r="H99" s="19">
        <v>0</v>
      </c>
      <c r="I99" s="19">
        <v>150</v>
      </c>
      <c r="J99" s="19">
        <v>0</v>
      </c>
      <c r="K99" s="19">
        <v>0</v>
      </c>
      <c r="L99" s="19" t="s">
        <v>45</v>
      </c>
      <c r="M99" s="19" t="s">
        <v>307</v>
      </c>
      <c r="N99" s="19" t="s">
        <v>45</v>
      </c>
      <c r="O99" s="19" t="s">
        <v>45</v>
      </c>
      <c r="P99" s="19" t="s">
        <v>28</v>
      </c>
      <c r="Q99" s="19">
        <v>23</v>
      </c>
      <c r="R99" s="19">
        <v>5</v>
      </c>
      <c r="S99" s="19">
        <v>2</v>
      </c>
      <c r="T99" s="19"/>
      <c r="U99" s="19"/>
      <c r="V99" s="19">
        <v>0</v>
      </c>
      <c r="W99" s="19"/>
      <c r="X99" s="8" t="str">
        <v>拉卡德的怨魂</v>
      </c>
      <c r="Y99" s="8" t="str">
        <v>横扫黑焰-蓄力</v>
      </c>
    </row>
    <row r="100" spans="1:25" x14ac:dyDescent="0.3">
      <c r="A100" s="19">
        <v>44000</v>
      </c>
      <c r="B100" s="59" t="s">
        <v>92</v>
      </c>
      <c r="C100" s="19">
        <v>1</v>
      </c>
      <c r="D100" s="19">
        <v>15</v>
      </c>
      <c r="E100" s="19">
        <v>0</v>
      </c>
      <c r="F100" s="19">
        <v>0</v>
      </c>
      <c r="G100" s="19">
        <v>0</v>
      </c>
      <c r="H100" s="19">
        <v>199</v>
      </c>
      <c r="I100" s="19">
        <v>0</v>
      </c>
      <c r="J100" s="19">
        <v>0</v>
      </c>
      <c r="K100" s="19">
        <v>0</v>
      </c>
      <c r="L100" s="19" t="s">
        <v>45</v>
      </c>
      <c r="M100" s="19" t="s">
        <v>84</v>
      </c>
      <c r="N100" s="19" t="s">
        <v>45</v>
      </c>
      <c r="O100" s="19" t="s">
        <v>45</v>
      </c>
      <c r="P100" s="19" t="s">
        <v>28</v>
      </c>
      <c r="Q100" s="19">
        <v>12</v>
      </c>
      <c r="R100" s="19">
        <v>5.5</v>
      </c>
      <c r="S100" s="19">
        <v>1</v>
      </c>
      <c r="T100" s="19">
        <v>100</v>
      </c>
      <c r="U100" s="19" t="s">
        <v>614</v>
      </c>
      <c r="V100" s="19">
        <v>0</v>
      </c>
      <c r="W100" s="19"/>
      <c r="X100" s="8" t="str">
        <v>辉石冰块</v>
      </c>
      <c r="Y100" s="8" t="str">
        <v>黑焰仪式</v>
      </c>
    </row>
    <row r="101" spans="1:25" x14ac:dyDescent="0.3">
      <c r="A101" s="19">
        <v>44100</v>
      </c>
      <c r="B101" s="59" t="s">
        <v>93</v>
      </c>
      <c r="C101" s="19">
        <v>1</v>
      </c>
      <c r="D101" s="19">
        <v>36</v>
      </c>
      <c r="E101" s="19">
        <v>0</v>
      </c>
      <c r="F101" s="19">
        <v>0</v>
      </c>
      <c r="G101" s="19">
        <v>0</v>
      </c>
      <c r="H101" s="19">
        <v>99</v>
      </c>
      <c r="I101" s="19">
        <v>0</v>
      </c>
      <c r="J101" s="19">
        <v>0</v>
      </c>
      <c r="K101" s="19">
        <v>0</v>
      </c>
      <c r="L101" s="19" t="s">
        <v>45</v>
      </c>
      <c r="M101" s="19" t="s">
        <v>84</v>
      </c>
      <c r="N101" s="19" t="s">
        <v>45</v>
      </c>
      <c r="O101" s="19" t="s">
        <v>323</v>
      </c>
      <c r="P101" s="19" t="s">
        <v>28</v>
      </c>
      <c r="Q101" s="19">
        <v>17</v>
      </c>
      <c r="R101" s="19">
        <v>8</v>
      </c>
      <c r="S101" s="19">
        <v>8</v>
      </c>
      <c r="T101" s="19">
        <v>80</v>
      </c>
      <c r="U101" s="19" t="s">
        <v>614</v>
      </c>
      <c r="V101" s="19">
        <v>0</v>
      </c>
      <c r="W101" s="19"/>
      <c r="X101" s="8" t="str">
        <v>萨米尔冰风暴-第一下</v>
      </c>
      <c r="Y101" s="8" t="str">
        <v>黑焰仪式-蓄力</v>
      </c>
    </row>
    <row r="102" spans="1:25" x14ac:dyDescent="0.3">
      <c r="A102" s="19">
        <v>44101</v>
      </c>
      <c r="B102" s="59" t="s">
        <v>94</v>
      </c>
      <c r="C102" s="19">
        <v>5</v>
      </c>
      <c r="D102" s="19">
        <v>36</v>
      </c>
      <c r="E102" s="19">
        <v>0</v>
      </c>
      <c r="F102" s="19">
        <v>0</v>
      </c>
      <c r="G102" s="19">
        <v>0</v>
      </c>
      <c r="H102" s="19">
        <v>74</v>
      </c>
      <c r="I102" s="19">
        <v>0</v>
      </c>
      <c r="J102" s="19">
        <v>0</v>
      </c>
      <c r="K102" s="19">
        <v>0</v>
      </c>
      <c r="L102" s="19" t="s">
        <v>45</v>
      </c>
      <c r="M102" s="19" t="s">
        <v>84</v>
      </c>
      <c r="N102" s="19" t="s">
        <v>45</v>
      </c>
      <c r="O102" s="19" t="s">
        <v>323</v>
      </c>
      <c r="P102" s="19" t="s">
        <v>28</v>
      </c>
      <c r="Q102" s="19">
        <v>17</v>
      </c>
      <c r="R102" s="19">
        <v>2</v>
      </c>
      <c r="S102" s="19">
        <v>8</v>
      </c>
      <c r="T102" s="19">
        <v>80</v>
      </c>
      <c r="U102" s="19" t="s">
        <v>614</v>
      </c>
      <c r="V102" s="19">
        <v>0</v>
      </c>
      <c r="W102" s="19"/>
      <c r="X102" s="8" t="str">
        <v>萨米尔冰风暴-后续</v>
      </c>
      <c r="Y102" s="8" t="str">
        <v>贵族气场</v>
      </c>
    </row>
    <row r="103" spans="1:25" x14ac:dyDescent="0.3">
      <c r="A103" s="19">
        <v>44105</v>
      </c>
      <c r="B103" s="59" t="s">
        <v>95</v>
      </c>
      <c r="C103" s="19">
        <v>1</v>
      </c>
      <c r="D103" s="19">
        <v>36</v>
      </c>
      <c r="E103" s="19">
        <v>0</v>
      </c>
      <c r="F103" s="19">
        <v>0</v>
      </c>
      <c r="G103" s="19">
        <v>0</v>
      </c>
      <c r="H103" s="19">
        <v>104</v>
      </c>
      <c r="I103" s="19">
        <v>0</v>
      </c>
      <c r="J103" s="19">
        <v>0</v>
      </c>
      <c r="K103" s="19">
        <v>0</v>
      </c>
      <c r="L103" s="19" t="s">
        <v>45</v>
      </c>
      <c r="M103" s="19" t="s">
        <v>84</v>
      </c>
      <c r="N103" s="19" t="s">
        <v>47</v>
      </c>
      <c r="O103" s="19" t="s">
        <v>323</v>
      </c>
      <c r="P103" s="19" t="s">
        <v>28</v>
      </c>
      <c r="Q103" s="19">
        <v>17</v>
      </c>
      <c r="R103" s="19">
        <v>10.175000000000001</v>
      </c>
      <c r="S103" s="19">
        <v>8</v>
      </c>
      <c r="T103" s="19">
        <v>80</v>
      </c>
      <c r="U103" s="19" t="s">
        <v>614</v>
      </c>
      <c r="V103" s="19">
        <v>0</v>
      </c>
      <c r="W103" s="19"/>
      <c r="X103" s="8" t="str">
        <v>萨米尔冰风暴-蓄力第一下</v>
      </c>
      <c r="Y103" s="8" t="str">
        <v>贵族气场-蓄力</v>
      </c>
    </row>
    <row r="104" spans="1:25" x14ac:dyDescent="0.3">
      <c r="A104" s="19">
        <v>44106</v>
      </c>
      <c r="B104" s="59" t="s">
        <v>96</v>
      </c>
      <c r="C104" s="19">
        <v>8</v>
      </c>
      <c r="D104" s="19">
        <v>36</v>
      </c>
      <c r="E104" s="19">
        <v>0</v>
      </c>
      <c r="F104" s="19">
        <v>0</v>
      </c>
      <c r="G104" s="19">
        <v>0</v>
      </c>
      <c r="H104" s="19">
        <v>79</v>
      </c>
      <c r="I104" s="19">
        <v>0</v>
      </c>
      <c r="J104" s="19">
        <v>0</v>
      </c>
      <c r="K104" s="19">
        <v>0</v>
      </c>
      <c r="L104" s="19" t="s">
        <v>45</v>
      </c>
      <c r="M104" s="19" t="s">
        <v>84</v>
      </c>
      <c r="N104" s="19" t="s">
        <v>47</v>
      </c>
      <c r="O104" s="19" t="s">
        <v>323</v>
      </c>
      <c r="P104" s="19" t="s">
        <v>28</v>
      </c>
      <c r="Q104" s="19">
        <v>17</v>
      </c>
      <c r="R104" s="19">
        <v>3.7</v>
      </c>
      <c r="S104" s="19">
        <v>8</v>
      </c>
      <c r="T104" s="19">
        <v>80</v>
      </c>
      <c r="U104" s="19" t="s">
        <v>614</v>
      </c>
      <c r="V104" s="19">
        <v>0</v>
      </c>
      <c r="W104" s="19"/>
      <c r="X104" s="8" t="str">
        <v>萨米尔冰风暴-蓄力后续</v>
      </c>
      <c r="Y104" s="8" t="str">
        <v>兽爪</v>
      </c>
    </row>
    <row r="105" spans="1:25" x14ac:dyDescent="0.3">
      <c r="A105" s="19">
        <v>45000</v>
      </c>
      <c r="B105" s="59" t="s">
        <v>104</v>
      </c>
      <c r="C105" s="19">
        <v>3</v>
      </c>
      <c r="D105" s="19">
        <v>38</v>
      </c>
      <c r="E105" s="19">
        <v>0</v>
      </c>
      <c r="F105" s="19">
        <v>0</v>
      </c>
      <c r="G105" s="19">
        <v>0</v>
      </c>
      <c r="H105" s="19">
        <v>127</v>
      </c>
      <c r="I105" s="19">
        <v>0</v>
      </c>
      <c r="J105" s="19">
        <v>0</v>
      </c>
      <c r="K105" s="19">
        <v>0</v>
      </c>
      <c r="L105" s="19" t="s">
        <v>45</v>
      </c>
      <c r="M105" s="19" t="s">
        <v>105</v>
      </c>
      <c r="N105" s="19" t="s">
        <v>45</v>
      </c>
      <c r="O105" s="19" t="s">
        <v>45</v>
      </c>
      <c r="P105" s="19" t="s">
        <v>28</v>
      </c>
      <c r="Q105" s="19">
        <v>21</v>
      </c>
      <c r="R105" s="19">
        <v>2.8</v>
      </c>
      <c r="S105" s="19">
        <v>1</v>
      </c>
      <c r="T105" s="19"/>
      <c r="U105" s="19"/>
      <c r="V105" s="19">
        <v>0</v>
      </c>
      <c r="W105" s="19"/>
      <c r="X105" s="8" t="str">
        <v>爆散结晶-全命中</v>
      </c>
      <c r="Y105" s="8" t="str">
        <v>兽爪-蓄力</v>
      </c>
    </row>
    <row r="106" spans="1:25" x14ac:dyDescent="0.3">
      <c r="A106" s="19">
        <v>45001</v>
      </c>
      <c r="B106" s="59" t="s">
        <v>106</v>
      </c>
      <c r="C106" s="19">
        <v>3</v>
      </c>
      <c r="D106" s="19">
        <v>38</v>
      </c>
      <c r="E106" s="19">
        <v>0</v>
      </c>
      <c r="F106" s="19">
        <v>0</v>
      </c>
      <c r="G106" s="19">
        <v>0</v>
      </c>
      <c r="H106" s="19">
        <v>60</v>
      </c>
      <c r="I106" s="19">
        <v>0</v>
      </c>
      <c r="J106" s="19">
        <v>0</v>
      </c>
      <c r="K106" s="19">
        <v>0</v>
      </c>
      <c r="L106" s="19" t="s">
        <v>45</v>
      </c>
      <c r="M106" s="19" t="s">
        <v>105</v>
      </c>
      <c r="N106" s="19" t="s">
        <v>45</v>
      </c>
      <c r="O106" s="19" t="s">
        <v>45</v>
      </c>
      <c r="P106" s="19" t="s">
        <v>28</v>
      </c>
      <c r="Q106" s="19">
        <v>21</v>
      </c>
      <c r="R106" s="19">
        <v>2.8</v>
      </c>
      <c r="S106" s="19">
        <v>2</v>
      </c>
      <c r="T106" s="19"/>
      <c r="U106" s="19"/>
      <c r="V106" s="19">
        <v>0</v>
      </c>
      <c r="W106" s="19"/>
      <c r="X106" s="8" t="str">
        <v>爆散结晶-部分命中1</v>
      </c>
      <c r="Y106" s="8" t="str">
        <v>古兰格的兽爪（拍地）</v>
      </c>
    </row>
    <row r="107" spans="1:25" x14ac:dyDescent="0.3">
      <c r="A107" s="19">
        <v>45002</v>
      </c>
      <c r="B107" s="59" t="s">
        <v>107</v>
      </c>
      <c r="C107" s="19">
        <v>3</v>
      </c>
      <c r="D107" s="19">
        <v>38</v>
      </c>
      <c r="E107" s="19">
        <v>0</v>
      </c>
      <c r="F107" s="19">
        <v>0</v>
      </c>
      <c r="G107" s="19">
        <v>0</v>
      </c>
      <c r="H107" s="19">
        <v>51</v>
      </c>
      <c r="I107" s="19">
        <v>0</v>
      </c>
      <c r="J107" s="19">
        <v>0</v>
      </c>
      <c r="K107" s="19">
        <v>0</v>
      </c>
      <c r="L107" s="19" t="s">
        <v>45</v>
      </c>
      <c r="M107" s="19" t="s">
        <v>105</v>
      </c>
      <c r="N107" s="19" t="s">
        <v>45</v>
      </c>
      <c r="O107" s="19" t="s">
        <v>45</v>
      </c>
      <c r="P107" s="19" t="s">
        <v>28</v>
      </c>
      <c r="Q107" s="19">
        <v>21</v>
      </c>
      <c r="R107" s="19">
        <v>2.8</v>
      </c>
      <c r="S107" s="19">
        <v>8</v>
      </c>
      <c r="T107" s="19"/>
      <c r="U107" s="19"/>
      <c r="V107" s="19">
        <v>0</v>
      </c>
      <c r="W107" s="19"/>
      <c r="X107" s="8" t="str">
        <v>爆散结晶-部分命中2</v>
      </c>
      <c r="Y107" s="8" t="str">
        <v>古兰格的兽爪（爪）</v>
      </c>
    </row>
    <row r="108" spans="1:25" x14ac:dyDescent="0.3">
      <c r="A108" s="19">
        <v>45005</v>
      </c>
      <c r="B108" s="59" t="s">
        <v>108</v>
      </c>
      <c r="C108" s="19">
        <v>3</v>
      </c>
      <c r="D108" s="19">
        <v>38</v>
      </c>
      <c r="E108" s="19">
        <v>0</v>
      </c>
      <c r="F108" s="19">
        <v>0</v>
      </c>
      <c r="G108" s="19">
        <v>0</v>
      </c>
      <c r="H108" s="19">
        <v>160</v>
      </c>
      <c r="I108" s="19">
        <v>0</v>
      </c>
      <c r="J108" s="19">
        <v>0</v>
      </c>
      <c r="K108" s="19">
        <v>0</v>
      </c>
      <c r="L108" s="19" t="s">
        <v>45</v>
      </c>
      <c r="M108" s="19" t="s">
        <v>105</v>
      </c>
      <c r="N108" s="19" t="s">
        <v>47</v>
      </c>
      <c r="O108" s="19" t="s">
        <v>45</v>
      </c>
      <c r="P108" s="19" t="s">
        <v>28</v>
      </c>
      <c r="Q108" s="19">
        <v>21</v>
      </c>
      <c r="R108" s="19">
        <v>4.2</v>
      </c>
      <c r="S108" s="19">
        <v>1</v>
      </c>
      <c r="T108" s="19"/>
      <c r="U108" s="19"/>
      <c r="V108" s="19">
        <v>0</v>
      </c>
      <c r="W108" s="19"/>
      <c r="X108" s="8" t="str">
        <v>爆散结晶-蓄力全命中</v>
      </c>
      <c r="Y108" s="8" t="str">
        <v>兽石</v>
      </c>
    </row>
    <row r="109" spans="1:25" x14ac:dyDescent="0.3">
      <c r="A109" s="19">
        <v>45006</v>
      </c>
      <c r="B109" s="59" t="s">
        <v>109</v>
      </c>
      <c r="C109" s="19">
        <v>3</v>
      </c>
      <c r="D109" s="19">
        <v>38</v>
      </c>
      <c r="E109" s="19">
        <v>0</v>
      </c>
      <c r="F109" s="19">
        <v>0</v>
      </c>
      <c r="G109" s="19">
        <v>0</v>
      </c>
      <c r="H109" s="19">
        <v>75</v>
      </c>
      <c r="I109" s="19">
        <v>0</v>
      </c>
      <c r="J109" s="19">
        <v>0</v>
      </c>
      <c r="K109" s="19">
        <v>0</v>
      </c>
      <c r="L109" s="19" t="s">
        <v>45</v>
      </c>
      <c r="M109" s="19" t="s">
        <v>105</v>
      </c>
      <c r="N109" s="19" t="s">
        <v>47</v>
      </c>
      <c r="O109" s="19" t="s">
        <v>45</v>
      </c>
      <c r="P109" s="19" t="s">
        <v>28</v>
      </c>
      <c r="Q109" s="19">
        <v>21</v>
      </c>
      <c r="R109" s="19">
        <v>4.2</v>
      </c>
      <c r="S109" s="19">
        <v>2</v>
      </c>
      <c r="T109" s="19"/>
      <c r="U109" s="19"/>
      <c r="V109" s="19">
        <v>0</v>
      </c>
      <c r="W109" s="19"/>
      <c r="X109" s="8" t="str">
        <v>爆散结晶-蓄力部分命中1</v>
      </c>
      <c r="Y109" s="8" t="str">
        <v>古兰格的岩石</v>
      </c>
    </row>
    <row r="110" spans="1:25" x14ac:dyDescent="0.3">
      <c r="A110" s="19">
        <v>45007</v>
      </c>
      <c r="B110" s="59" t="s">
        <v>110</v>
      </c>
      <c r="C110" s="19">
        <v>3</v>
      </c>
      <c r="D110" s="19">
        <v>38</v>
      </c>
      <c r="E110" s="19">
        <v>0</v>
      </c>
      <c r="F110" s="19">
        <v>0</v>
      </c>
      <c r="G110" s="19">
        <v>0</v>
      </c>
      <c r="H110" s="19">
        <v>67</v>
      </c>
      <c r="I110" s="19">
        <v>0</v>
      </c>
      <c r="J110" s="19">
        <v>0</v>
      </c>
      <c r="K110" s="19">
        <v>0</v>
      </c>
      <c r="L110" s="19" t="s">
        <v>45</v>
      </c>
      <c r="M110" s="19" t="s">
        <v>105</v>
      </c>
      <c r="N110" s="19" t="s">
        <v>47</v>
      </c>
      <c r="O110" s="19" t="s">
        <v>45</v>
      </c>
      <c r="P110" s="19" t="s">
        <v>28</v>
      </c>
      <c r="Q110" s="19">
        <v>21</v>
      </c>
      <c r="R110" s="19">
        <v>4.2</v>
      </c>
      <c r="S110" s="19">
        <v>8</v>
      </c>
      <c r="T110" s="19"/>
      <c r="U110" s="19"/>
      <c r="V110" s="19">
        <v>0</v>
      </c>
      <c r="W110" s="19"/>
      <c r="X110" s="8" t="str">
        <v>爆散结晶-蓄力部分命中2</v>
      </c>
      <c r="Y110" s="8" t="str">
        <v>鲁格利亚的咆哮</v>
      </c>
    </row>
    <row r="111" spans="1:25" x14ac:dyDescent="0.3">
      <c r="A111" s="19">
        <v>45200</v>
      </c>
      <c r="B111" s="59" t="s">
        <v>112</v>
      </c>
      <c r="C111" s="19">
        <v>5</v>
      </c>
      <c r="D111" s="19">
        <v>47</v>
      </c>
      <c r="E111" s="19">
        <v>0</v>
      </c>
      <c r="F111" s="19">
        <v>0</v>
      </c>
      <c r="G111" s="19">
        <v>0</v>
      </c>
      <c r="H111" s="19">
        <v>57</v>
      </c>
      <c r="I111" s="19">
        <v>0</v>
      </c>
      <c r="J111" s="19">
        <v>0</v>
      </c>
      <c r="K111" s="19">
        <v>0</v>
      </c>
      <c r="L111" s="19" t="s">
        <v>45</v>
      </c>
      <c r="M111" s="19" t="s">
        <v>105</v>
      </c>
      <c r="N111" s="19" t="s">
        <v>45</v>
      </c>
      <c r="O111" s="19" t="s">
        <v>45</v>
      </c>
      <c r="P111" s="19" t="s">
        <v>28</v>
      </c>
      <c r="Q111" s="19">
        <v>20</v>
      </c>
      <c r="R111" s="19">
        <v>0.5</v>
      </c>
      <c r="S111" s="19">
        <v>8</v>
      </c>
      <c r="T111" s="19"/>
      <c r="U111" s="19"/>
      <c r="V111" s="19">
        <v>0</v>
      </c>
      <c r="W111" s="19"/>
      <c r="X111" s="8" t="str">
        <v>奔放结晶</v>
      </c>
      <c r="Y111" s="8" t="str">
        <v>鲁格利亚的咆哮-蓄力-1</v>
      </c>
    </row>
    <row r="112" spans="1:25" x14ac:dyDescent="0.3">
      <c r="A112" s="19">
        <v>45101</v>
      </c>
      <c r="B112" s="59" t="s">
        <v>778</v>
      </c>
      <c r="C112" s="19">
        <v>1</v>
      </c>
      <c r="D112" s="19">
        <v>41</v>
      </c>
      <c r="E112" s="19">
        <v>0</v>
      </c>
      <c r="F112" s="19">
        <v>0</v>
      </c>
      <c r="G112" s="19">
        <v>0</v>
      </c>
      <c r="H112" s="19">
        <v>125</v>
      </c>
      <c r="I112" s="19">
        <v>0</v>
      </c>
      <c r="J112" s="19">
        <v>0</v>
      </c>
      <c r="K112" s="19">
        <v>0</v>
      </c>
      <c r="L112" s="19" t="s">
        <v>45</v>
      </c>
      <c r="M112" s="19" t="s">
        <v>105</v>
      </c>
      <c r="N112" s="19" t="s">
        <v>45</v>
      </c>
      <c r="O112" s="19" t="s">
        <v>45</v>
      </c>
      <c r="P112" s="19" t="s">
        <v>28</v>
      </c>
      <c r="Q112" s="19">
        <v>34</v>
      </c>
      <c r="R112" s="19">
        <v>2.6</v>
      </c>
      <c r="S112" s="19">
        <v>1</v>
      </c>
      <c r="T112" s="19"/>
      <c r="U112" s="19"/>
      <c r="V112" s="19">
        <v>0</v>
      </c>
      <c r="W112" s="19"/>
      <c r="X112" s="8" t="str">
        <v>飞散结晶-升空</v>
      </c>
      <c r="Y112" s="8" t="str">
        <v>鲁格利亚的咆哮-蓄力持续</v>
      </c>
    </row>
    <row r="113" spans="1:25" x14ac:dyDescent="0.3">
      <c r="A113" s="19">
        <v>45100</v>
      </c>
      <c r="B113" s="59" t="s">
        <v>111</v>
      </c>
      <c r="C113" s="19">
        <v>12</v>
      </c>
      <c r="D113" s="19">
        <v>41</v>
      </c>
      <c r="E113" s="19">
        <v>0</v>
      </c>
      <c r="F113" s="19">
        <v>0</v>
      </c>
      <c r="G113" s="19">
        <v>0</v>
      </c>
      <c r="H113" s="19">
        <v>100</v>
      </c>
      <c r="I113" s="19">
        <v>0</v>
      </c>
      <c r="J113" s="19">
        <v>0</v>
      </c>
      <c r="K113" s="19">
        <v>0</v>
      </c>
      <c r="L113" s="19" t="s">
        <v>45</v>
      </c>
      <c r="M113" s="19" t="s">
        <v>105</v>
      </c>
      <c r="N113" s="19" t="s">
        <v>45</v>
      </c>
      <c r="O113" s="19" t="s">
        <v>45</v>
      </c>
      <c r="P113" s="19" t="s">
        <v>28</v>
      </c>
      <c r="Q113" s="19">
        <v>34</v>
      </c>
      <c r="R113" s="19">
        <v>2.6</v>
      </c>
      <c r="S113" s="19">
        <v>8</v>
      </c>
      <c r="T113" s="19"/>
      <c r="U113" s="19"/>
      <c r="V113" s="19">
        <v>0</v>
      </c>
      <c r="W113" s="19"/>
      <c r="X113" s="8" t="str">
        <v>飞散结晶</v>
      </c>
      <c r="Y113" s="8" t="str">
        <v>鲁格利亚的咆哮-蓄力-2</v>
      </c>
    </row>
    <row r="114" spans="1:25" x14ac:dyDescent="0.3">
      <c r="A114" s="19">
        <v>47200</v>
      </c>
      <c r="B114" s="59" t="s">
        <v>120</v>
      </c>
      <c r="C114" s="19">
        <v>1</v>
      </c>
      <c r="D114" s="19">
        <v>17</v>
      </c>
      <c r="E114" s="19">
        <v>0</v>
      </c>
      <c r="F114" s="19">
        <v>0</v>
      </c>
      <c r="G114" s="19">
        <v>0</v>
      </c>
      <c r="H114" s="19">
        <v>148</v>
      </c>
      <c r="I114" s="19">
        <v>0</v>
      </c>
      <c r="J114" s="19">
        <v>0</v>
      </c>
      <c r="K114" s="19">
        <v>0</v>
      </c>
      <c r="L114" s="19" t="s">
        <v>45</v>
      </c>
      <c r="M114" s="19" t="s">
        <v>118</v>
      </c>
      <c r="N114" s="19" t="s">
        <v>45</v>
      </c>
      <c r="O114" s="19" t="s">
        <v>45</v>
      </c>
      <c r="P114" s="19" t="s">
        <v>28</v>
      </c>
      <c r="Q114" s="19">
        <v>12</v>
      </c>
      <c r="R114" s="19">
        <v>5</v>
      </c>
      <c r="S114" s="19">
        <v>2</v>
      </c>
      <c r="T114" s="19"/>
      <c r="U114" s="19"/>
      <c r="V114" s="19">
        <v>0</v>
      </c>
      <c r="W114" s="19"/>
      <c r="X114" s="8" t="str">
        <v>重力球</v>
      </c>
      <c r="Y114" s="8" t="str">
        <v>鲁格利亚的咆哮-蓄力-3</v>
      </c>
    </row>
    <row r="115" spans="1:25" x14ac:dyDescent="0.3">
      <c r="A115" s="19">
        <v>47205</v>
      </c>
      <c r="B115" s="59" t="s">
        <v>121</v>
      </c>
      <c r="C115" s="19">
        <v>1</v>
      </c>
      <c r="D115" s="19">
        <v>17</v>
      </c>
      <c r="E115" s="19">
        <v>0</v>
      </c>
      <c r="F115" s="19">
        <v>0</v>
      </c>
      <c r="G115" s="19">
        <v>0</v>
      </c>
      <c r="H115" s="19">
        <v>180</v>
      </c>
      <c r="I115" s="19">
        <v>0</v>
      </c>
      <c r="J115" s="19">
        <v>0</v>
      </c>
      <c r="K115" s="19">
        <v>0</v>
      </c>
      <c r="L115" s="19" t="s">
        <v>45</v>
      </c>
      <c r="M115" s="19" t="s">
        <v>118</v>
      </c>
      <c r="N115" s="19" t="s">
        <v>47</v>
      </c>
      <c r="O115" s="19" t="s">
        <v>45</v>
      </c>
      <c r="P115" s="19" t="s">
        <v>28</v>
      </c>
      <c r="Q115" s="19">
        <v>12</v>
      </c>
      <c r="R115" s="19">
        <v>9.25</v>
      </c>
      <c r="S115" s="19">
        <v>2</v>
      </c>
      <c r="T115" s="19"/>
      <c r="U115" s="19"/>
      <c r="V115" s="19">
        <v>0</v>
      </c>
      <c r="W115" s="19"/>
      <c r="X115" s="8" t="str">
        <v>重力球-蓄力</v>
      </c>
      <c r="Y115" s="8" t="str">
        <v>蝇群</v>
      </c>
    </row>
    <row r="116" spans="1:25" x14ac:dyDescent="0.3">
      <c r="A116" s="19">
        <v>47210</v>
      </c>
      <c r="B116" s="59" t="s">
        <v>122</v>
      </c>
      <c r="C116" s="19">
        <v>9</v>
      </c>
      <c r="D116" s="19">
        <v>36</v>
      </c>
      <c r="E116" s="19">
        <v>0</v>
      </c>
      <c r="F116" s="19">
        <v>0</v>
      </c>
      <c r="G116" s="19">
        <v>0</v>
      </c>
      <c r="H116" s="19">
        <v>44</v>
      </c>
      <c r="I116" s="19">
        <v>0</v>
      </c>
      <c r="J116" s="19">
        <v>0</v>
      </c>
      <c r="K116" s="19">
        <v>0</v>
      </c>
      <c r="L116" s="19" t="s">
        <v>45</v>
      </c>
      <c r="M116" s="19" t="s">
        <v>118</v>
      </c>
      <c r="N116" s="19" t="s">
        <v>45</v>
      </c>
      <c r="O116" s="19" t="s">
        <v>45</v>
      </c>
      <c r="P116" s="19" t="s">
        <v>28</v>
      </c>
      <c r="Q116" s="19">
        <v>18</v>
      </c>
      <c r="R116" s="19">
        <v>1.5</v>
      </c>
      <c r="S116" s="19">
        <v>1</v>
      </c>
      <c r="T116" s="19"/>
      <c r="U116" s="19"/>
      <c r="V116" s="19">
        <v>0</v>
      </c>
      <c r="W116" s="19"/>
      <c r="X116" s="8" t="str">
        <v>碎星</v>
      </c>
      <c r="Y116" s="8" t="str">
        <v>蝇群（持续伤害）</v>
      </c>
    </row>
    <row r="117" spans="1:25" x14ac:dyDescent="0.3">
      <c r="A117" s="19">
        <v>47215</v>
      </c>
      <c r="B117" s="59" t="s">
        <v>123</v>
      </c>
      <c r="C117" s="19">
        <v>9</v>
      </c>
      <c r="D117" s="19">
        <v>36</v>
      </c>
      <c r="E117" s="19">
        <v>0</v>
      </c>
      <c r="F117" s="19">
        <v>0</v>
      </c>
      <c r="G117" s="19">
        <v>0</v>
      </c>
      <c r="H117" s="19">
        <v>49</v>
      </c>
      <c r="I117" s="19">
        <v>0</v>
      </c>
      <c r="J117" s="19">
        <v>0</v>
      </c>
      <c r="K117" s="19">
        <v>0</v>
      </c>
      <c r="L117" s="19" t="s">
        <v>45</v>
      </c>
      <c r="M117" s="19" t="s">
        <v>118</v>
      </c>
      <c r="N117" s="19" t="s">
        <v>47</v>
      </c>
      <c r="O117" s="19" t="s">
        <v>45</v>
      </c>
      <c r="P117" s="19" t="s">
        <v>28</v>
      </c>
      <c r="Q117" s="19">
        <v>18</v>
      </c>
      <c r="R117" s="19">
        <v>1.7</v>
      </c>
      <c r="S117" s="19">
        <v>1</v>
      </c>
      <c r="T117" s="19"/>
      <c r="U117" s="19"/>
      <c r="V117" s="19">
        <v>0</v>
      </c>
      <c r="W117" s="19"/>
      <c r="X117" s="8" t="str">
        <v>碎星-蓄力</v>
      </c>
      <c r="Y117" s="8" t="str">
        <v>安帕赫的狂刃（斩击）</v>
      </c>
    </row>
    <row r="118" spans="1:25" x14ac:dyDescent="0.3">
      <c r="A118" s="19">
        <v>210471001</v>
      </c>
      <c r="B118" s="59" t="s">
        <v>324</v>
      </c>
      <c r="C118" s="19">
        <v>2</v>
      </c>
      <c r="D118" s="19">
        <v>36</v>
      </c>
      <c r="E118" s="19">
        <v>0</v>
      </c>
      <c r="F118" s="19">
        <v>0</v>
      </c>
      <c r="G118" s="19">
        <v>0</v>
      </c>
      <c r="H118" s="19">
        <v>30</v>
      </c>
      <c r="I118" s="19">
        <v>0</v>
      </c>
      <c r="J118" s="19">
        <v>0</v>
      </c>
      <c r="K118" s="19">
        <v>0</v>
      </c>
      <c r="L118" s="19" t="s">
        <v>45</v>
      </c>
      <c r="M118" s="19" t="s">
        <v>118</v>
      </c>
      <c r="N118" s="19" t="s">
        <v>45</v>
      </c>
      <c r="O118" s="19" t="s">
        <v>45</v>
      </c>
      <c r="P118" s="19" t="s">
        <v>28</v>
      </c>
      <c r="Q118" s="19">
        <v>18</v>
      </c>
      <c r="R118" s="19">
        <v>3</v>
      </c>
      <c r="S118" s="19">
        <v>2</v>
      </c>
      <c r="T118" s="19"/>
      <c r="U118" s="19"/>
      <c r="V118" s="19">
        <v>0</v>
      </c>
      <c r="W118" s="19"/>
      <c r="X118" s="8" t="str">
        <v>引力球（吸引）</v>
      </c>
      <c r="Y118" s="8" t="str">
        <v>安帕赫的狂刃（爆炸）</v>
      </c>
    </row>
    <row r="119" spans="1:25" x14ac:dyDescent="0.3">
      <c r="A119" s="19">
        <v>210471002</v>
      </c>
      <c r="B119" s="59" t="s">
        <v>325</v>
      </c>
      <c r="C119" s="19">
        <v>1</v>
      </c>
      <c r="D119" s="19">
        <v>36</v>
      </c>
      <c r="E119" s="19">
        <v>0</v>
      </c>
      <c r="F119" s="19">
        <v>0</v>
      </c>
      <c r="G119" s="19">
        <v>0</v>
      </c>
      <c r="H119" s="19">
        <v>279</v>
      </c>
      <c r="I119" s="19">
        <v>0</v>
      </c>
      <c r="J119" s="19">
        <v>0</v>
      </c>
      <c r="K119" s="19">
        <v>0</v>
      </c>
      <c r="L119" s="19" t="s">
        <v>45</v>
      </c>
      <c r="M119" s="19" t="s">
        <v>118</v>
      </c>
      <c r="N119" s="19" t="s">
        <v>45</v>
      </c>
      <c r="O119" s="19" t="s">
        <v>45</v>
      </c>
      <c r="P119" s="19" t="s">
        <v>28</v>
      </c>
      <c r="Q119" s="19">
        <v>18</v>
      </c>
      <c r="R119" s="19">
        <v>10</v>
      </c>
      <c r="S119" s="19">
        <v>4</v>
      </c>
      <c r="T119" s="19"/>
      <c r="U119" s="19"/>
      <c r="V119" s="19">
        <v>0</v>
      </c>
      <c r="W119" s="19"/>
      <c r="X119" s="8" t="str">
        <v>引力球（爆炸）</v>
      </c>
      <c r="Y119" s="8" t="str">
        <v>安帕赫的狂刃（蓄力斩击）</v>
      </c>
    </row>
    <row r="120" spans="1:25" x14ac:dyDescent="0.3">
      <c r="A120" s="19">
        <v>210471051</v>
      </c>
      <c r="B120" s="59" t="s">
        <v>326</v>
      </c>
      <c r="C120" s="19">
        <v>3</v>
      </c>
      <c r="D120" s="19">
        <v>36</v>
      </c>
      <c r="E120" s="19">
        <v>0</v>
      </c>
      <c r="F120" s="19">
        <v>0</v>
      </c>
      <c r="G120" s="19">
        <v>0</v>
      </c>
      <c r="H120" s="19">
        <v>40</v>
      </c>
      <c r="I120" s="19">
        <v>0</v>
      </c>
      <c r="J120" s="19">
        <v>0</v>
      </c>
      <c r="K120" s="19">
        <v>0</v>
      </c>
      <c r="L120" s="19" t="s">
        <v>45</v>
      </c>
      <c r="M120" s="19" t="s">
        <v>118</v>
      </c>
      <c r="N120" s="19" t="s">
        <v>47</v>
      </c>
      <c r="O120" s="19" t="s">
        <v>45</v>
      </c>
      <c r="P120" s="19" t="s">
        <v>28</v>
      </c>
      <c r="Q120" s="19">
        <v>18</v>
      </c>
      <c r="R120" s="19">
        <v>3</v>
      </c>
      <c r="S120" s="19">
        <v>2</v>
      </c>
      <c r="T120" s="19"/>
      <c r="U120" s="19"/>
      <c r="V120" s="19">
        <v>0</v>
      </c>
      <c r="W120" s="19"/>
      <c r="X120" s="8" t="str">
        <v>引力球（吸引）-蓄力</v>
      </c>
      <c r="Y120" s="8" t="str">
        <v>安帕赫的狂刃（蓄力爆炸）</v>
      </c>
    </row>
    <row r="121" spans="1:25" x14ac:dyDescent="0.3">
      <c r="A121" s="19">
        <v>210471052</v>
      </c>
      <c r="B121" s="59" t="s">
        <v>327</v>
      </c>
      <c r="C121" s="19">
        <v>1</v>
      </c>
      <c r="D121" s="19">
        <v>36</v>
      </c>
      <c r="E121" s="19">
        <v>0</v>
      </c>
      <c r="F121" s="19">
        <v>0</v>
      </c>
      <c r="G121" s="19">
        <v>0</v>
      </c>
      <c r="H121" s="19">
        <v>338</v>
      </c>
      <c r="I121" s="19">
        <v>0</v>
      </c>
      <c r="J121" s="19">
        <v>0</v>
      </c>
      <c r="K121" s="19">
        <v>0</v>
      </c>
      <c r="L121" s="19" t="s">
        <v>45</v>
      </c>
      <c r="M121" s="19" t="s">
        <v>118</v>
      </c>
      <c r="N121" s="19" t="s">
        <v>47</v>
      </c>
      <c r="O121" s="19" t="s">
        <v>45</v>
      </c>
      <c r="P121" s="19" t="s">
        <v>28</v>
      </c>
      <c r="Q121" s="19">
        <v>18</v>
      </c>
      <c r="R121" s="19">
        <v>10</v>
      </c>
      <c r="S121" s="19">
        <v>4</v>
      </c>
      <c r="T121" s="19"/>
      <c r="U121" s="19"/>
      <c r="V121" s="19">
        <v>0</v>
      </c>
      <c r="W121" s="19"/>
      <c r="X121" s="8" t="str">
        <v>引力球（爆炸）-蓄力</v>
      </c>
      <c r="Y121" s="8" t="str">
        <v>血焰爪痕</v>
      </c>
    </row>
    <row r="122" spans="1:25" x14ac:dyDescent="0.3">
      <c r="A122" s="19">
        <v>47100</v>
      </c>
      <c r="B122" s="59" t="s">
        <v>119</v>
      </c>
      <c r="C122" s="19">
        <v>3</v>
      </c>
      <c r="D122" s="19">
        <v>18</v>
      </c>
      <c r="E122" s="19">
        <v>0</v>
      </c>
      <c r="F122" s="19">
        <v>0</v>
      </c>
      <c r="G122" s="19">
        <v>102</v>
      </c>
      <c r="H122" s="19">
        <v>0</v>
      </c>
      <c r="I122" s="19">
        <v>0</v>
      </c>
      <c r="J122" s="19">
        <v>0</v>
      </c>
      <c r="K122" s="19">
        <v>0</v>
      </c>
      <c r="L122" s="19" t="s">
        <v>432</v>
      </c>
      <c r="M122" s="19" t="s">
        <v>118</v>
      </c>
      <c r="N122" s="19" t="s">
        <v>45</v>
      </c>
      <c r="O122" s="19" t="s">
        <v>45</v>
      </c>
      <c r="P122" s="19" t="s">
        <v>28</v>
      </c>
      <c r="Q122" s="19">
        <v>18</v>
      </c>
      <c r="R122" s="19">
        <v>9.5</v>
      </c>
      <c r="S122" s="19">
        <v>2</v>
      </c>
      <c r="T122" s="19"/>
      <c r="U122" s="19"/>
      <c r="V122" s="19">
        <v>0</v>
      </c>
      <c r="W122" s="19"/>
      <c r="X122" s="8" t="str">
        <v>岩石球</v>
      </c>
      <c r="Y122" s="8" t="str">
        <v>授血</v>
      </c>
    </row>
    <row r="123" spans="1:25" x14ac:dyDescent="0.3">
      <c r="A123" s="19">
        <v>210470000</v>
      </c>
      <c r="B123" s="59" t="s">
        <v>328</v>
      </c>
      <c r="C123" s="19">
        <v>1</v>
      </c>
      <c r="D123" s="19">
        <v>48</v>
      </c>
      <c r="E123" s="19">
        <v>0</v>
      </c>
      <c r="F123" s="19">
        <v>0</v>
      </c>
      <c r="G123" s="19">
        <v>261</v>
      </c>
      <c r="H123" s="19">
        <v>0</v>
      </c>
      <c r="I123" s="19">
        <v>0</v>
      </c>
      <c r="J123" s="19">
        <v>0</v>
      </c>
      <c r="K123" s="19">
        <v>0</v>
      </c>
      <c r="L123" s="19" t="s">
        <v>432</v>
      </c>
      <c r="M123" s="19" t="s">
        <v>118</v>
      </c>
      <c r="N123" s="19" t="s">
        <v>45</v>
      </c>
      <c r="O123" s="19" t="s">
        <v>45</v>
      </c>
      <c r="P123" s="19" t="s">
        <v>28</v>
      </c>
      <c r="Q123" s="19">
        <v>18</v>
      </c>
      <c r="R123" s="19">
        <v>8</v>
      </c>
      <c r="S123" s="19">
        <v>1</v>
      </c>
      <c r="T123" s="19"/>
      <c r="U123" s="19"/>
      <c r="V123" s="19">
        <v>0</v>
      </c>
      <c r="W123" s="19"/>
      <c r="X123" s="8" t="str">
        <v>岩块刀刃</v>
      </c>
      <c r="Y123" s="8" t="str">
        <v>授血（燃烧）</v>
      </c>
    </row>
    <row r="124" spans="1:25" x14ac:dyDescent="0.3">
      <c r="A124" s="19">
        <v>210470050</v>
      </c>
      <c r="B124" s="59" t="s">
        <v>780</v>
      </c>
      <c r="C124" s="19">
        <v>1</v>
      </c>
      <c r="D124" s="19">
        <v>48</v>
      </c>
      <c r="E124" s="19">
        <v>0</v>
      </c>
      <c r="F124" s="19">
        <v>0</v>
      </c>
      <c r="G124" s="19">
        <v>302</v>
      </c>
      <c r="H124" s="19">
        <v>0</v>
      </c>
      <c r="I124" s="19">
        <v>0</v>
      </c>
      <c r="J124" s="19">
        <v>0</v>
      </c>
      <c r="K124" s="19">
        <v>0</v>
      </c>
      <c r="L124" s="19" t="s">
        <v>432</v>
      </c>
      <c r="M124" s="19" t="s">
        <v>118</v>
      </c>
      <c r="N124" s="19" t="s">
        <v>47</v>
      </c>
      <c r="O124" s="19" t="s">
        <v>45</v>
      </c>
      <c r="P124" s="19" t="s">
        <v>28</v>
      </c>
      <c r="Q124" s="19">
        <v>18</v>
      </c>
      <c r="R124" s="19">
        <v>8</v>
      </c>
      <c r="S124" s="19">
        <v>1</v>
      </c>
      <c r="T124" s="19"/>
      <c r="U124" s="19"/>
      <c r="V124" s="19">
        <v>0</v>
      </c>
      <c r="W124" s="19"/>
      <c r="X124" s="8" t="str">
        <v>岩块刀刃（蓄力）-1</v>
      </c>
      <c r="Y124" s="8" t="str">
        <v>虫丝</v>
      </c>
    </row>
    <row r="125" spans="1:25" x14ac:dyDescent="0.3">
      <c r="A125" s="19">
        <v>210470051</v>
      </c>
      <c r="B125" s="59" t="s">
        <v>781</v>
      </c>
      <c r="C125" s="19">
        <v>2</v>
      </c>
      <c r="D125" s="19">
        <v>48</v>
      </c>
      <c r="E125" s="19">
        <v>0</v>
      </c>
      <c r="F125" s="19">
        <v>0</v>
      </c>
      <c r="G125" s="19">
        <v>185</v>
      </c>
      <c r="H125" s="19">
        <v>0</v>
      </c>
      <c r="I125" s="19">
        <v>0</v>
      </c>
      <c r="J125" s="19">
        <v>0</v>
      </c>
      <c r="K125" s="19">
        <v>0</v>
      </c>
      <c r="L125" s="19" t="s">
        <v>432</v>
      </c>
      <c r="M125" s="19" t="s">
        <v>118</v>
      </c>
      <c r="N125" s="19" t="s">
        <v>47</v>
      </c>
      <c r="O125" s="19" t="s">
        <v>45</v>
      </c>
      <c r="P125" s="19" t="s">
        <v>28</v>
      </c>
      <c r="Q125" s="19">
        <v>18</v>
      </c>
      <c r="R125" s="19">
        <v>8</v>
      </c>
      <c r="S125" s="19">
        <v>1</v>
      </c>
      <c r="T125" s="19"/>
      <c r="U125" s="19"/>
      <c r="V125" s="19">
        <v>0</v>
      </c>
      <c r="W125" s="19"/>
      <c r="X125" s="8" t="str">
        <v>岩块刀刃（蓄力）-2,3</v>
      </c>
      <c r="Y125" s="8" t="str">
        <v>虫丝枪</v>
      </c>
    </row>
    <row r="126" spans="1:25" x14ac:dyDescent="0.3">
      <c r="A126" s="19">
        <v>47000</v>
      </c>
      <c r="B126" s="59" t="s">
        <v>608</v>
      </c>
      <c r="C126" s="19">
        <v>1</v>
      </c>
      <c r="D126" s="19">
        <v>30</v>
      </c>
      <c r="E126" s="19">
        <v>0</v>
      </c>
      <c r="F126" s="19">
        <v>0</v>
      </c>
      <c r="G126" s="19">
        <v>180</v>
      </c>
      <c r="H126" s="19">
        <v>100</v>
      </c>
      <c r="I126" s="19">
        <v>0</v>
      </c>
      <c r="J126" s="19">
        <v>0</v>
      </c>
      <c r="K126" s="19">
        <v>0</v>
      </c>
      <c r="L126" s="19" t="s">
        <v>432</v>
      </c>
      <c r="M126" s="19" t="s">
        <v>118</v>
      </c>
      <c r="N126" s="19" t="s">
        <v>45</v>
      </c>
      <c r="O126" s="19" t="s">
        <v>45</v>
      </c>
      <c r="P126" s="19" t="s">
        <v>28</v>
      </c>
      <c r="Q126" s="19">
        <v>30</v>
      </c>
      <c r="R126" s="19">
        <v>10.175000000000001</v>
      </c>
      <c r="S126" s="19">
        <v>7</v>
      </c>
      <c r="T126" s="19"/>
      <c r="U126" s="19"/>
      <c r="V126" s="19">
        <v>0</v>
      </c>
      <c r="W126" s="19"/>
      <c r="X126" s="8" t="str">
        <v>陨石</v>
      </c>
      <c r="Y126" s="8" t="str">
        <v>虫丝枪-蓄力</v>
      </c>
    </row>
    <row r="127" spans="1:25" x14ac:dyDescent="0.3">
      <c r="A127" s="19">
        <v>47010</v>
      </c>
      <c r="B127" s="59" t="s">
        <v>610</v>
      </c>
      <c r="C127" s="19">
        <v>1</v>
      </c>
      <c r="D127" s="19">
        <v>55</v>
      </c>
      <c r="E127" s="19">
        <v>0</v>
      </c>
      <c r="F127" s="19">
        <v>0</v>
      </c>
      <c r="G127" s="19">
        <v>185</v>
      </c>
      <c r="H127" s="19">
        <v>105</v>
      </c>
      <c r="I127" s="19">
        <v>0</v>
      </c>
      <c r="J127" s="19">
        <v>0</v>
      </c>
      <c r="K127" s="19">
        <v>0</v>
      </c>
      <c r="L127" s="19" t="s">
        <v>432</v>
      </c>
      <c r="M127" s="19" t="s">
        <v>118</v>
      </c>
      <c r="N127" s="19" t="s">
        <v>45</v>
      </c>
      <c r="O127" s="19" t="s">
        <v>45</v>
      </c>
      <c r="P127" s="19" t="s">
        <v>28</v>
      </c>
      <c r="Q127" s="19">
        <v>60</v>
      </c>
      <c r="R127" s="19">
        <v>10.175000000000001</v>
      </c>
      <c r="S127" s="19">
        <v>7</v>
      </c>
      <c r="T127" s="19"/>
      <c r="U127" s="19"/>
      <c r="V127" s="19">
        <v>0</v>
      </c>
      <c r="W127" s="19"/>
      <c r="X127" s="8" t="str">
        <v>艾丝缇陨石</v>
      </c>
      <c r="Y127" s="8" t="str">
        <v>猩红艾奥尼亚（落地）</v>
      </c>
    </row>
    <row r="128" spans="1:25" x14ac:dyDescent="0.3">
      <c r="A128" s="19">
        <v>210450000</v>
      </c>
      <c r="B128" s="59" t="s">
        <v>332</v>
      </c>
      <c r="C128" s="19">
        <v>1</v>
      </c>
      <c r="D128" s="19">
        <v>18</v>
      </c>
      <c r="E128" s="19">
        <v>0</v>
      </c>
      <c r="F128" s="19">
        <v>0</v>
      </c>
      <c r="G128" s="19">
        <v>0</v>
      </c>
      <c r="H128" s="19">
        <v>216</v>
      </c>
      <c r="I128" s="19">
        <v>0</v>
      </c>
      <c r="J128" s="19">
        <v>0</v>
      </c>
      <c r="K128" s="19">
        <v>0</v>
      </c>
      <c r="L128" s="19" t="s">
        <v>45</v>
      </c>
      <c r="M128" s="19" t="s">
        <v>312</v>
      </c>
      <c r="N128" s="19" t="s">
        <v>45</v>
      </c>
      <c r="O128" s="19" t="s">
        <v>45</v>
      </c>
      <c r="P128" s="19" t="s">
        <v>28</v>
      </c>
      <c r="Q128" s="19">
        <v>10</v>
      </c>
      <c r="R128" s="19">
        <v>3</v>
      </c>
      <c r="S128" s="19">
        <v>1</v>
      </c>
      <c r="T128" s="19"/>
      <c r="U128" s="19"/>
      <c r="V128" s="19">
        <v>0</v>
      </c>
      <c r="W128" s="19"/>
      <c r="X128" s="8" t="str">
        <v>辉石指爪</v>
      </c>
      <c r="Y128" s="8" t="str">
        <v>猩红艾奥尼亚（爆炸）</v>
      </c>
    </row>
    <row r="129" spans="1:25" x14ac:dyDescent="0.3">
      <c r="A129" s="19">
        <v>210450050</v>
      </c>
      <c r="B129" s="59" t="s">
        <v>333</v>
      </c>
      <c r="C129" s="19">
        <v>1</v>
      </c>
      <c r="D129" s="19">
        <v>18</v>
      </c>
      <c r="E129" s="19">
        <v>0</v>
      </c>
      <c r="F129" s="19">
        <v>0</v>
      </c>
      <c r="G129" s="19">
        <v>0</v>
      </c>
      <c r="H129" s="19">
        <v>269</v>
      </c>
      <c r="I129" s="19">
        <v>0</v>
      </c>
      <c r="J129" s="19">
        <v>0</v>
      </c>
      <c r="K129" s="19">
        <v>0</v>
      </c>
      <c r="L129" s="19" t="s">
        <v>45</v>
      </c>
      <c r="M129" s="19" t="s">
        <v>312</v>
      </c>
      <c r="N129" s="19" t="s">
        <v>47</v>
      </c>
      <c r="O129" s="19" t="s">
        <v>45</v>
      </c>
      <c r="P129" s="19" t="s">
        <v>28</v>
      </c>
      <c r="Q129" s="19">
        <v>10</v>
      </c>
      <c r="R129" s="19">
        <v>5</v>
      </c>
      <c r="S129" s="19">
        <v>1</v>
      </c>
      <c r="T129" s="19"/>
      <c r="U129" s="19"/>
      <c r="V129" s="19">
        <v>0</v>
      </c>
      <c r="W129" s="19"/>
      <c r="X129" s="8" t="str">
        <v>辉石指爪-蓄力</v>
      </c>
      <c r="Y129" s="8" t="str">
        <v>猩红艾奥尼亚（花瓣）</v>
      </c>
    </row>
    <row r="130" spans="1:25" x14ac:dyDescent="0.3">
      <c r="A130" s="19">
        <v>210451000</v>
      </c>
      <c r="B130" s="59" t="s">
        <v>334</v>
      </c>
      <c r="C130" s="19">
        <v>6</v>
      </c>
      <c r="D130" s="19">
        <v>32</v>
      </c>
      <c r="E130" s="19">
        <v>0</v>
      </c>
      <c r="F130" s="19">
        <v>0</v>
      </c>
      <c r="G130" s="19">
        <v>0</v>
      </c>
      <c r="H130" s="19">
        <v>66</v>
      </c>
      <c r="I130" s="19">
        <v>0</v>
      </c>
      <c r="J130" s="19">
        <v>0</v>
      </c>
      <c r="K130" s="19">
        <v>0</v>
      </c>
      <c r="L130" s="19" t="s">
        <v>45</v>
      </c>
      <c r="M130" s="19" t="s">
        <v>312</v>
      </c>
      <c r="N130" s="19" t="s">
        <v>45</v>
      </c>
      <c r="O130" s="19" t="s">
        <v>45</v>
      </c>
      <c r="P130" s="19" t="s">
        <v>28</v>
      </c>
      <c r="Q130" s="19">
        <v>23</v>
      </c>
      <c r="R130" s="19">
        <v>2</v>
      </c>
      <c r="S130" s="19">
        <v>1</v>
      </c>
      <c r="T130" s="19"/>
      <c r="U130" s="19"/>
      <c r="V130" s="19">
        <v>0</v>
      </c>
      <c r="W130" s="19"/>
      <c r="X130" s="8" t="str">
        <v>辉石繁指爪</v>
      </c>
      <c r="Y130" s="8" t="str">
        <v>腐败蝶（风）</v>
      </c>
    </row>
    <row r="131" spans="1:25" x14ac:dyDescent="0.3">
      <c r="A131" s="19">
        <v>210451050</v>
      </c>
      <c r="B131" s="59" t="s">
        <v>335</v>
      </c>
      <c r="C131" s="19">
        <v>6</v>
      </c>
      <c r="D131" s="19">
        <v>32</v>
      </c>
      <c r="E131" s="19">
        <v>0</v>
      </c>
      <c r="F131" s="19">
        <v>0</v>
      </c>
      <c r="G131" s="19">
        <v>0</v>
      </c>
      <c r="H131" s="19">
        <v>75</v>
      </c>
      <c r="I131" s="19">
        <v>0</v>
      </c>
      <c r="J131" s="19">
        <v>0</v>
      </c>
      <c r="K131" s="19">
        <v>0</v>
      </c>
      <c r="L131" s="19" t="s">
        <v>45</v>
      </c>
      <c r="M131" s="19" t="s">
        <v>312</v>
      </c>
      <c r="N131" s="19" t="s">
        <v>47</v>
      </c>
      <c r="O131" s="19" t="s">
        <v>45</v>
      </c>
      <c r="P131" s="19" t="s">
        <v>28</v>
      </c>
      <c r="Q131" s="19">
        <v>23</v>
      </c>
      <c r="R131" s="19">
        <v>4</v>
      </c>
      <c r="S131" s="19">
        <v>1</v>
      </c>
      <c r="T131" s="19"/>
      <c r="U131" s="19"/>
      <c r="V131" s="19">
        <v>0</v>
      </c>
      <c r="W131" s="19"/>
      <c r="X131" s="8" t="str">
        <v>辉石繁指爪-蓄力</v>
      </c>
      <c r="Y131" s="8" t="str">
        <v>腐败蝶（爆炸）</v>
      </c>
    </row>
    <row r="132" spans="1:25" x14ac:dyDescent="0.3">
      <c r="A132" s="19">
        <v>210741000</v>
      </c>
      <c r="B132" s="59" t="s">
        <v>336</v>
      </c>
      <c r="C132" s="19">
        <v>1</v>
      </c>
      <c r="D132" s="19">
        <v>42</v>
      </c>
      <c r="E132" s="19">
        <v>0</v>
      </c>
      <c r="F132" s="19">
        <v>0</v>
      </c>
      <c r="G132" s="19">
        <v>0</v>
      </c>
      <c r="H132" s="19">
        <v>120</v>
      </c>
      <c r="I132" s="19">
        <v>0</v>
      </c>
      <c r="J132" s="19">
        <v>0</v>
      </c>
      <c r="K132" s="19">
        <v>0</v>
      </c>
      <c r="L132" s="19" t="s">
        <v>45</v>
      </c>
      <c r="M132" s="19" t="s">
        <v>312</v>
      </c>
      <c r="N132" s="19" t="s">
        <v>45</v>
      </c>
      <c r="O132" s="19" t="s">
        <v>45</v>
      </c>
      <c r="P132" s="19" t="s">
        <v>28</v>
      </c>
      <c r="Q132" s="19">
        <v>26</v>
      </c>
      <c r="R132" s="19">
        <v>7</v>
      </c>
      <c r="S132" s="19">
        <v>3</v>
      </c>
      <c r="T132" s="19"/>
      <c r="U132" s="19"/>
      <c r="V132" s="19">
        <v>0</v>
      </c>
      <c r="W132" s="19"/>
      <c r="X132" s="8" t="str">
        <v>虚幻小宇宙（生成）</v>
      </c>
      <c r="Y132" s="8" t="str">
        <v>癫火</v>
      </c>
    </row>
    <row r="133" spans="1:25" x14ac:dyDescent="0.3">
      <c r="A133" s="19">
        <v>210741001</v>
      </c>
      <c r="B133" s="59" t="s">
        <v>337</v>
      </c>
      <c r="C133" s="19">
        <v>1</v>
      </c>
      <c r="D133" s="19">
        <v>42</v>
      </c>
      <c r="E133" s="19">
        <v>0</v>
      </c>
      <c r="F133" s="19">
        <v>0</v>
      </c>
      <c r="G133" s="19">
        <v>0</v>
      </c>
      <c r="H133" s="19">
        <v>214</v>
      </c>
      <c r="I133" s="19">
        <v>0</v>
      </c>
      <c r="J133" s="19">
        <v>0</v>
      </c>
      <c r="K133" s="19">
        <v>0</v>
      </c>
      <c r="L133" s="19" t="s">
        <v>45</v>
      </c>
      <c r="M133" s="19" t="s">
        <v>312</v>
      </c>
      <c r="N133" s="19" t="s">
        <v>45</v>
      </c>
      <c r="O133" s="19" t="s">
        <v>45</v>
      </c>
      <c r="P133" s="19" t="s">
        <v>28</v>
      </c>
      <c r="Q133" s="19">
        <v>26</v>
      </c>
      <c r="R133" s="19">
        <v>7</v>
      </c>
      <c r="S133" s="19">
        <v>7</v>
      </c>
      <c r="T133" s="19"/>
      <c r="U133" s="19"/>
      <c r="V133" s="19">
        <v>0</v>
      </c>
      <c r="W133" s="19"/>
      <c r="X133" s="8" t="str">
        <v>虚幻小宇宙（爆炸）</v>
      </c>
      <c r="Y133" s="8" t="str">
        <v>癫火-蓄力</v>
      </c>
    </row>
    <row r="134" spans="1:25" x14ac:dyDescent="0.3">
      <c r="A134" s="19">
        <v>210741050</v>
      </c>
      <c r="B134" s="59" t="s">
        <v>338</v>
      </c>
      <c r="C134" s="19">
        <v>1</v>
      </c>
      <c r="D134" s="19">
        <v>42</v>
      </c>
      <c r="E134" s="19">
        <v>0</v>
      </c>
      <c r="F134" s="19">
        <v>0</v>
      </c>
      <c r="G134" s="19">
        <v>0</v>
      </c>
      <c r="H134" s="19">
        <v>160</v>
      </c>
      <c r="I134" s="19">
        <v>0</v>
      </c>
      <c r="J134" s="19">
        <v>0</v>
      </c>
      <c r="K134" s="19">
        <v>0</v>
      </c>
      <c r="L134" s="19" t="s">
        <v>45</v>
      </c>
      <c r="M134" s="19" t="s">
        <v>312</v>
      </c>
      <c r="N134" s="19" t="s">
        <v>47</v>
      </c>
      <c r="O134" s="19" t="s">
        <v>45</v>
      </c>
      <c r="P134" s="19" t="s">
        <v>28</v>
      </c>
      <c r="Q134" s="19">
        <v>26</v>
      </c>
      <c r="R134" s="19">
        <v>7</v>
      </c>
      <c r="S134" s="19">
        <v>3</v>
      </c>
      <c r="T134" s="19"/>
      <c r="U134" s="19"/>
      <c r="V134" s="19">
        <v>0</v>
      </c>
      <c r="W134" s="19"/>
      <c r="X134" s="8" t="str">
        <v>虚幻小宇宙（生成）-蓄力</v>
      </c>
      <c r="Y134" s="8" t="str">
        <v>难耐癫火</v>
      </c>
    </row>
    <row r="135" spans="1:25" x14ac:dyDescent="0.3">
      <c r="A135" s="19">
        <v>210741051</v>
      </c>
      <c r="B135" s="59" t="s">
        <v>339</v>
      </c>
      <c r="C135" s="19">
        <v>1</v>
      </c>
      <c r="D135" s="19">
        <v>42</v>
      </c>
      <c r="E135" s="19">
        <v>0</v>
      </c>
      <c r="F135" s="19">
        <v>0</v>
      </c>
      <c r="G135" s="19">
        <v>0</v>
      </c>
      <c r="H135" s="19">
        <v>271</v>
      </c>
      <c r="I135" s="19">
        <v>0</v>
      </c>
      <c r="J135" s="19">
        <v>0</v>
      </c>
      <c r="K135" s="19">
        <v>0</v>
      </c>
      <c r="L135" s="19" t="s">
        <v>45</v>
      </c>
      <c r="M135" s="19" t="s">
        <v>312</v>
      </c>
      <c r="N135" s="19" t="s">
        <v>47</v>
      </c>
      <c r="O135" s="19" t="s">
        <v>45</v>
      </c>
      <c r="P135" s="19" t="s">
        <v>28</v>
      </c>
      <c r="Q135" s="19">
        <v>26</v>
      </c>
      <c r="R135" s="19">
        <v>11</v>
      </c>
      <c r="S135" s="19">
        <v>7</v>
      </c>
      <c r="T135" s="19"/>
      <c r="U135" s="19"/>
      <c r="V135" s="19">
        <v>0</v>
      </c>
      <c r="W135" s="19"/>
      <c r="X135" s="8" t="str">
        <v>虚幻小宇宙（爆炸）-蓄力</v>
      </c>
      <c r="Y135" s="8" t="str">
        <v>米德拉的癫火</v>
      </c>
    </row>
    <row r="136" spans="1:25" x14ac:dyDescent="0.3">
      <c r="A136" s="19">
        <v>210742000</v>
      </c>
      <c r="B136" s="59" t="s">
        <v>340</v>
      </c>
      <c r="C136" s="19">
        <v>1</v>
      </c>
      <c r="D136" s="19">
        <v>36</v>
      </c>
      <c r="E136" s="19">
        <v>0</v>
      </c>
      <c r="F136" s="19">
        <v>0</v>
      </c>
      <c r="G136" s="19">
        <v>253</v>
      </c>
      <c r="H136" s="19">
        <v>0</v>
      </c>
      <c r="I136" s="19">
        <v>0</v>
      </c>
      <c r="J136" s="19">
        <v>0</v>
      </c>
      <c r="K136" s="19">
        <v>0</v>
      </c>
      <c r="L136" s="19" t="s">
        <v>433</v>
      </c>
      <c r="M136" s="19" t="s">
        <v>312</v>
      </c>
      <c r="N136" s="19" t="s">
        <v>45</v>
      </c>
      <c r="O136" s="19" t="s">
        <v>45</v>
      </c>
      <c r="P136" s="19" t="s">
        <v>28</v>
      </c>
      <c r="Q136" s="19">
        <v>20</v>
      </c>
      <c r="R136" s="19">
        <v>11</v>
      </c>
      <c r="S136" s="19">
        <v>2</v>
      </c>
      <c r="T136" s="19"/>
      <c r="U136" s="19"/>
      <c r="V136" s="19">
        <v>0</v>
      </c>
      <c r="W136" s="19"/>
      <c r="X136" s="8" t="str">
        <v>守护指头</v>
      </c>
      <c r="Y136" s="8" t="str">
        <v>划空癫火</v>
      </c>
    </row>
    <row r="137" spans="1:25" x14ac:dyDescent="0.3">
      <c r="A137" s="19">
        <v>210742050</v>
      </c>
      <c r="B137" s="59" t="s">
        <v>341</v>
      </c>
      <c r="C137" s="19">
        <v>1</v>
      </c>
      <c r="D137" s="19">
        <v>36</v>
      </c>
      <c r="E137" s="19">
        <v>0</v>
      </c>
      <c r="F137" s="19">
        <v>0</v>
      </c>
      <c r="G137" s="19">
        <v>347</v>
      </c>
      <c r="H137" s="19">
        <v>0</v>
      </c>
      <c r="I137" s="19">
        <v>0</v>
      </c>
      <c r="J137" s="19">
        <v>0</v>
      </c>
      <c r="K137" s="19">
        <v>0</v>
      </c>
      <c r="L137" s="19" t="s">
        <v>433</v>
      </c>
      <c r="M137" s="19" t="s">
        <v>312</v>
      </c>
      <c r="N137" s="19" t="s">
        <v>47</v>
      </c>
      <c r="O137" s="19" t="s">
        <v>45</v>
      </c>
      <c r="P137" s="19" t="s">
        <v>28</v>
      </c>
      <c r="Q137" s="19">
        <v>20</v>
      </c>
      <c r="R137" s="19">
        <v>15</v>
      </c>
      <c r="S137" s="19">
        <v>7</v>
      </c>
      <c r="T137" s="19"/>
      <c r="U137" s="19"/>
      <c r="V137" s="19">
        <v>0</v>
      </c>
      <c r="W137" s="19"/>
      <c r="X137" s="8" t="str">
        <v>守护指头-蓄力</v>
      </c>
      <c r="Y137" s="8" t="str">
        <v>划空癫火-蓄力</v>
      </c>
    </row>
    <row r="138" spans="1:25" x14ac:dyDescent="0.3">
      <c r="A138" s="19">
        <v>51000</v>
      </c>
      <c r="B138" s="59" t="s">
        <v>145</v>
      </c>
      <c r="C138" s="19">
        <v>9</v>
      </c>
      <c r="D138" s="19">
        <v>19</v>
      </c>
      <c r="E138" s="19">
        <v>0</v>
      </c>
      <c r="F138" s="19">
        <v>15</v>
      </c>
      <c r="G138" s="19">
        <v>0</v>
      </c>
      <c r="H138" s="19">
        <v>54</v>
      </c>
      <c r="I138" s="19">
        <v>0</v>
      </c>
      <c r="J138" s="19">
        <v>0</v>
      </c>
      <c r="K138" s="19">
        <v>0</v>
      </c>
      <c r="L138" s="19" t="s">
        <v>45</v>
      </c>
      <c r="M138" s="19" t="s">
        <v>45</v>
      </c>
      <c r="N138" s="19" t="s">
        <v>45</v>
      </c>
      <c r="O138" s="19" t="s">
        <v>45</v>
      </c>
      <c r="P138" s="19" t="s">
        <v>28</v>
      </c>
      <c r="Q138" s="19">
        <v>12</v>
      </c>
      <c r="R138" s="19">
        <v>2.4</v>
      </c>
      <c r="S138" s="19">
        <v>1</v>
      </c>
      <c r="T138" s="19"/>
      <c r="U138" s="19"/>
      <c r="V138" s="19">
        <v>0</v>
      </c>
      <c r="W138" s="19"/>
      <c r="X138" s="8" t="str">
        <v>神谕泡泡</v>
      </c>
      <c r="Y138" s="8" t="str">
        <v>龙焰</v>
      </c>
    </row>
    <row r="139" spans="1:25" x14ac:dyDescent="0.3">
      <c r="A139" s="19">
        <v>51005</v>
      </c>
      <c r="B139" s="59" t="s">
        <v>146</v>
      </c>
      <c r="C139" s="19">
        <v>9</v>
      </c>
      <c r="D139" s="19">
        <v>19</v>
      </c>
      <c r="E139" s="19">
        <v>0</v>
      </c>
      <c r="F139" s="19">
        <v>15</v>
      </c>
      <c r="G139" s="19">
        <v>0</v>
      </c>
      <c r="H139" s="19">
        <v>65</v>
      </c>
      <c r="I139" s="19">
        <v>0</v>
      </c>
      <c r="J139" s="19">
        <v>0</v>
      </c>
      <c r="K139" s="19">
        <v>0</v>
      </c>
      <c r="L139" s="19" t="s">
        <v>45</v>
      </c>
      <c r="M139" s="19" t="s">
        <v>45</v>
      </c>
      <c r="N139" s="19" t="s">
        <v>47</v>
      </c>
      <c r="O139" s="19" t="s">
        <v>45</v>
      </c>
      <c r="P139" s="19" t="s">
        <v>28</v>
      </c>
      <c r="Q139" s="19">
        <v>12</v>
      </c>
      <c r="R139" s="19">
        <v>3.5</v>
      </c>
      <c r="S139" s="19">
        <v>1</v>
      </c>
      <c r="T139" s="19"/>
      <c r="U139" s="19"/>
      <c r="V139" s="19">
        <v>0</v>
      </c>
      <c r="W139" s="19"/>
      <c r="X139" s="8" t="str">
        <v>神谕泡泡-蓄力</v>
      </c>
      <c r="Y139" s="8" t="str">
        <v>亚基尔的火焰</v>
      </c>
    </row>
    <row r="140" spans="1:25" x14ac:dyDescent="0.3">
      <c r="A140" s="19">
        <v>51010</v>
      </c>
      <c r="B140" s="59" t="s">
        <v>147</v>
      </c>
      <c r="C140" s="19">
        <v>1</v>
      </c>
      <c r="D140" s="19">
        <v>25</v>
      </c>
      <c r="E140" s="19">
        <v>0</v>
      </c>
      <c r="F140" s="19">
        <v>18</v>
      </c>
      <c r="G140" s="19">
        <v>0</v>
      </c>
      <c r="H140" s="19">
        <v>298</v>
      </c>
      <c r="I140" s="19">
        <v>0</v>
      </c>
      <c r="J140" s="19">
        <v>0</v>
      </c>
      <c r="K140" s="19">
        <v>0</v>
      </c>
      <c r="L140" s="19" t="s">
        <v>45</v>
      </c>
      <c r="M140" s="19" t="s">
        <v>45</v>
      </c>
      <c r="N140" s="19" t="s">
        <v>45</v>
      </c>
      <c r="O140" s="19" t="s">
        <v>45</v>
      </c>
      <c r="P140" s="19" t="s">
        <v>28</v>
      </c>
      <c r="Q140" s="19">
        <v>16</v>
      </c>
      <c r="R140" s="19">
        <v>14.4</v>
      </c>
      <c r="S140" s="19">
        <v>3</v>
      </c>
      <c r="T140" s="19"/>
      <c r="U140" s="19"/>
      <c r="V140" s="19">
        <v>0</v>
      </c>
      <c r="W140" s="19"/>
      <c r="X140" s="8" t="str">
        <v>神谕大泡泡</v>
      </c>
      <c r="Y140" s="8" t="str">
        <v>熔岩吐息</v>
      </c>
    </row>
    <row r="141" spans="1:25" x14ac:dyDescent="0.3">
      <c r="A141" s="19">
        <v>51015</v>
      </c>
      <c r="B141" s="59" t="s">
        <v>148</v>
      </c>
      <c r="C141" s="19">
        <v>1</v>
      </c>
      <c r="D141" s="19">
        <v>25</v>
      </c>
      <c r="E141" s="19">
        <v>0</v>
      </c>
      <c r="F141" s="19">
        <v>18</v>
      </c>
      <c r="G141" s="19">
        <v>0</v>
      </c>
      <c r="H141" s="19">
        <v>355</v>
      </c>
      <c r="I141" s="19">
        <v>0</v>
      </c>
      <c r="J141" s="19">
        <v>0</v>
      </c>
      <c r="K141" s="19">
        <v>0</v>
      </c>
      <c r="L141" s="19" t="s">
        <v>45</v>
      </c>
      <c r="M141" s="19" t="s">
        <v>45</v>
      </c>
      <c r="N141" s="19" t="s">
        <v>47</v>
      </c>
      <c r="O141" s="19" t="s">
        <v>45</v>
      </c>
      <c r="P141" s="19" t="s">
        <v>28</v>
      </c>
      <c r="Q141" s="19">
        <v>16</v>
      </c>
      <c r="R141" s="19">
        <v>20</v>
      </c>
      <c r="S141" s="19">
        <v>3</v>
      </c>
      <c r="T141" s="19"/>
      <c r="U141" s="19"/>
      <c r="V141" s="19">
        <v>0</v>
      </c>
      <c r="W141" s="19"/>
      <c r="X141" s="8" t="str">
        <v>神谕大泡泡-蓄力</v>
      </c>
      <c r="Y141" s="8" t="str">
        <v>熔岩吐息（岩浆）</v>
      </c>
    </row>
    <row r="142" spans="1:25" x14ac:dyDescent="0.3">
      <c r="A142" s="19">
        <v>49000</v>
      </c>
      <c r="B142" s="59" t="s">
        <v>773</v>
      </c>
      <c r="C142" s="19">
        <v>1</v>
      </c>
      <c r="D142" s="19">
        <v>0</v>
      </c>
      <c r="E142" s="19">
        <v>24</v>
      </c>
      <c r="F142" s="19">
        <v>0</v>
      </c>
      <c r="G142" s="19">
        <v>0</v>
      </c>
      <c r="H142" s="19">
        <v>200</v>
      </c>
      <c r="I142" s="19">
        <v>0</v>
      </c>
      <c r="J142" s="19">
        <v>0</v>
      </c>
      <c r="K142" s="19">
        <v>0</v>
      </c>
      <c r="L142" s="19" t="s">
        <v>45</v>
      </c>
      <c r="M142" s="19" t="s">
        <v>135</v>
      </c>
      <c r="N142" s="19" t="s">
        <v>45</v>
      </c>
      <c r="O142" s="19" t="s">
        <v>45</v>
      </c>
      <c r="P142" s="19" t="s">
        <v>28</v>
      </c>
      <c r="Q142" s="19">
        <v>6</v>
      </c>
      <c r="R142" s="19">
        <v>7</v>
      </c>
      <c r="S142" s="19">
        <v>2</v>
      </c>
      <c r="T142" s="19">
        <v>95</v>
      </c>
      <c r="U142" s="19" t="s">
        <v>616</v>
      </c>
      <c r="V142" s="19">
        <v>1</v>
      </c>
      <c r="W142" s="19"/>
      <c r="X142" s="8" t="str">
        <v>罪恶荆棘（一段）</v>
      </c>
      <c r="Y142" s="8" t="str">
        <v>席欧朵利克的熔岩</v>
      </c>
    </row>
    <row r="143" spans="1:25" x14ac:dyDescent="0.3">
      <c r="A143" s="19">
        <v>49001</v>
      </c>
      <c r="B143" s="59" t="s">
        <v>774</v>
      </c>
      <c r="C143" s="19">
        <v>1</v>
      </c>
      <c r="D143" s="19">
        <v>0</v>
      </c>
      <c r="E143" s="19">
        <v>24</v>
      </c>
      <c r="F143" s="19">
        <v>0</v>
      </c>
      <c r="G143" s="19">
        <v>0</v>
      </c>
      <c r="H143" s="19">
        <v>232</v>
      </c>
      <c r="I143" s="19">
        <v>0</v>
      </c>
      <c r="J143" s="19">
        <v>0</v>
      </c>
      <c r="K143" s="19">
        <v>0</v>
      </c>
      <c r="L143" s="19" t="s">
        <v>45</v>
      </c>
      <c r="M143" s="19" t="s">
        <v>135</v>
      </c>
      <c r="N143" s="19" t="s">
        <v>45</v>
      </c>
      <c r="O143" s="19" t="s">
        <v>45</v>
      </c>
      <c r="P143" s="19" t="s">
        <v>28</v>
      </c>
      <c r="Q143" s="19">
        <v>6</v>
      </c>
      <c r="R143" s="19">
        <v>7.5</v>
      </c>
      <c r="S143" s="19">
        <v>2</v>
      </c>
      <c r="T143" s="19">
        <v>95</v>
      </c>
      <c r="U143" s="19" t="s">
        <v>616</v>
      </c>
      <c r="V143" s="19">
        <v>1</v>
      </c>
      <c r="W143" s="19"/>
      <c r="X143" s="8" t="str">
        <v>罪恶荆棘（二段）</v>
      </c>
      <c r="Y143" s="8" t="str">
        <v>席欧朵利克的熔岩（岩浆）</v>
      </c>
    </row>
    <row r="144" spans="1:25" x14ac:dyDescent="0.3">
      <c r="A144" s="19">
        <v>49002</v>
      </c>
      <c r="B144" s="59" t="s">
        <v>775</v>
      </c>
      <c r="C144" s="19">
        <v>1</v>
      </c>
      <c r="D144" s="19">
        <v>0</v>
      </c>
      <c r="E144" s="19">
        <v>24</v>
      </c>
      <c r="F144" s="19">
        <v>0</v>
      </c>
      <c r="G144" s="19">
        <v>0</v>
      </c>
      <c r="H144" s="19">
        <v>233</v>
      </c>
      <c r="I144" s="19">
        <v>0</v>
      </c>
      <c r="J144" s="19">
        <v>0</v>
      </c>
      <c r="K144" s="19">
        <v>0</v>
      </c>
      <c r="L144" s="19" t="s">
        <v>45</v>
      </c>
      <c r="M144" s="19" t="s">
        <v>135</v>
      </c>
      <c r="N144" s="19" t="s">
        <v>45</v>
      </c>
      <c r="O144" s="19" t="s">
        <v>45</v>
      </c>
      <c r="P144" s="19" t="s">
        <v>28</v>
      </c>
      <c r="Q144" s="19">
        <v>6</v>
      </c>
      <c r="R144" s="19">
        <v>8</v>
      </c>
      <c r="S144" s="19">
        <v>2</v>
      </c>
      <c r="T144" s="19">
        <v>95</v>
      </c>
      <c r="U144" s="19" t="s">
        <v>616</v>
      </c>
      <c r="V144" s="19">
        <v>1</v>
      </c>
      <c r="W144" s="19"/>
      <c r="X144" s="8" t="str">
        <v>罪恶荆棘（三段）</v>
      </c>
      <c r="Y144" s="8" t="str">
        <v>辉石吐息</v>
      </c>
    </row>
    <row r="145" spans="1:25" x14ac:dyDescent="0.3">
      <c r="A145" s="19">
        <v>49100</v>
      </c>
      <c r="B145" s="59" t="s">
        <v>136</v>
      </c>
      <c r="C145" s="19">
        <v>1</v>
      </c>
      <c r="D145" s="19">
        <v>0</v>
      </c>
      <c r="E145" s="19">
        <v>21</v>
      </c>
      <c r="F145" s="19">
        <v>0</v>
      </c>
      <c r="G145" s="19">
        <v>0</v>
      </c>
      <c r="H145" s="19">
        <v>212</v>
      </c>
      <c r="I145" s="19">
        <v>0</v>
      </c>
      <c r="J145" s="19">
        <v>0</v>
      </c>
      <c r="K145" s="19">
        <v>0</v>
      </c>
      <c r="L145" s="19" t="s">
        <v>45</v>
      </c>
      <c r="M145" s="19" t="s">
        <v>135</v>
      </c>
      <c r="N145" s="19" t="s">
        <v>45</v>
      </c>
      <c r="O145" s="19" t="s">
        <v>45</v>
      </c>
      <c r="P145" s="19" t="s">
        <v>28</v>
      </c>
      <c r="Q145" s="19">
        <v>9</v>
      </c>
      <c r="R145" s="19">
        <v>7</v>
      </c>
      <c r="S145" s="19">
        <v>2</v>
      </c>
      <c r="T145" s="19">
        <v>72</v>
      </c>
      <c r="U145" s="19" t="s">
        <v>616</v>
      </c>
      <c r="V145" s="19">
        <v>1</v>
      </c>
      <c r="W145" s="19"/>
      <c r="X145" s="8" t="str">
        <v>责罚荆棘</v>
      </c>
      <c r="Y145" s="8" t="str">
        <v>史玛拉格的辉石</v>
      </c>
    </row>
    <row r="146" spans="1:25" x14ac:dyDescent="0.3">
      <c r="A146" s="19">
        <v>210491000</v>
      </c>
      <c r="B146" s="59" t="s">
        <v>309</v>
      </c>
      <c r="C146" s="19">
        <v>6</v>
      </c>
      <c r="D146" s="19">
        <v>0</v>
      </c>
      <c r="E146" s="19">
        <v>24</v>
      </c>
      <c r="F146" s="19">
        <v>0</v>
      </c>
      <c r="G146" s="19">
        <v>0</v>
      </c>
      <c r="H146" s="19">
        <v>63</v>
      </c>
      <c r="I146" s="19">
        <v>0</v>
      </c>
      <c r="J146" s="19">
        <v>0</v>
      </c>
      <c r="K146" s="19">
        <v>0</v>
      </c>
      <c r="L146" s="19" t="s">
        <v>45</v>
      </c>
      <c r="M146" s="19" t="s">
        <v>135</v>
      </c>
      <c r="N146" s="19" t="s">
        <v>45</v>
      </c>
      <c r="O146" s="19" t="s">
        <v>45</v>
      </c>
      <c r="P146" s="19" t="s">
        <v>28</v>
      </c>
      <c r="Q146" s="19">
        <v>15</v>
      </c>
      <c r="R146" s="19">
        <v>1.67</v>
      </c>
      <c r="S146" s="19">
        <v>2</v>
      </c>
      <c r="T146" s="19">
        <v>17</v>
      </c>
      <c r="U146" s="19" t="s">
        <v>616</v>
      </c>
      <c r="V146" s="19">
        <v>1</v>
      </c>
      <c r="W146" s="19"/>
      <c r="X146" s="8" t="str">
        <v>拒绝的刺</v>
      </c>
      <c r="Y146" s="8" t="str">
        <v>腐败吐息</v>
      </c>
    </row>
    <row r="147" spans="1:25" x14ac:dyDescent="0.3">
      <c r="A147" s="19">
        <v>50000</v>
      </c>
      <c r="B147" s="59" t="s">
        <v>137</v>
      </c>
      <c r="C147" s="19">
        <v>6</v>
      </c>
      <c r="D147" s="19">
        <v>16</v>
      </c>
      <c r="E147" s="19">
        <v>14</v>
      </c>
      <c r="F147" s="19">
        <v>0</v>
      </c>
      <c r="G147" s="19">
        <v>0</v>
      </c>
      <c r="H147" s="19">
        <v>54</v>
      </c>
      <c r="I147" s="19">
        <v>0</v>
      </c>
      <c r="J147" s="19">
        <v>0</v>
      </c>
      <c r="K147" s="19">
        <v>0</v>
      </c>
      <c r="L147" s="19" t="s">
        <v>45</v>
      </c>
      <c r="M147" s="19" t="s">
        <v>138</v>
      </c>
      <c r="N147" s="19" t="s">
        <v>45</v>
      </c>
      <c r="O147" s="19" t="s">
        <v>45</v>
      </c>
      <c r="P147" s="19" t="s">
        <v>28</v>
      </c>
      <c r="Q147" s="19">
        <v>12</v>
      </c>
      <c r="R147" s="19">
        <v>1</v>
      </c>
      <c r="S147" s="19">
        <v>1</v>
      </c>
      <c r="T147" s="19"/>
      <c r="U147" s="19"/>
      <c r="V147" s="19">
        <v>0</v>
      </c>
      <c r="W147" s="19"/>
      <c r="X147" s="8" t="str">
        <v>召唤怨魂</v>
      </c>
      <c r="Y147" s="8" t="str">
        <v>艾格基斯的腐败</v>
      </c>
    </row>
    <row r="148" spans="1:25" x14ac:dyDescent="0.3">
      <c r="A148" s="19">
        <v>50005</v>
      </c>
      <c r="B148" s="59" t="s">
        <v>139</v>
      </c>
      <c r="C148" s="19">
        <v>6</v>
      </c>
      <c r="D148" s="19">
        <v>16</v>
      </c>
      <c r="E148" s="19">
        <v>14</v>
      </c>
      <c r="F148" s="19">
        <v>0</v>
      </c>
      <c r="G148" s="19">
        <v>0</v>
      </c>
      <c r="H148" s="19">
        <v>57</v>
      </c>
      <c r="I148" s="19">
        <v>0</v>
      </c>
      <c r="J148" s="19">
        <v>0</v>
      </c>
      <c r="K148" s="19">
        <v>0</v>
      </c>
      <c r="L148" s="19" t="s">
        <v>45</v>
      </c>
      <c r="M148" s="19" t="s">
        <v>138</v>
      </c>
      <c r="N148" s="19" t="s">
        <v>47</v>
      </c>
      <c r="O148" s="19" t="s">
        <v>45</v>
      </c>
      <c r="P148" s="19" t="s">
        <v>28</v>
      </c>
      <c r="Q148" s="19">
        <v>12</v>
      </c>
      <c r="R148" s="19">
        <v>1.5</v>
      </c>
      <c r="S148" s="19">
        <v>1</v>
      </c>
      <c r="T148" s="19"/>
      <c r="U148" s="19"/>
      <c r="V148" s="19">
        <v>0</v>
      </c>
      <c r="W148" s="19"/>
      <c r="X148" s="8" t="str">
        <v>召唤怨魂-蓄力</v>
      </c>
      <c r="Y148" s="8" t="str">
        <v>龙冰</v>
      </c>
    </row>
    <row r="149" spans="1:25" x14ac:dyDescent="0.3">
      <c r="A149" s="19">
        <v>50010</v>
      </c>
      <c r="B149" s="59" t="s">
        <v>140</v>
      </c>
      <c r="C149" s="19">
        <v>9</v>
      </c>
      <c r="D149" s="19">
        <v>34</v>
      </c>
      <c r="E149" s="19">
        <v>24</v>
      </c>
      <c r="F149" s="19">
        <v>0</v>
      </c>
      <c r="G149" s="19">
        <v>0</v>
      </c>
      <c r="H149" s="19">
        <v>49</v>
      </c>
      <c r="I149" s="19">
        <v>0</v>
      </c>
      <c r="J149" s="19">
        <v>0</v>
      </c>
      <c r="K149" s="19">
        <v>0</v>
      </c>
      <c r="L149" s="19" t="s">
        <v>45</v>
      </c>
      <c r="M149" s="19" t="s">
        <v>138</v>
      </c>
      <c r="N149" s="19" t="s">
        <v>45</v>
      </c>
      <c r="O149" s="19" t="s">
        <v>45</v>
      </c>
      <c r="P149" s="19" t="s">
        <v>28</v>
      </c>
      <c r="Q149" s="19">
        <v>21</v>
      </c>
      <c r="R149" s="19">
        <v>1.5</v>
      </c>
      <c r="S149" s="19">
        <v>3</v>
      </c>
      <c r="T149" s="19"/>
      <c r="U149" s="19"/>
      <c r="V149" s="19">
        <v>0</v>
      </c>
      <c r="W149" s="19"/>
      <c r="X149" s="8" t="str">
        <v>古老死亡怨魂</v>
      </c>
      <c r="Y149" s="8" t="str">
        <v>玻列琉斯的冰雾</v>
      </c>
    </row>
    <row r="150" spans="1:25" x14ac:dyDescent="0.3">
      <c r="A150" s="19">
        <v>50015</v>
      </c>
      <c r="B150" s="59" t="s">
        <v>141</v>
      </c>
      <c r="C150" s="19">
        <v>9</v>
      </c>
      <c r="D150" s="19">
        <v>34</v>
      </c>
      <c r="E150" s="19">
        <v>24</v>
      </c>
      <c r="F150" s="19">
        <v>0</v>
      </c>
      <c r="G150" s="19">
        <v>0</v>
      </c>
      <c r="H150" s="19">
        <v>52</v>
      </c>
      <c r="I150" s="19">
        <v>0</v>
      </c>
      <c r="J150" s="19">
        <v>0</v>
      </c>
      <c r="K150" s="19">
        <v>0</v>
      </c>
      <c r="L150" s="19" t="s">
        <v>45</v>
      </c>
      <c r="M150" s="19" t="s">
        <v>138</v>
      </c>
      <c r="N150" s="19" t="s">
        <v>47</v>
      </c>
      <c r="O150" s="19" t="s">
        <v>45</v>
      </c>
      <c r="P150" s="19" t="s">
        <v>28</v>
      </c>
      <c r="Q150" s="19">
        <v>21</v>
      </c>
      <c r="R150" s="19">
        <v>2</v>
      </c>
      <c r="S150" s="19">
        <v>3</v>
      </c>
      <c r="T150" s="19"/>
      <c r="U150" s="19"/>
      <c r="V150" s="19">
        <v>0</v>
      </c>
      <c r="W150" s="19"/>
      <c r="X150" s="8" t="str">
        <v>古老死亡怨魂-蓄力</v>
      </c>
      <c r="Y150" s="8" t="str">
        <v>灵火吐息</v>
      </c>
    </row>
    <row r="151" spans="1:25" x14ac:dyDescent="0.3">
      <c r="A151" s="19">
        <v>210500000</v>
      </c>
      <c r="B151" s="59" t="s">
        <v>342</v>
      </c>
      <c r="C151" s="19">
        <v>6</v>
      </c>
      <c r="D151" s="19">
        <v>24</v>
      </c>
      <c r="E151" s="19">
        <v>18</v>
      </c>
      <c r="F151" s="19">
        <v>0</v>
      </c>
      <c r="G151" s="19">
        <v>0</v>
      </c>
      <c r="H151" s="19">
        <v>53</v>
      </c>
      <c r="I151" s="19">
        <v>0</v>
      </c>
      <c r="J151" s="19">
        <v>0</v>
      </c>
      <c r="K151" s="19">
        <v>0</v>
      </c>
      <c r="L151" s="19" t="s">
        <v>45</v>
      </c>
      <c r="M151" s="19" t="s">
        <v>45</v>
      </c>
      <c r="N151" s="19" t="s">
        <v>45</v>
      </c>
      <c r="O151" s="19" t="s">
        <v>403</v>
      </c>
      <c r="P151" s="19" t="s">
        <v>28</v>
      </c>
      <c r="Q151" s="19">
        <v>14</v>
      </c>
      <c r="R151" s="19">
        <v>1</v>
      </c>
      <c r="S151" s="19">
        <v>0</v>
      </c>
      <c r="T151" s="19">
        <v>19</v>
      </c>
      <c r="U151" s="19" t="s">
        <v>614</v>
      </c>
      <c r="V151" s="19">
        <v>0</v>
      </c>
      <c r="W151" s="19"/>
      <c r="X151" s="8" t="str">
        <v>灵魂光环</v>
      </c>
      <c r="Y151" s="8" t="str">
        <v>普拉顿桑克斯的凋亡（龙吼）</v>
      </c>
    </row>
    <row r="152" spans="1:25" x14ac:dyDescent="0.3">
      <c r="A152" s="19">
        <v>210500050</v>
      </c>
      <c r="B152" s="59" t="s">
        <v>343</v>
      </c>
      <c r="C152" s="19">
        <v>6</v>
      </c>
      <c r="D152" s="19">
        <v>24</v>
      </c>
      <c r="E152" s="19">
        <v>18</v>
      </c>
      <c r="F152" s="19">
        <v>0</v>
      </c>
      <c r="G152" s="19">
        <v>0</v>
      </c>
      <c r="H152" s="19">
        <v>63</v>
      </c>
      <c r="I152" s="19">
        <v>0</v>
      </c>
      <c r="J152" s="19">
        <v>0</v>
      </c>
      <c r="K152" s="19">
        <v>0</v>
      </c>
      <c r="L152" s="19" t="s">
        <v>45</v>
      </c>
      <c r="M152" s="19" t="s">
        <v>45</v>
      </c>
      <c r="N152" s="19" t="s">
        <v>47</v>
      </c>
      <c r="O152" s="19" t="s">
        <v>403</v>
      </c>
      <c r="P152" s="19" t="s">
        <v>28</v>
      </c>
      <c r="Q152" s="19">
        <v>14</v>
      </c>
      <c r="R152" s="19">
        <v>1.5</v>
      </c>
      <c r="S152" s="19">
        <v>0</v>
      </c>
      <c r="T152" s="19">
        <v>23</v>
      </c>
      <c r="U152" s="19" t="s">
        <v>614</v>
      </c>
      <c r="V152" s="19">
        <v>0</v>
      </c>
      <c r="W152" s="19"/>
      <c r="X152" s="8" t="str">
        <v>灵魂光环-蓄力</v>
      </c>
      <c r="Y152" s="8" t="str">
        <v>普拉顿桑克斯的凋亡（喷火）</v>
      </c>
    </row>
    <row r="153" spans="1:25" x14ac:dyDescent="0.3">
      <c r="A153" s="19">
        <v>50100</v>
      </c>
      <c r="B153" s="59" t="s">
        <v>142</v>
      </c>
      <c r="C153" s="19">
        <v>1</v>
      </c>
      <c r="D153" s="19">
        <v>42</v>
      </c>
      <c r="E153" s="19">
        <v>30</v>
      </c>
      <c r="F153" s="19">
        <v>0</v>
      </c>
      <c r="G153" s="19">
        <v>0</v>
      </c>
      <c r="H153" s="19">
        <v>312</v>
      </c>
      <c r="I153" s="19">
        <v>0</v>
      </c>
      <c r="J153" s="19">
        <v>0</v>
      </c>
      <c r="K153" s="19">
        <v>0</v>
      </c>
      <c r="L153" s="19" t="s">
        <v>45</v>
      </c>
      <c r="M153" s="19" t="s">
        <v>138</v>
      </c>
      <c r="N153" s="19" t="s">
        <v>45</v>
      </c>
      <c r="O153" s="19" t="s">
        <v>45</v>
      </c>
      <c r="P153" s="19" t="s">
        <v>28</v>
      </c>
      <c r="Q153" s="19">
        <v>29</v>
      </c>
      <c r="R153" s="19">
        <v>16.113499999999998</v>
      </c>
      <c r="S153" s="19">
        <v>7</v>
      </c>
      <c r="T153" s="19">
        <v>130</v>
      </c>
      <c r="U153" s="19" t="s">
        <v>614</v>
      </c>
      <c r="V153" s="19">
        <v>0</v>
      </c>
      <c r="W153" s="19"/>
      <c r="X153" s="8" t="str">
        <v>迸发灵火（爆炸）</v>
      </c>
      <c r="Y153" s="8" t="str">
        <v>龙爪（一段）</v>
      </c>
    </row>
    <row r="154" spans="1:25" x14ac:dyDescent="0.3">
      <c r="A154" s="19">
        <v>50101</v>
      </c>
      <c r="B154" s="59" t="s">
        <v>143</v>
      </c>
      <c r="C154" s="19">
        <v>8</v>
      </c>
      <c r="D154" s="19">
        <v>42</v>
      </c>
      <c r="E154" s="19">
        <v>30</v>
      </c>
      <c r="F154" s="19">
        <v>0</v>
      </c>
      <c r="G154" s="19">
        <v>0</v>
      </c>
      <c r="H154" s="19">
        <v>60</v>
      </c>
      <c r="I154" s="19">
        <v>0</v>
      </c>
      <c r="J154" s="19">
        <v>0</v>
      </c>
      <c r="K154" s="19">
        <v>0</v>
      </c>
      <c r="L154" s="19" t="s">
        <v>45</v>
      </c>
      <c r="M154" s="19" t="s">
        <v>138</v>
      </c>
      <c r="N154" s="19" t="s">
        <v>45</v>
      </c>
      <c r="O154" s="19" t="s">
        <v>45</v>
      </c>
      <c r="P154" s="19" t="s">
        <v>28</v>
      </c>
      <c r="Q154" s="19">
        <v>29</v>
      </c>
      <c r="R154" s="19">
        <v>1</v>
      </c>
      <c r="S154" s="19">
        <v>0</v>
      </c>
      <c r="T154" s="19">
        <v>38</v>
      </c>
      <c r="U154" s="19" t="s">
        <v>614</v>
      </c>
      <c r="V154" s="19">
        <v>0</v>
      </c>
      <c r="W154" s="19"/>
      <c r="X154" s="8" t="str">
        <v>迸发灵火（燃烧）</v>
      </c>
      <c r="Y154" s="8" t="str">
        <v>龙爪（一段）-震波</v>
      </c>
    </row>
    <row r="155" spans="1:25" x14ac:dyDescent="0.3">
      <c r="A155" s="19">
        <v>50300</v>
      </c>
      <c r="B155" s="59" t="s">
        <v>144</v>
      </c>
      <c r="C155" s="19">
        <v>3</v>
      </c>
      <c r="D155" s="19">
        <v>28</v>
      </c>
      <c r="E155" s="19">
        <v>20</v>
      </c>
      <c r="F155" s="19">
        <v>0</v>
      </c>
      <c r="G155" s="19">
        <v>0</v>
      </c>
      <c r="H155" s="19">
        <v>125</v>
      </c>
      <c r="I155" s="19">
        <v>0</v>
      </c>
      <c r="J155" s="19">
        <v>0</v>
      </c>
      <c r="K155" s="19">
        <v>0</v>
      </c>
      <c r="L155" s="19" t="s">
        <v>45</v>
      </c>
      <c r="M155" s="19" t="s">
        <v>138</v>
      </c>
      <c r="N155" s="19" t="s">
        <v>45</v>
      </c>
      <c r="O155" s="19" t="s">
        <v>45</v>
      </c>
      <c r="P155" s="19" t="s">
        <v>28</v>
      </c>
      <c r="Q155" s="19">
        <v>17</v>
      </c>
      <c r="R155" s="19">
        <v>5</v>
      </c>
      <c r="S155" s="19">
        <v>2</v>
      </c>
      <c r="T155" s="19"/>
      <c r="U155" s="19"/>
      <c r="V155" s="19">
        <v>0</v>
      </c>
      <c r="W155" s="19"/>
      <c r="X155" s="8" t="str">
        <v>提比亚的唤声</v>
      </c>
      <c r="Y155" s="8" t="str">
        <v>龙爪（二段）</v>
      </c>
    </row>
    <row r="156" spans="1:25" x14ac:dyDescent="0.3">
      <c r="A156" s="19">
        <v>210621000</v>
      </c>
      <c r="B156" s="59" t="s">
        <v>316</v>
      </c>
      <c r="C156" s="19">
        <v>1</v>
      </c>
      <c r="D156" s="19">
        <v>28</v>
      </c>
      <c r="E156" s="19">
        <v>22</v>
      </c>
      <c r="F156" s="19">
        <v>0</v>
      </c>
      <c r="G156" s="19">
        <v>0</v>
      </c>
      <c r="H156" s="19">
        <v>80</v>
      </c>
      <c r="I156" s="19">
        <v>0</v>
      </c>
      <c r="J156" s="19">
        <v>0</v>
      </c>
      <c r="K156" s="19">
        <v>0</v>
      </c>
      <c r="L156" s="19" t="s">
        <v>45</v>
      </c>
      <c r="M156" s="19" t="s">
        <v>45</v>
      </c>
      <c r="N156" s="19" t="s">
        <v>45</v>
      </c>
      <c r="O156" s="19" t="s">
        <v>45</v>
      </c>
      <c r="P156" s="19" t="s">
        <v>28</v>
      </c>
      <c r="Q156" s="19">
        <v>41</v>
      </c>
      <c r="R156" s="19">
        <v>5</v>
      </c>
      <c r="S156" s="19">
        <v>1</v>
      </c>
      <c r="T156" s="19">
        <v>40</v>
      </c>
      <c r="U156" s="19" t="s">
        <v>614</v>
      </c>
      <c r="V156" s="19">
        <v>0</v>
      </c>
      <c r="W156" s="19"/>
      <c r="X156" s="8" t="str">
        <v>融泥块（投掷）</v>
      </c>
      <c r="Y156" s="8" t="str">
        <v>龙爪（二段）-震波</v>
      </c>
    </row>
    <row r="157" spans="1:25" x14ac:dyDescent="0.3">
      <c r="A157" s="19">
        <v>210621001</v>
      </c>
      <c r="B157" s="59" t="s">
        <v>317</v>
      </c>
      <c r="C157" s="19">
        <v>1</v>
      </c>
      <c r="D157" s="19">
        <v>28</v>
      </c>
      <c r="E157" s="19">
        <v>22</v>
      </c>
      <c r="F157" s="19">
        <v>0</v>
      </c>
      <c r="G157" s="19">
        <v>0</v>
      </c>
      <c r="H157" s="19">
        <v>200</v>
      </c>
      <c r="I157" s="19">
        <v>0</v>
      </c>
      <c r="J157" s="19">
        <v>0</v>
      </c>
      <c r="K157" s="19">
        <v>0</v>
      </c>
      <c r="L157" s="19" t="s">
        <v>45</v>
      </c>
      <c r="M157" s="19" t="s">
        <v>45</v>
      </c>
      <c r="N157" s="19" t="s">
        <v>45</v>
      </c>
      <c r="O157" s="19" t="s">
        <v>45</v>
      </c>
      <c r="P157" s="19" t="s">
        <v>28</v>
      </c>
      <c r="Q157" s="19">
        <v>41</v>
      </c>
      <c r="R157" s="19">
        <v>7</v>
      </c>
      <c r="S157" s="19">
        <v>3</v>
      </c>
      <c r="T157" s="19">
        <v>120</v>
      </c>
      <c r="U157" s="19" t="s">
        <v>614</v>
      </c>
      <c r="V157" s="19">
        <v>0</v>
      </c>
      <c r="W157" s="19"/>
      <c r="X157" s="8" t="str">
        <v>融泥块（爆炸）</v>
      </c>
      <c r="Y157" s="8" t="str">
        <v>龙咬</v>
      </c>
    </row>
    <row r="158" spans="1:25" x14ac:dyDescent="0.3">
      <c r="A158" s="19">
        <v>210621050</v>
      </c>
      <c r="B158" s="59" t="s">
        <v>318</v>
      </c>
      <c r="C158" s="19">
        <v>1</v>
      </c>
      <c r="D158" s="19">
        <v>28</v>
      </c>
      <c r="E158" s="19">
        <v>22</v>
      </c>
      <c r="F158" s="19">
        <v>0</v>
      </c>
      <c r="G158" s="19">
        <v>0</v>
      </c>
      <c r="H158" s="19">
        <v>100</v>
      </c>
      <c r="I158" s="19">
        <v>0</v>
      </c>
      <c r="J158" s="19">
        <v>0</v>
      </c>
      <c r="K158" s="19">
        <v>0</v>
      </c>
      <c r="L158" s="19" t="s">
        <v>45</v>
      </c>
      <c r="M158" s="19" t="s">
        <v>45</v>
      </c>
      <c r="N158" s="19" t="s">
        <v>47</v>
      </c>
      <c r="O158" s="19" t="s">
        <v>45</v>
      </c>
      <c r="P158" s="19" t="s">
        <v>28</v>
      </c>
      <c r="Q158" s="19">
        <v>41</v>
      </c>
      <c r="R158" s="19">
        <v>5</v>
      </c>
      <c r="S158" s="19">
        <v>1</v>
      </c>
      <c r="T158" s="19">
        <v>50</v>
      </c>
      <c r="U158" s="19" t="s">
        <v>614</v>
      </c>
      <c r="V158" s="19">
        <v>0</v>
      </c>
      <c r="W158" s="19"/>
      <c r="X158" s="8" t="str">
        <v>融泥块（投掷）-蓄力</v>
      </c>
      <c r="Y158" s="8" t="str">
        <v>桂奥尔的咆哮</v>
      </c>
    </row>
    <row r="159" spans="1:25" x14ac:dyDescent="0.3">
      <c r="A159" s="19">
        <v>210621051</v>
      </c>
      <c r="B159" s="59" t="s">
        <v>319</v>
      </c>
      <c r="C159" s="19">
        <v>1</v>
      </c>
      <c r="D159" s="19">
        <v>28</v>
      </c>
      <c r="E159" s="19">
        <v>22</v>
      </c>
      <c r="F159" s="19">
        <v>0</v>
      </c>
      <c r="G159" s="19">
        <v>0</v>
      </c>
      <c r="H159" s="19">
        <v>300</v>
      </c>
      <c r="I159" s="19">
        <v>0</v>
      </c>
      <c r="J159" s="19">
        <v>0</v>
      </c>
      <c r="K159" s="19">
        <v>0</v>
      </c>
      <c r="L159" s="19" t="s">
        <v>45</v>
      </c>
      <c r="M159" s="19" t="s">
        <v>45</v>
      </c>
      <c r="N159" s="19" t="s">
        <v>47</v>
      </c>
      <c r="O159" s="19" t="s">
        <v>45</v>
      </c>
      <c r="P159" s="19" t="s">
        <v>28</v>
      </c>
      <c r="Q159" s="19">
        <v>41</v>
      </c>
      <c r="R159" s="19">
        <v>13</v>
      </c>
      <c r="S159" s="19">
        <v>3</v>
      </c>
      <c r="T159" s="19">
        <v>150</v>
      </c>
      <c r="U159" s="19" t="s">
        <v>614</v>
      </c>
      <c r="V159" s="19">
        <v>0</v>
      </c>
      <c r="W159" s="19"/>
      <c r="X159" s="8" t="str">
        <v>融泥块（爆炸）-蓄力</v>
      </c>
      <c r="Y159" s="8" t="str">
        <v>贝勒的残虐（咆哮）</v>
      </c>
    </row>
    <row r="160" spans="1:25" x14ac:dyDescent="0.3">
      <c r="A160" s="19">
        <v>210620000</v>
      </c>
      <c r="B160" s="59" t="s">
        <v>315</v>
      </c>
      <c r="C160" s="19">
        <v>1</v>
      </c>
      <c r="D160" s="19">
        <v>32</v>
      </c>
      <c r="E160" s="19">
        <v>26</v>
      </c>
      <c r="F160" s="19">
        <v>0</v>
      </c>
      <c r="G160" s="19">
        <v>0</v>
      </c>
      <c r="H160" s="19">
        <v>328</v>
      </c>
      <c r="I160" s="19">
        <v>0</v>
      </c>
      <c r="J160" s="19">
        <v>0</v>
      </c>
      <c r="K160" s="19">
        <v>0</v>
      </c>
      <c r="L160" s="19" t="s">
        <v>45</v>
      </c>
      <c r="M160" s="19" t="s">
        <v>45</v>
      </c>
      <c r="N160" s="19" t="s">
        <v>45</v>
      </c>
      <c r="O160" s="19" t="s">
        <v>45</v>
      </c>
      <c r="P160" s="19" t="s">
        <v>28</v>
      </c>
      <c r="Q160" s="19">
        <v>29</v>
      </c>
      <c r="R160" s="19">
        <v>5</v>
      </c>
      <c r="S160" s="19">
        <v>1</v>
      </c>
      <c r="T160" s="19">
        <v>170</v>
      </c>
      <c r="U160" s="19" t="s">
        <v>614</v>
      </c>
      <c r="V160" s="19">
        <v>0</v>
      </c>
      <c r="W160" s="19"/>
      <c r="X160" s="8" t="str">
        <v>融泥漩</v>
      </c>
      <c r="Y160" s="8" t="str">
        <v>贝勒的残虐（岩浆）</v>
      </c>
    </row>
    <row r="161" spans="1:25" x14ac:dyDescent="0.3">
      <c r="A161" s="19">
        <v>64100</v>
      </c>
      <c r="B161" s="59" t="s">
        <v>172</v>
      </c>
      <c r="C161" s="19">
        <v>1</v>
      </c>
      <c r="D161" s="19">
        <v>0</v>
      </c>
      <c r="E161" s="19">
        <v>32</v>
      </c>
      <c r="F161" s="19">
        <v>0</v>
      </c>
      <c r="G161" s="19">
        <v>0</v>
      </c>
      <c r="H161" s="19">
        <v>0</v>
      </c>
      <c r="I161" s="19">
        <v>0</v>
      </c>
      <c r="J161" s="19">
        <v>0</v>
      </c>
      <c r="K161" s="19">
        <v>350</v>
      </c>
      <c r="L161" s="19" t="s">
        <v>45</v>
      </c>
      <c r="M161" s="19" t="s">
        <v>45</v>
      </c>
      <c r="N161" s="19" t="s">
        <v>45</v>
      </c>
      <c r="O161" s="19" t="s">
        <v>45</v>
      </c>
      <c r="P161" s="19" t="s">
        <v>35</v>
      </c>
      <c r="Q161" s="19">
        <v>40</v>
      </c>
      <c r="R161" s="19">
        <v>12.025</v>
      </c>
      <c r="S161" s="19">
        <v>7</v>
      </c>
      <c r="T161" s="19"/>
      <c r="U161" s="19"/>
      <c r="V161" s="19">
        <v>0</v>
      </c>
      <c r="W161" s="19"/>
      <c r="Y161" s="8" t="str">
        <v>贝勒的焰雷</v>
      </c>
    </row>
    <row r="162" spans="1:25" x14ac:dyDescent="0.3">
      <c r="A162" s="19">
        <v>64105</v>
      </c>
      <c r="B162" s="59" t="s">
        <v>173</v>
      </c>
      <c r="C162" s="19">
        <v>1</v>
      </c>
      <c r="D162" s="19">
        <v>0</v>
      </c>
      <c r="E162" s="19">
        <v>32</v>
      </c>
      <c r="F162" s="19">
        <v>0</v>
      </c>
      <c r="G162" s="19">
        <v>0</v>
      </c>
      <c r="H162" s="19">
        <v>0</v>
      </c>
      <c r="I162" s="19">
        <v>0</v>
      </c>
      <c r="J162" s="19">
        <v>0</v>
      </c>
      <c r="K162" s="19">
        <v>420</v>
      </c>
      <c r="L162" s="19" t="s">
        <v>45</v>
      </c>
      <c r="M162" s="19" t="s">
        <v>45</v>
      </c>
      <c r="N162" s="19" t="s">
        <v>47</v>
      </c>
      <c r="O162" s="19" t="s">
        <v>45</v>
      </c>
      <c r="P162" s="19" t="s">
        <v>35</v>
      </c>
      <c r="Q162" s="19">
        <v>40</v>
      </c>
      <c r="R162" s="19">
        <v>16.8</v>
      </c>
      <c r="S162" s="19">
        <v>7</v>
      </c>
      <c r="T162" s="19"/>
      <c r="U162" s="19"/>
      <c r="V162" s="19">
        <v>0</v>
      </c>
      <c r="W162" s="19"/>
    </row>
    <row r="163" spans="1:25" x14ac:dyDescent="0.3">
      <c r="A163" s="19">
        <v>210669000</v>
      </c>
      <c r="B163" s="59" t="s">
        <v>344</v>
      </c>
      <c r="C163" s="19">
        <v>1</v>
      </c>
      <c r="D163" s="19">
        <v>0</v>
      </c>
      <c r="E163" s="19">
        <v>34</v>
      </c>
      <c r="F163" s="19">
        <v>0</v>
      </c>
      <c r="G163" s="19">
        <v>0</v>
      </c>
      <c r="H163" s="19">
        <v>0</v>
      </c>
      <c r="I163" s="19">
        <v>0</v>
      </c>
      <c r="J163" s="19">
        <v>0</v>
      </c>
      <c r="K163" s="19">
        <v>100</v>
      </c>
      <c r="L163" s="19" t="s">
        <v>45</v>
      </c>
      <c r="M163" s="19" t="s">
        <v>45</v>
      </c>
      <c r="N163" s="19" t="s">
        <v>45</v>
      </c>
      <c r="O163" s="19" t="s">
        <v>45</v>
      </c>
      <c r="P163" s="19" t="s">
        <v>35</v>
      </c>
      <c r="Q163" s="19">
        <v>18</v>
      </c>
      <c r="R163" s="19">
        <v>10</v>
      </c>
      <c r="S163" s="19">
        <v>7</v>
      </c>
      <c r="T163" s="19"/>
      <c r="U163" s="19"/>
      <c r="V163" s="19">
        <v>0</v>
      </c>
      <c r="W163" s="19"/>
    </row>
    <row r="164" spans="1:25" x14ac:dyDescent="0.3">
      <c r="A164" s="19">
        <v>210669050</v>
      </c>
      <c r="B164" s="59" t="s">
        <v>345</v>
      </c>
      <c r="C164" s="19">
        <v>1</v>
      </c>
      <c r="D164" s="19">
        <v>0</v>
      </c>
      <c r="E164" s="19">
        <v>34</v>
      </c>
      <c r="F164" s="19">
        <v>0</v>
      </c>
      <c r="G164" s="19">
        <v>0</v>
      </c>
      <c r="H164" s="19">
        <v>0</v>
      </c>
      <c r="I164" s="19">
        <v>0</v>
      </c>
      <c r="J164" s="19">
        <v>0</v>
      </c>
      <c r="K164" s="19">
        <v>120</v>
      </c>
      <c r="L164" s="19" t="s">
        <v>45</v>
      </c>
      <c r="M164" s="19" t="s">
        <v>45</v>
      </c>
      <c r="N164" s="19" t="s">
        <v>47</v>
      </c>
      <c r="O164" s="19" t="s">
        <v>45</v>
      </c>
      <c r="P164" s="19" t="s">
        <v>35</v>
      </c>
      <c r="Q164" s="19">
        <v>18</v>
      </c>
      <c r="R164" s="19">
        <v>15</v>
      </c>
      <c r="S164" s="19">
        <v>7</v>
      </c>
      <c r="T164" s="19"/>
      <c r="U164" s="19"/>
      <c r="V164" s="19">
        <v>0</v>
      </c>
      <c r="W164" s="19"/>
    </row>
    <row r="165" spans="1:25" x14ac:dyDescent="0.3">
      <c r="A165" s="19">
        <v>75200</v>
      </c>
      <c r="B165" s="59" t="s">
        <v>238</v>
      </c>
      <c r="C165" s="19">
        <v>3</v>
      </c>
      <c r="D165" s="19">
        <v>0</v>
      </c>
      <c r="E165" s="19">
        <v>27</v>
      </c>
      <c r="F165" s="19">
        <v>0</v>
      </c>
      <c r="G165" s="19">
        <v>0</v>
      </c>
      <c r="H165" s="19">
        <v>0</v>
      </c>
      <c r="I165" s="19">
        <v>98</v>
      </c>
      <c r="J165" s="19">
        <v>0</v>
      </c>
      <c r="K165" s="19">
        <v>0</v>
      </c>
      <c r="L165" s="19" t="s">
        <v>45</v>
      </c>
      <c r="M165" s="19" t="s">
        <v>234</v>
      </c>
      <c r="N165" s="19" t="s">
        <v>322</v>
      </c>
      <c r="O165" s="19" t="s">
        <v>45</v>
      </c>
      <c r="P165" s="19" t="s">
        <v>35</v>
      </c>
      <c r="Q165" s="19">
        <v>28</v>
      </c>
      <c r="R165" s="19">
        <v>4</v>
      </c>
      <c r="S165" s="19">
        <v>2</v>
      </c>
      <c r="T165" s="19"/>
      <c r="U165" s="19"/>
      <c r="V165" s="19">
        <v>0</v>
      </c>
      <c r="W165" s="19"/>
    </row>
    <row r="166" spans="1:25" x14ac:dyDescent="0.3">
      <c r="A166" s="19">
        <v>75000</v>
      </c>
      <c r="B166" s="59" t="s">
        <v>233</v>
      </c>
      <c r="C166" s="19">
        <v>1</v>
      </c>
      <c r="D166" s="19">
        <v>0</v>
      </c>
      <c r="E166" s="19">
        <v>27</v>
      </c>
      <c r="F166" s="19">
        <v>0</v>
      </c>
      <c r="G166" s="19">
        <v>202</v>
      </c>
      <c r="H166" s="19">
        <v>0</v>
      </c>
      <c r="I166" s="19">
        <v>0</v>
      </c>
      <c r="J166" s="19">
        <v>0</v>
      </c>
      <c r="K166" s="19">
        <v>0</v>
      </c>
      <c r="L166" s="19" t="s">
        <v>432</v>
      </c>
      <c r="M166" s="19" t="s">
        <v>234</v>
      </c>
      <c r="N166" s="19" t="s">
        <v>45</v>
      </c>
      <c r="O166" s="19" t="s">
        <v>45</v>
      </c>
      <c r="P166" s="19" t="s">
        <v>35</v>
      </c>
      <c r="Q166" s="19">
        <v>20</v>
      </c>
      <c r="R166" s="19">
        <v>13</v>
      </c>
      <c r="S166" s="19">
        <v>2</v>
      </c>
      <c r="T166" s="19"/>
      <c r="U166" s="19"/>
      <c r="V166" s="19">
        <v>0</v>
      </c>
      <c r="W166" s="19"/>
    </row>
    <row r="167" spans="1:25" x14ac:dyDescent="0.3">
      <c r="A167" s="19">
        <v>75005</v>
      </c>
      <c r="B167" s="59" t="s">
        <v>235</v>
      </c>
      <c r="C167" s="19">
        <v>1</v>
      </c>
      <c r="D167" s="19">
        <v>0</v>
      </c>
      <c r="E167" s="19">
        <v>27</v>
      </c>
      <c r="F167" s="19">
        <v>0</v>
      </c>
      <c r="G167" s="19">
        <v>274</v>
      </c>
      <c r="H167" s="19">
        <v>0</v>
      </c>
      <c r="I167" s="19">
        <v>0</v>
      </c>
      <c r="J167" s="19">
        <v>0</v>
      </c>
      <c r="K167" s="19">
        <v>0</v>
      </c>
      <c r="L167" s="19" t="s">
        <v>432</v>
      </c>
      <c r="M167" s="19" t="s">
        <v>234</v>
      </c>
      <c r="N167" s="19" t="s">
        <v>47</v>
      </c>
      <c r="O167" s="19" t="s">
        <v>45</v>
      </c>
      <c r="P167" s="19" t="s">
        <v>35</v>
      </c>
      <c r="Q167" s="19">
        <v>20</v>
      </c>
      <c r="R167" s="19">
        <v>39</v>
      </c>
      <c r="S167" s="19">
        <v>7</v>
      </c>
      <c r="T167" s="19"/>
      <c r="U167" s="19"/>
      <c r="V167" s="19">
        <v>0</v>
      </c>
      <c r="W167" s="19"/>
    </row>
    <row r="168" spans="1:25" x14ac:dyDescent="0.3">
      <c r="A168" s="19">
        <v>75100</v>
      </c>
      <c r="B168" s="59" t="s">
        <v>236</v>
      </c>
      <c r="C168" s="19">
        <v>1</v>
      </c>
      <c r="D168" s="19">
        <v>0</v>
      </c>
      <c r="E168" s="19">
        <v>27</v>
      </c>
      <c r="F168" s="19">
        <v>0</v>
      </c>
      <c r="G168" s="19">
        <v>277</v>
      </c>
      <c r="H168" s="19">
        <v>0</v>
      </c>
      <c r="I168" s="19">
        <v>0</v>
      </c>
      <c r="J168" s="19">
        <v>0</v>
      </c>
      <c r="K168" s="19">
        <v>0</v>
      </c>
      <c r="L168" s="19" t="s">
        <v>432</v>
      </c>
      <c r="M168" s="19" t="s">
        <v>234</v>
      </c>
      <c r="N168" s="19" t="s">
        <v>45</v>
      </c>
      <c r="O168" s="19" t="s">
        <v>45</v>
      </c>
      <c r="P168" s="19" t="s">
        <v>35</v>
      </c>
      <c r="Q168" s="19">
        <v>18</v>
      </c>
      <c r="R168" s="19">
        <v>16.113499999999998</v>
      </c>
      <c r="S168" s="19">
        <v>3</v>
      </c>
      <c r="T168" s="19"/>
      <c r="U168" s="19"/>
      <c r="V168" s="19">
        <v>0</v>
      </c>
      <c r="W168" s="19"/>
    </row>
    <row r="169" spans="1:25" x14ac:dyDescent="0.3">
      <c r="A169" s="19">
        <v>75105</v>
      </c>
      <c r="B169" s="59" t="s">
        <v>237</v>
      </c>
      <c r="C169" s="19">
        <v>1</v>
      </c>
      <c r="D169" s="19">
        <v>0</v>
      </c>
      <c r="E169" s="19">
        <v>27</v>
      </c>
      <c r="F169" s="19">
        <v>0</v>
      </c>
      <c r="G169" s="19">
        <v>327</v>
      </c>
      <c r="H169" s="19">
        <v>0</v>
      </c>
      <c r="I169" s="19">
        <v>0</v>
      </c>
      <c r="J169" s="19">
        <v>0</v>
      </c>
      <c r="K169" s="19">
        <v>0</v>
      </c>
      <c r="L169" s="19" t="s">
        <v>432</v>
      </c>
      <c r="M169" s="19" t="s">
        <v>234</v>
      </c>
      <c r="N169" s="19" t="s">
        <v>47</v>
      </c>
      <c r="O169" s="19" t="s">
        <v>45</v>
      </c>
      <c r="P169" s="19" t="s">
        <v>35</v>
      </c>
      <c r="Q169" s="19">
        <v>18</v>
      </c>
      <c r="R169" s="19">
        <v>30</v>
      </c>
      <c r="S169" s="19">
        <v>9</v>
      </c>
      <c r="T169" s="19"/>
      <c r="U169" s="19"/>
      <c r="V169" s="19">
        <v>0</v>
      </c>
      <c r="W169" s="19"/>
    </row>
    <row r="170" spans="1:25" x14ac:dyDescent="0.3">
      <c r="A170" s="19">
        <v>210665001</v>
      </c>
      <c r="B170" s="59" t="s">
        <v>346</v>
      </c>
      <c r="C170" s="19">
        <v>1</v>
      </c>
      <c r="D170" s="19">
        <v>0</v>
      </c>
      <c r="E170" s="19">
        <v>27</v>
      </c>
      <c r="F170" s="19">
        <v>0</v>
      </c>
      <c r="G170" s="19">
        <v>120</v>
      </c>
      <c r="H170" s="19">
        <v>0</v>
      </c>
      <c r="I170" s="19">
        <v>0</v>
      </c>
      <c r="J170" s="19">
        <v>0</v>
      </c>
      <c r="K170" s="19">
        <v>0</v>
      </c>
      <c r="L170" s="19" t="s">
        <v>435</v>
      </c>
      <c r="M170" s="19" t="s">
        <v>234</v>
      </c>
      <c r="N170" s="19" t="s">
        <v>45</v>
      </c>
      <c r="O170" s="19" t="s">
        <v>45</v>
      </c>
      <c r="P170" s="19" t="s">
        <v>35</v>
      </c>
      <c r="Q170" s="19">
        <v>14</v>
      </c>
      <c r="R170" s="19">
        <v>5</v>
      </c>
      <c r="S170" s="19">
        <v>2</v>
      </c>
      <c r="T170" s="19"/>
      <c r="U170" s="19"/>
      <c r="V170" s="19">
        <v>0</v>
      </c>
      <c r="W170" s="19"/>
    </row>
    <row r="171" spans="1:25" x14ac:dyDescent="0.3">
      <c r="A171" s="19">
        <v>210665000</v>
      </c>
      <c r="B171" s="59" t="s">
        <v>347</v>
      </c>
      <c r="C171" s="19">
        <v>4</v>
      </c>
      <c r="D171" s="19">
        <v>0</v>
      </c>
      <c r="E171" s="19">
        <v>27</v>
      </c>
      <c r="F171" s="19">
        <v>0</v>
      </c>
      <c r="G171" s="19">
        <v>45</v>
      </c>
      <c r="H171" s="19">
        <v>0</v>
      </c>
      <c r="I171" s="19">
        <v>0</v>
      </c>
      <c r="J171" s="19">
        <v>0</v>
      </c>
      <c r="K171" s="19">
        <v>0</v>
      </c>
      <c r="L171" s="19" t="s">
        <v>435</v>
      </c>
      <c r="M171" s="19" t="s">
        <v>234</v>
      </c>
      <c r="N171" s="19" t="s">
        <v>45</v>
      </c>
      <c r="O171" s="19" t="s">
        <v>45</v>
      </c>
      <c r="P171" s="19" t="s">
        <v>35</v>
      </c>
      <c r="Q171" s="19">
        <v>14</v>
      </c>
      <c r="R171" s="19">
        <v>0.6</v>
      </c>
      <c r="S171" s="19">
        <v>1</v>
      </c>
      <c r="T171" s="19"/>
      <c r="U171" s="19"/>
      <c r="V171" s="19">
        <v>0</v>
      </c>
      <c r="W171" s="19"/>
    </row>
    <row r="172" spans="1:25" x14ac:dyDescent="0.3">
      <c r="A172" s="19">
        <v>210666000</v>
      </c>
      <c r="B172" s="59" t="s">
        <v>348</v>
      </c>
      <c r="C172" s="19">
        <v>4</v>
      </c>
      <c r="D172" s="19">
        <v>0</v>
      </c>
      <c r="E172" s="19">
        <v>27</v>
      </c>
      <c r="F172" s="19">
        <v>0</v>
      </c>
      <c r="G172" s="19">
        <v>0</v>
      </c>
      <c r="H172" s="19">
        <v>0</v>
      </c>
      <c r="I172" s="19">
        <v>0</v>
      </c>
      <c r="J172" s="19">
        <v>0</v>
      </c>
      <c r="K172" s="19">
        <v>80</v>
      </c>
      <c r="L172" s="19" t="s">
        <v>45</v>
      </c>
      <c r="M172" s="19" t="s">
        <v>234</v>
      </c>
      <c r="N172" s="19" t="s">
        <v>45</v>
      </c>
      <c r="O172" s="19" t="s">
        <v>45</v>
      </c>
      <c r="P172" s="19" t="s">
        <v>35</v>
      </c>
      <c r="Q172" s="19">
        <v>23</v>
      </c>
      <c r="R172" s="19">
        <v>2</v>
      </c>
      <c r="S172" s="19">
        <v>1</v>
      </c>
      <c r="T172" s="19"/>
      <c r="U172" s="19"/>
      <c r="V172" s="19">
        <v>0</v>
      </c>
      <c r="W172" s="19"/>
    </row>
    <row r="173" spans="1:25" x14ac:dyDescent="0.3">
      <c r="A173" s="19">
        <v>210666050</v>
      </c>
      <c r="B173" s="59" t="s">
        <v>349</v>
      </c>
      <c r="C173" s="19">
        <v>6</v>
      </c>
      <c r="D173" s="19">
        <v>0</v>
      </c>
      <c r="E173" s="19">
        <v>27</v>
      </c>
      <c r="F173" s="19">
        <v>0</v>
      </c>
      <c r="G173" s="19">
        <v>0</v>
      </c>
      <c r="H173" s="19">
        <v>0</v>
      </c>
      <c r="I173" s="19">
        <v>0</v>
      </c>
      <c r="J173" s="19">
        <v>0</v>
      </c>
      <c r="K173" s="19">
        <v>100</v>
      </c>
      <c r="L173" s="19" t="s">
        <v>45</v>
      </c>
      <c r="M173" s="19" t="s">
        <v>234</v>
      </c>
      <c r="N173" s="19" t="s">
        <v>47</v>
      </c>
      <c r="O173" s="19" t="s">
        <v>45</v>
      </c>
      <c r="P173" s="19" t="s">
        <v>35</v>
      </c>
      <c r="Q173" s="19">
        <v>23</v>
      </c>
      <c r="R173" s="19">
        <v>2</v>
      </c>
      <c r="S173" s="19">
        <v>1</v>
      </c>
      <c r="T173" s="19"/>
      <c r="U173" s="19"/>
      <c r="V173" s="19">
        <v>0</v>
      </c>
      <c r="W173" s="19"/>
    </row>
    <row r="174" spans="1:25" x14ac:dyDescent="0.3">
      <c r="A174" s="19">
        <v>210668000</v>
      </c>
      <c r="B174" s="59" t="s">
        <v>351</v>
      </c>
      <c r="C174" s="19">
        <v>1</v>
      </c>
      <c r="D174" s="19">
        <v>0</v>
      </c>
      <c r="E174" s="19">
        <v>58</v>
      </c>
      <c r="F174" s="19">
        <v>0</v>
      </c>
      <c r="G174" s="19">
        <v>0</v>
      </c>
      <c r="H174" s="19">
        <v>0</v>
      </c>
      <c r="I174" s="19">
        <v>0</v>
      </c>
      <c r="J174" s="19">
        <v>0</v>
      </c>
      <c r="K174" s="19">
        <v>150</v>
      </c>
      <c r="L174" s="19" t="s">
        <v>45</v>
      </c>
      <c r="M174" s="19" t="s">
        <v>45</v>
      </c>
      <c r="N174" s="19" t="s">
        <v>45</v>
      </c>
      <c r="O174" s="19" t="s">
        <v>45</v>
      </c>
      <c r="P174" s="19" t="s">
        <v>35</v>
      </c>
      <c r="Q174" s="19">
        <v>40</v>
      </c>
      <c r="R174" s="19">
        <v>10</v>
      </c>
      <c r="S174" s="19">
        <v>7</v>
      </c>
      <c r="T174" s="19"/>
      <c r="U174" s="19"/>
      <c r="V174" s="19">
        <v>0</v>
      </c>
      <c r="W174" s="19"/>
    </row>
    <row r="175" spans="1:25" x14ac:dyDescent="0.3">
      <c r="A175" s="19">
        <v>210668001</v>
      </c>
      <c r="B175" s="59" t="s">
        <v>350</v>
      </c>
      <c r="C175" s="19">
        <v>10</v>
      </c>
      <c r="D175" s="19">
        <v>0</v>
      </c>
      <c r="E175" s="19">
        <v>58</v>
      </c>
      <c r="F175" s="19">
        <v>0</v>
      </c>
      <c r="G175" s="19">
        <v>0</v>
      </c>
      <c r="H175" s="19">
        <v>0</v>
      </c>
      <c r="I175" s="19">
        <v>0</v>
      </c>
      <c r="J175" s="19">
        <v>0</v>
      </c>
      <c r="K175" s="19">
        <v>65</v>
      </c>
      <c r="L175" s="19" t="s">
        <v>45</v>
      </c>
      <c r="M175" s="19" t="s">
        <v>45</v>
      </c>
      <c r="N175" s="19" t="s">
        <v>45</v>
      </c>
      <c r="O175" s="19" t="s">
        <v>45</v>
      </c>
      <c r="P175" s="19" t="s">
        <v>35</v>
      </c>
      <c r="Q175" s="19">
        <v>40</v>
      </c>
      <c r="R175" s="19">
        <v>2</v>
      </c>
      <c r="S175" s="19">
        <v>0</v>
      </c>
      <c r="T175" s="19"/>
      <c r="U175" s="19"/>
      <c r="V175" s="19">
        <v>0</v>
      </c>
      <c r="W175" s="19"/>
    </row>
    <row r="176" spans="1:25" x14ac:dyDescent="0.3">
      <c r="A176" s="19">
        <v>67201</v>
      </c>
      <c r="B176" s="59" t="s">
        <v>179</v>
      </c>
      <c r="C176" s="19">
        <v>1</v>
      </c>
      <c r="D176" s="19">
        <v>0</v>
      </c>
      <c r="E176" s="19">
        <v>50</v>
      </c>
      <c r="F176" s="19">
        <v>0</v>
      </c>
      <c r="G176" s="19">
        <v>0</v>
      </c>
      <c r="H176" s="19">
        <v>0</v>
      </c>
      <c r="I176" s="19">
        <v>0</v>
      </c>
      <c r="J176" s="19">
        <v>0</v>
      </c>
      <c r="K176" s="19">
        <v>199</v>
      </c>
      <c r="L176" s="19" t="s">
        <v>45</v>
      </c>
      <c r="M176" s="19" t="s">
        <v>45</v>
      </c>
      <c r="N176" s="19" t="s">
        <v>45</v>
      </c>
      <c r="O176" s="19" t="s">
        <v>45</v>
      </c>
      <c r="P176" s="19" t="s">
        <v>35</v>
      </c>
      <c r="Q176" s="19">
        <v>41</v>
      </c>
      <c r="R176" s="19">
        <v>14.4</v>
      </c>
      <c r="S176" s="19">
        <v>3</v>
      </c>
      <c r="T176" s="19"/>
      <c r="U176" s="19"/>
      <c r="V176" s="19">
        <v>0</v>
      </c>
      <c r="W176" s="19"/>
    </row>
    <row r="177" spans="1:23" x14ac:dyDescent="0.3">
      <c r="A177" s="19">
        <v>67200</v>
      </c>
      <c r="B177" s="59" t="s">
        <v>180</v>
      </c>
      <c r="C177" s="19">
        <v>20</v>
      </c>
      <c r="D177" s="19">
        <v>0</v>
      </c>
      <c r="E177" s="19">
        <v>50</v>
      </c>
      <c r="F177" s="19">
        <v>0</v>
      </c>
      <c r="G177" s="19">
        <v>0</v>
      </c>
      <c r="H177" s="19">
        <v>0</v>
      </c>
      <c r="I177" s="19">
        <v>0</v>
      </c>
      <c r="J177" s="19">
        <v>0</v>
      </c>
      <c r="K177" s="19">
        <v>20</v>
      </c>
      <c r="L177" s="19" t="s">
        <v>45</v>
      </c>
      <c r="M177" s="19" t="s">
        <v>45</v>
      </c>
      <c r="N177" s="19" t="s">
        <v>45</v>
      </c>
      <c r="O177" s="19" t="s">
        <v>45</v>
      </c>
      <c r="P177" s="19" t="s">
        <v>35</v>
      </c>
      <c r="Q177" s="19">
        <v>41</v>
      </c>
      <c r="R177" s="19">
        <v>0.5</v>
      </c>
      <c r="S177" s="19">
        <v>0</v>
      </c>
      <c r="T177" s="19"/>
      <c r="U177" s="19"/>
      <c r="V177" s="19">
        <v>0</v>
      </c>
      <c r="W177" s="19"/>
    </row>
    <row r="178" spans="1:23" x14ac:dyDescent="0.3">
      <c r="A178" s="19">
        <v>67202</v>
      </c>
      <c r="B178" s="59" t="s">
        <v>181</v>
      </c>
      <c r="C178" s="19">
        <v>2</v>
      </c>
      <c r="D178" s="19">
        <v>0</v>
      </c>
      <c r="E178" s="19">
        <v>50</v>
      </c>
      <c r="F178" s="19">
        <v>0</v>
      </c>
      <c r="G178" s="19">
        <v>0</v>
      </c>
      <c r="H178" s="19">
        <v>0</v>
      </c>
      <c r="I178" s="19">
        <v>0</v>
      </c>
      <c r="J178" s="19">
        <v>0</v>
      </c>
      <c r="K178" s="19">
        <v>61</v>
      </c>
      <c r="L178" s="19" t="s">
        <v>45</v>
      </c>
      <c r="M178" s="19" t="s">
        <v>45</v>
      </c>
      <c r="N178" s="19" t="s">
        <v>45</v>
      </c>
      <c r="O178" s="19" t="s">
        <v>45</v>
      </c>
      <c r="P178" s="19" t="s">
        <v>35</v>
      </c>
      <c r="Q178" s="19">
        <v>41</v>
      </c>
      <c r="R178" s="19">
        <v>0.5</v>
      </c>
      <c r="S178" s="19">
        <v>1</v>
      </c>
      <c r="T178" s="19"/>
      <c r="U178" s="19"/>
      <c r="V178" s="19">
        <v>0</v>
      </c>
      <c r="W178" s="19"/>
    </row>
    <row r="179" spans="1:23" x14ac:dyDescent="0.3">
      <c r="A179" s="19">
        <v>75300</v>
      </c>
      <c r="B179" s="59" t="s">
        <v>785</v>
      </c>
      <c r="C179" s="19">
        <v>1</v>
      </c>
      <c r="D179" s="19">
        <v>0</v>
      </c>
      <c r="E179" s="19">
        <v>46</v>
      </c>
      <c r="F179" s="19">
        <v>0</v>
      </c>
      <c r="G179" s="19">
        <v>0</v>
      </c>
      <c r="H179" s="19">
        <v>0</v>
      </c>
      <c r="I179" s="19">
        <v>0</v>
      </c>
      <c r="J179" s="19">
        <v>0</v>
      </c>
      <c r="K179" s="19">
        <v>225</v>
      </c>
      <c r="L179" s="19" t="s">
        <v>45</v>
      </c>
      <c r="M179" s="19" t="s">
        <v>45</v>
      </c>
      <c r="N179" s="19" t="s">
        <v>45</v>
      </c>
      <c r="O179" s="19" t="s">
        <v>45</v>
      </c>
      <c r="P179" s="19" t="s">
        <v>35</v>
      </c>
      <c r="Q179" s="19">
        <v>26</v>
      </c>
      <c r="R179" s="19">
        <v>9</v>
      </c>
      <c r="S179" s="19">
        <v>3</v>
      </c>
      <c r="T179" s="19"/>
      <c r="U179" s="19"/>
      <c r="V179" s="19">
        <v>0</v>
      </c>
      <c r="W179" s="19"/>
    </row>
    <row r="180" spans="1:23" x14ac:dyDescent="0.3">
      <c r="A180" s="19">
        <v>75301</v>
      </c>
      <c r="B180" s="59" t="s">
        <v>788</v>
      </c>
      <c r="C180" s="19">
        <v>1</v>
      </c>
      <c r="D180" s="19">
        <v>0</v>
      </c>
      <c r="E180" s="19">
        <v>46</v>
      </c>
      <c r="F180" s="19">
        <v>0</v>
      </c>
      <c r="G180" s="19">
        <v>0</v>
      </c>
      <c r="H180" s="19">
        <v>0</v>
      </c>
      <c r="I180" s="19">
        <v>0</v>
      </c>
      <c r="J180" s="19">
        <v>0</v>
      </c>
      <c r="K180" s="19">
        <v>162</v>
      </c>
      <c r="L180" s="19" t="s">
        <v>45</v>
      </c>
      <c r="M180" s="19" t="s">
        <v>45</v>
      </c>
      <c r="N180" s="19" t="s">
        <v>45</v>
      </c>
      <c r="O180" s="19" t="s">
        <v>45</v>
      </c>
      <c r="P180" s="19" t="s">
        <v>35</v>
      </c>
      <c r="Q180" s="19">
        <v>26</v>
      </c>
      <c r="R180" s="19">
        <v>4</v>
      </c>
      <c r="S180" s="19">
        <v>3</v>
      </c>
      <c r="T180" s="19"/>
      <c r="U180" s="19"/>
      <c r="V180" s="19">
        <v>0</v>
      </c>
      <c r="W180" s="19"/>
    </row>
    <row r="181" spans="1:23" x14ac:dyDescent="0.3">
      <c r="A181" s="19">
        <v>75302</v>
      </c>
      <c r="B181" s="59" t="s">
        <v>787</v>
      </c>
      <c r="C181" s="19">
        <v>1</v>
      </c>
      <c r="D181" s="19">
        <v>0</v>
      </c>
      <c r="E181" s="19">
        <v>46</v>
      </c>
      <c r="F181" s="19">
        <v>0</v>
      </c>
      <c r="G181" s="19">
        <v>0</v>
      </c>
      <c r="H181" s="19">
        <v>0</v>
      </c>
      <c r="I181" s="19">
        <v>0</v>
      </c>
      <c r="J181" s="19">
        <v>0</v>
      </c>
      <c r="K181" s="19">
        <v>232</v>
      </c>
      <c r="L181" s="19" t="s">
        <v>45</v>
      </c>
      <c r="M181" s="19" t="s">
        <v>45</v>
      </c>
      <c r="N181" s="19" t="s">
        <v>45</v>
      </c>
      <c r="O181" s="19" t="s">
        <v>45</v>
      </c>
      <c r="P181" s="19" t="s">
        <v>35</v>
      </c>
      <c r="Q181" s="19">
        <v>26</v>
      </c>
      <c r="R181" s="19">
        <v>9</v>
      </c>
      <c r="S181" s="19">
        <v>3</v>
      </c>
      <c r="T181" s="19"/>
      <c r="U181" s="19"/>
      <c r="V181" s="19">
        <v>0</v>
      </c>
      <c r="W181" s="19"/>
    </row>
    <row r="182" spans="1:23" x14ac:dyDescent="0.3">
      <c r="A182" s="19">
        <v>75303</v>
      </c>
      <c r="B182" s="59" t="s">
        <v>786</v>
      </c>
      <c r="C182" s="19">
        <v>1</v>
      </c>
      <c r="D182" s="19">
        <v>0</v>
      </c>
      <c r="E182" s="19">
        <v>46</v>
      </c>
      <c r="F182" s="19">
        <v>0</v>
      </c>
      <c r="G182" s="19">
        <v>0</v>
      </c>
      <c r="H182" s="19">
        <v>0</v>
      </c>
      <c r="I182" s="19">
        <v>0</v>
      </c>
      <c r="J182" s="19">
        <v>0</v>
      </c>
      <c r="K182" s="19">
        <v>169</v>
      </c>
      <c r="L182" s="19" t="s">
        <v>45</v>
      </c>
      <c r="M182" s="19" t="s">
        <v>45</v>
      </c>
      <c r="N182" s="19" t="s">
        <v>45</v>
      </c>
      <c r="O182" s="19" t="s">
        <v>45</v>
      </c>
      <c r="P182" s="19" t="s">
        <v>35</v>
      </c>
      <c r="Q182" s="19">
        <v>26</v>
      </c>
      <c r="R182" s="19">
        <v>4</v>
      </c>
      <c r="S182" s="19">
        <v>3</v>
      </c>
      <c r="T182" s="19"/>
      <c r="U182" s="19"/>
      <c r="V182" s="19">
        <v>0</v>
      </c>
      <c r="W182" s="19"/>
    </row>
    <row r="183" spans="1:23" x14ac:dyDescent="0.3">
      <c r="A183" s="19">
        <v>67000</v>
      </c>
      <c r="B183" s="59" t="s">
        <v>174</v>
      </c>
      <c r="C183" s="19">
        <v>2</v>
      </c>
      <c r="D183" s="19">
        <v>13</v>
      </c>
      <c r="E183" s="19">
        <v>13</v>
      </c>
      <c r="F183" s="19">
        <v>0</v>
      </c>
      <c r="G183" s="19">
        <v>0</v>
      </c>
      <c r="H183" s="19">
        <v>0</v>
      </c>
      <c r="I183" s="19">
        <v>0</v>
      </c>
      <c r="J183" s="19">
        <v>0</v>
      </c>
      <c r="K183" s="19">
        <v>150</v>
      </c>
      <c r="L183" s="19" t="s">
        <v>45</v>
      </c>
      <c r="M183" s="19" t="s">
        <v>175</v>
      </c>
      <c r="N183" s="19" t="s">
        <v>45</v>
      </c>
      <c r="O183" s="19" t="s">
        <v>552</v>
      </c>
      <c r="P183" s="19" t="s">
        <v>35</v>
      </c>
      <c r="Q183" s="19">
        <v>3</v>
      </c>
      <c r="R183" s="19">
        <v>2</v>
      </c>
      <c r="S183" s="19">
        <v>0</v>
      </c>
      <c r="T183" s="19"/>
      <c r="U183" s="19"/>
      <c r="V183" s="19">
        <v>0</v>
      </c>
      <c r="W183" s="19"/>
    </row>
    <row r="184" spans="1:23" x14ac:dyDescent="0.3">
      <c r="A184" s="19">
        <v>67010</v>
      </c>
      <c r="B184" s="59" t="s">
        <v>176</v>
      </c>
      <c r="C184" s="19">
        <v>2</v>
      </c>
      <c r="D184" s="19">
        <v>23</v>
      </c>
      <c r="E184" s="19">
        <v>23</v>
      </c>
      <c r="F184" s="19">
        <v>0</v>
      </c>
      <c r="G184" s="19">
        <v>0</v>
      </c>
      <c r="H184" s="19">
        <v>0</v>
      </c>
      <c r="I184" s="19">
        <v>0</v>
      </c>
      <c r="J184" s="19">
        <v>0</v>
      </c>
      <c r="K184" s="19">
        <v>155</v>
      </c>
      <c r="L184" s="19" t="s">
        <v>45</v>
      </c>
      <c r="M184" s="19" t="s">
        <v>175</v>
      </c>
      <c r="N184" s="19" t="s">
        <v>45</v>
      </c>
      <c r="O184" s="19" t="s">
        <v>552</v>
      </c>
      <c r="P184" s="19" t="s">
        <v>35</v>
      </c>
      <c r="Q184" s="19">
        <v>23</v>
      </c>
      <c r="R184" s="19">
        <v>3</v>
      </c>
      <c r="S184" s="19">
        <v>0</v>
      </c>
      <c r="T184" s="19"/>
      <c r="U184" s="19"/>
      <c r="V184" s="19">
        <v>0</v>
      </c>
      <c r="W184" s="19"/>
    </row>
    <row r="185" spans="1:23" x14ac:dyDescent="0.3">
      <c r="A185" s="19">
        <v>67100</v>
      </c>
      <c r="B185" s="59" t="s">
        <v>177</v>
      </c>
      <c r="C185" s="19">
        <v>1</v>
      </c>
      <c r="D185" s="19">
        <v>31</v>
      </c>
      <c r="E185" s="19">
        <v>31</v>
      </c>
      <c r="F185" s="19">
        <v>0</v>
      </c>
      <c r="G185" s="19">
        <v>0</v>
      </c>
      <c r="H185" s="19">
        <v>0</v>
      </c>
      <c r="I185" s="19">
        <v>0</v>
      </c>
      <c r="J185" s="19">
        <v>0</v>
      </c>
      <c r="K185" s="19">
        <v>310</v>
      </c>
      <c r="L185" s="19" t="s">
        <v>45</v>
      </c>
      <c r="M185" s="19" t="s">
        <v>175</v>
      </c>
      <c r="N185" s="19" t="s">
        <v>45</v>
      </c>
      <c r="O185" s="19" t="s">
        <v>552</v>
      </c>
      <c r="P185" s="19" t="s">
        <v>35</v>
      </c>
      <c r="Q185" s="19">
        <v>21</v>
      </c>
      <c r="R185" s="19">
        <v>10.175000000000001</v>
      </c>
      <c r="S185" s="19">
        <v>3</v>
      </c>
      <c r="T185" s="19"/>
      <c r="U185" s="19"/>
      <c r="V185" s="19">
        <v>0</v>
      </c>
      <c r="W185" s="19"/>
    </row>
    <row r="186" spans="1:23" x14ac:dyDescent="0.3">
      <c r="A186" s="19">
        <v>67105</v>
      </c>
      <c r="B186" s="59" t="s">
        <v>178</v>
      </c>
      <c r="C186" s="19">
        <v>1</v>
      </c>
      <c r="D186" s="19">
        <v>31</v>
      </c>
      <c r="E186" s="19">
        <v>31</v>
      </c>
      <c r="F186" s="19">
        <v>0</v>
      </c>
      <c r="G186" s="19">
        <v>0</v>
      </c>
      <c r="H186" s="19">
        <v>0</v>
      </c>
      <c r="I186" s="19">
        <v>0</v>
      </c>
      <c r="J186" s="19">
        <v>0</v>
      </c>
      <c r="K186" s="19">
        <v>395</v>
      </c>
      <c r="L186" s="19" t="s">
        <v>45</v>
      </c>
      <c r="M186" s="19" t="s">
        <v>175</v>
      </c>
      <c r="N186" s="19" t="s">
        <v>47</v>
      </c>
      <c r="O186" s="19" t="s">
        <v>552</v>
      </c>
      <c r="P186" s="19" t="s">
        <v>35</v>
      </c>
      <c r="Q186" s="19">
        <v>21</v>
      </c>
      <c r="R186" s="19">
        <v>14.4</v>
      </c>
      <c r="S186" s="19">
        <v>7</v>
      </c>
      <c r="T186" s="19"/>
      <c r="U186" s="19"/>
      <c r="V186" s="19">
        <v>0</v>
      </c>
      <c r="W186" s="19"/>
    </row>
    <row r="187" spans="1:23" x14ac:dyDescent="0.3">
      <c r="A187" s="19">
        <v>210671000</v>
      </c>
      <c r="B187" s="59" t="s">
        <v>352</v>
      </c>
      <c r="C187" s="19">
        <v>1</v>
      </c>
      <c r="D187" s="19">
        <v>0</v>
      </c>
      <c r="E187" s="19">
        <v>36</v>
      </c>
      <c r="F187" s="19">
        <v>0</v>
      </c>
      <c r="G187" s="19">
        <v>0</v>
      </c>
      <c r="H187" s="19">
        <v>0</v>
      </c>
      <c r="I187" s="19">
        <v>0</v>
      </c>
      <c r="J187" s="19">
        <v>0</v>
      </c>
      <c r="K187" s="19">
        <v>200</v>
      </c>
      <c r="L187" s="19" t="s">
        <v>45</v>
      </c>
      <c r="M187" s="19" t="s">
        <v>552</v>
      </c>
      <c r="N187" s="19" t="s">
        <v>45</v>
      </c>
      <c r="O187" s="19" t="s">
        <v>45</v>
      </c>
      <c r="P187" s="19" t="s">
        <v>35</v>
      </c>
      <c r="Q187" s="19">
        <v>23</v>
      </c>
      <c r="R187" s="19">
        <v>8</v>
      </c>
      <c r="S187" s="19">
        <v>2</v>
      </c>
      <c r="T187" s="19"/>
      <c r="U187" s="19"/>
      <c r="V187" s="19">
        <v>0</v>
      </c>
      <c r="W187" s="19"/>
    </row>
    <row r="188" spans="1:23" x14ac:dyDescent="0.3">
      <c r="A188" s="19">
        <v>210671001</v>
      </c>
      <c r="B188" s="59" t="s">
        <v>353</v>
      </c>
      <c r="C188" s="19">
        <v>7</v>
      </c>
      <c r="D188" s="19">
        <v>0</v>
      </c>
      <c r="E188" s="19">
        <v>36</v>
      </c>
      <c r="F188" s="19">
        <v>0</v>
      </c>
      <c r="G188" s="19">
        <v>0</v>
      </c>
      <c r="H188" s="19">
        <v>0</v>
      </c>
      <c r="I188" s="19">
        <v>0</v>
      </c>
      <c r="J188" s="19">
        <v>0</v>
      </c>
      <c r="K188" s="19">
        <v>40</v>
      </c>
      <c r="L188" s="19" t="s">
        <v>45</v>
      </c>
      <c r="M188" s="19" t="s">
        <v>552</v>
      </c>
      <c r="N188" s="19" t="s">
        <v>45</v>
      </c>
      <c r="O188" s="19" t="s">
        <v>45</v>
      </c>
      <c r="P188" s="19" t="s">
        <v>35</v>
      </c>
      <c r="Q188" s="19">
        <v>23</v>
      </c>
      <c r="R188" s="19">
        <v>1.5</v>
      </c>
      <c r="S188" s="19">
        <v>0</v>
      </c>
      <c r="T188" s="19"/>
      <c r="U188" s="19"/>
      <c r="V188" s="19">
        <v>0</v>
      </c>
      <c r="W188" s="19"/>
    </row>
    <row r="189" spans="1:23" x14ac:dyDescent="0.3">
      <c r="A189" s="19">
        <v>210671050</v>
      </c>
      <c r="B189" s="59" t="s">
        <v>354</v>
      </c>
      <c r="C189" s="19">
        <v>1</v>
      </c>
      <c r="D189" s="19">
        <v>0</v>
      </c>
      <c r="E189" s="19">
        <v>36</v>
      </c>
      <c r="F189" s="19">
        <v>0</v>
      </c>
      <c r="G189" s="19">
        <v>0</v>
      </c>
      <c r="H189" s="19">
        <v>0</v>
      </c>
      <c r="I189" s="19">
        <v>0</v>
      </c>
      <c r="J189" s="19">
        <v>0</v>
      </c>
      <c r="K189" s="19">
        <v>250</v>
      </c>
      <c r="L189" s="19" t="s">
        <v>45</v>
      </c>
      <c r="M189" s="19" t="s">
        <v>552</v>
      </c>
      <c r="N189" s="19" t="s">
        <v>47</v>
      </c>
      <c r="O189" s="19" t="s">
        <v>45</v>
      </c>
      <c r="P189" s="19" t="s">
        <v>35</v>
      </c>
      <c r="Q189" s="19">
        <v>23</v>
      </c>
      <c r="R189" s="19">
        <v>10</v>
      </c>
      <c r="S189" s="19">
        <v>2</v>
      </c>
      <c r="T189" s="19"/>
      <c r="U189" s="19"/>
      <c r="V189" s="19">
        <v>0</v>
      </c>
      <c r="W189" s="19"/>
    </row>
    <row r="190" spans="1:23" x14ac:dyDescent="0.3">
      <c r="A190" s="19">
        <v>210671051</v>
      </c>
      <c r="B190" s="59" t="s">
        <v>355</v>
      </c>
      <c r="C190" s="19">
        <v>9</v>
      </c>
      <c r="D190" s="19">
        <v>0</v>
      </c>
      <c r="E190" s="19">
        <v>36</v>
      </c>
      <c r="F190" s="19">
        <v>0</v>
      </c>
      <c r="G190" s="19">
        <v>0</v>
      </c>
      <c r="H190" s="19">
        <v>0</v>
      </c>
      <c r="I190" s="19">
        <v>0</v>
      </c>
      <c r="J190" s="19">
        <v>0</v>
      </c>
      <c r="K190" s="19">
        <v>45</v>
      </c>
      <c r="L190" s="19" t="s">
        <v>45</v>
      </c>
      <c r="M190" s="19" t="s">
        <v>552</v>
      </c>
      <c r="N190" s="19" t="s">
        <v>47</v>
      </c>
      <c r="O190" s="19" t="s">
        <v>45</v>
      </c>
      <c r="P190" s="19" t="s">
        <v>35</v>
      </c>
      <c r="Q190" s="19">
        <v>23</v>
      </c>
      <c r="R190" s="19">
        <v>1.5</v>
      </c>
      <c r="S190" s="19">
        <v>0</v>
      </c>
      <c r="T190" s="19"/>
      <c r="U190" s="19"/>
      <c r="V190" s="19">
        <v>0</v>
      </c>
      <c r="W190" s="19"/>
    </row>
    <row r="191" spans="1:23" x14ac:dyDescent="0.3">
      <c r="A191" s="19">
        <v>67500</v>
      </c>
      <c r="B191" s="59" t="s">
        <v>182</v>
      </c>
      <c r="C191" s="19">
        <v>1</v>
      </c>
      <c r="D191" s="19">
        <v>17</v>
      </c>
      <c r="E191" s="19">
        <v>17</v>
      </c>
      <c r="F191" s="19">
        <v>0</v>
      </c>
      <c r="G191" s="19">
        <v>0</v>
      </c>
      <c r="H191" s="19">
        <v>0</v>
      </c>
      <c r="I191" s="19">
        <v>0</v>
      </c>
      <c r="J191" s="19">
        <v>0</v>
      </c>
      <c r="K191" s="19">
        <v>56</v>
      </c>
      <c r="L191" s="19" t="s">
        <v>45</v>
      </c>
      <c r="M191" s="19" t="s">
        <v>175</v>
      </c>
      <c r="N191" s="19" t="s">
        <v>45</v>
      </c>
      <c r="O191" s="19" t="s">
        <v>45</v>
      </c>
      <c r="P191" s="19" t="s">
        <v>35</v>
      </c>
      <c r="Q191" s="19">
        <v>17</v>
      </c>
      <c r="R191" s="19">
        <v>5</v>
      </c>
      <c r="S191" s="19">
        <v>1</v>
      </c>
      <c r="T191" s="19"/>
      <c r="U191" s="19"/>
      <c r="V191" s="19">
        <v>0</v>
      </c>
      <c r="W191" s="19"/>
    </row>
    <row r="192" spans="1:23" x14ac:dyDescent="0.3">
      <c r="A192" s="19">
        <v>210670000</v>
      </c>
      <c r="B192" s="59" t="s">
        <v>356</v>
      </c>
      <c r="C192" s="19">
        <v>1</v>
      </c>
      <c r="D192" s="19">
        <v>0</v>
      </c>
      <c r="E192" s="19">
        <v>72</v>
      </c>
      <c r="F192" s="19">
        <v>0</v>
      </c>
      <c r="G192" s="19">
        <v>0</v>
      </c>
      <c r="H192" s="19">
        <v>0</v>
      </c>
      <c r="I192" s="19">
        <v>0</v>
      </c>
      <c r="J192" s="19">
        <v>0</v>
      </c>
      <c r="K192" s="19">
        <v>375</v>
      </c>
      <c r="L192" s="19" t="s">
        <v>45</v>
      </c>
      <c r="M192" s="19" t="s">
        <v>501</v>
      </c>
      <c r="N192" s="19" t="s">
        <v>45</v>
      </c>
      <c r="O192" s="19" t="s">
        <v>45</v>
      </c>
      <c r="P192" s="19" t="s">
        <v>35</v>
      </c>
      <c r="Q192" s="19">
        <v>48</v>
      </c>
      <c r="R192" s="19">
        <v>20</v>
      </c>
      <c r="S192" s="19">
        <v>7</v>
      </c>
      <c r="T192" s="19"/>
      <c r="U192" s="19"/>
      <c r="V192" s="19">
        <v>0</v>
      </c>
      <c r="W192" s="19"/>
    </row>
    <row r="193" spans="1:23" x14ac:dyDescent="0.3">
      <c r="A193" s="19">
        <v>210670001</v>
      </c>
      <c r="B193" s="59" t="s">
        <v>357</v>
      </c>
      <c r="C193" s="19">
        <v>3</v>
      </c>
      <c r="D193" s="19">
        <v>0</v>
      </c>
      <c r="E193" s="19">
        <v>72</v>
      </c>
      <c r="F193" s="19">
        <v>0</v>
      </c>
      <c r="G193" s="19">
        <v>0</v>
      </c>
      <c r="H193" s="19">
        <v>0</v>
      </c>
      <c r="I193" s="19">
        <v>0</v>
      </c>
      <c r="J193" s="19">
        <v>0</v>
      </c>
      <c r="K193" s="19">
        <v>70</v>
      </c>
      <c r="L193" s="19" t="s">
        <v>45</v>
      </c>
      <c r="M193" s="19" t="s">
        <v>501</v>
      </c>
      <c r="N193" s="19" t="s">
        <v>45</v>
      </c>
      <c r="O193" s="19" t="s">
        <v>45</v>
      </c>
      <c r="P193" s="19" t="s">
        <v>35</v>
      </c>
      <c r="Q193" s="19">
        <v>48</v>
      </c>
      <c r="R193" s="19">
        <v>2</v>
      </c>
      <c r="S193" s="19">
        <v>1</v>
      </c>
      <c r="T193" s="19"/>
      <c r="U193" s="19"/>
      <c r="V193" s="19">
        <v>0</v>
      </c>
      <c r="W193" s="19"/>
    </row>
    <row r="194" spans="1:23" x14ac:dyDescent="0.3">
      <c r="A194" s="19">
        <v>69000</v>
      </c>
      <c r="B194" s="59" t="s">
        <v>189</v>
      </c>
      <c r="C194" s="19">
        <v>1</v>
      </c>
      <c r="D194" s="19">
        <v>0</v>
      </c>
      <c r="E194" s="19">
        <v>17</v>
      </c>
      <c r="F194" s="19">
        <v>0</v>
      </c>
      <c r="G194" s="19">
        <v>0</v>
      </c>
      <c r="H194" s="19">
        <v>0</v>
      </c>
      <c r="I194" s="19">
        <v>0</v>
      </c>
      <c r="J194" s="19">
        <v>234</v>
      </c>
      <c r="K194" s="19">
        <v>0</v>
      </c>
      <c r="L194" s="19" t="s">
        <v>45</v>
      </c>
      <c r="M194" s="19" t="s">
        <v>190</v>
      </c>
      <c r="N194" s="19" t="s">
        <v>45</v>
      </c>
      <c r="O194" s="19" t="s">
        <v>45</v>
      </c>
      <c r="P194" s="19" t="s">
        <v>35</v>
      </c>
      <c r="Q194" s="19">
        <v>18</v>
      </c>
      <c r="R194" s="19">
        <v>5</v>
      </c>
      <c r="S194" s="19">
        <v>2</v>
      </c>
      <c r="T194" s="19"/>
      <c r="U194" s="19"/>
      <c r="V194" s="19">
        <v>0</v>
      </c>
      <c r="W194" s="19"/>
    </row>
    <row r="195" spans="1:23" x14ac:dyDescent="0.3">
      <c r="A195" s="19">
        <v>69005</v>
      </c>
      <c r="B195" s="59" t="s">
        <v>191</v>
      </c>
      <c r="C195" s="19">
        <v>1</v>
      </c>
      <c r="D195" s="19">
        <v>0</v>
      </c>
      <c r="E195" s="19">
        <v>17</v>
      </c>
      <c r="F195" s="19">
        <v>0</v>
      </c>
      <c r="G195" s="19">
        <v>0</v>
      </c>
      <c r="H195" s="19">
        <v>0</v>
      </c>
      <c r="I195" s="19">
        <v>0</v>
      </c>
      <c r="J195" s="19">
        <v>293</v>
      </c>
      <c r="K195" s="19">
        <v>0</v>
      </c>
      <c r="L195" s="19" t="s">
        <v>45</v>
      </c>
      <c r="M195" s="19" t="s">
        <v>190</v>
      </c>
      <c r="N195" s="19" t="s">
        <v>47</v>
      </c>
      <c r="O195" s="19" t="s">
        <v>45</v>
      </c>
      <c r="P195" s="19" t="s">
        <v>35</v>
      </c>
      <c r="Q195" s="19">
        <v>18</v>
      </c>
      <c r="R195" s="19">
        <v>9.25</v>
      </c>
      <c r="S195" s="19">
        <v>3</v>
      </c>
      <c r="T195" s="19"/>
      <c r="U195" s="19"/>
      <c r="V195" s="19">
        <v>0</v>
      </c>
      <c r="W195" s="19"/>
    </row>
    <row r="196" spans="1:23" x14ac:dyDescent="0.3">
      <c r="A196" s="19">
        <v>210690000</v>
      </c>
      <c r="B196" s="59" t="s">
        <v>358</v>
      </c>
      <c r="C196" s="19">
        <v>3</v>
      </c>
      <c r="D196" s="19">
        <v>0</v>
      </c>
      <c r="E196" s="19">
        <v>36</v>
      </c>
      <c r="F196" s="19">
        <v>0</v>
      </c>
      <c r="G196" s="19">
        <v>0</v>
      </c>
      <c r="H196" s="19">
        <v>0</v>
      </c>
      <c r="I196" s="19">
        <v>0</v>
      </c>
      <c r="J196" s="19">
        <v>138</v>
      </c>
      <c r="K196" s="19">
        <v>0</v>
      </c>
      <c r="L196" s="19" t="s">
        <v>45</v>
      </c>
      <c r="M196" s="19" t="s">
        <v>190</v>
      </c>
      <c r="N196" s="19" t="s">
        <v>45</v>
      </c>
      <c r="O196" s="19" t="s">
        <v>45</v>
      </c>
      <c r="P196" s="19" t="s">
        <v>35</v>
      </c>
      <c r="Q196" s="19">
        <v>29</v>
      </c>
      <c r="R196" s="19">
        <v>5</v>
      </c>
      <c r="S196" s="19">
        <v>2</v>
      </c>
      <c r="T196" s="19"/>
      <c r="U196" s="19"/>
      <c r="V196" s="19">
        <v>0</v>
      </c>
      <c r="W196" s="19"/>
    </row>
    <row r="197" spans="1:23" x14ac:dyDescent="0.3">
      <c r="A197" s="19">
        <v>210690050</v>
      </c>
      <c r="B197" s="59" t="s">
        <v>359</v>
      </c>
      <c r="C197" s="19">
        <v>3</v>
      </c>
      <c r="D197" s="19">
        <v>0</v>
      </c>
      <c r="E197" s="19">
        <v>36</v>
      </c>
      <c r="F197" s="19">
        <v>0</v>
      </c>
      <c r="G197" s="19">
        <v>0</v>
      </c>
      <c r="H197" s="19">
        <v>0</v>
      </c>
      <c r="I197" s="19">
        <v>0</v>
      </c>
      <c r="J197" s="19">
        <v>164</v>
      </c>
      <c r="K197" s="19">
        <v>0</v>
      </c>
      <c r="L197" s="19" t="s">
        <v>45</v>
      </c>
      <c r="M197" s="19" t="s">
        <v>190</v>
      </c>
      <c r="N197" s="19" t="s">
        <v>47</v>
      </c>
      <c r="O197" s="19" t="s">
        <v>45</v>
      </c>
      <c r="P197" s="19" t="s">
        <v>35</v>
      </c>
      <c r="Q197" s="19">
        <v>29</v>
      </c>
      <c r="R197" s="19">
        <v>9.25</v>
      </c>
      <c r="S197" s="19">
        <v>3</v>
      </c>
      <c r="T197" s="19"/>
      <c r="U197" s="19"/>
      <c r="V197" s="19">
        <v>0</v>
      </c>
      <c r="W197" s="19"/>
    </row>
    <row r="198" spans="1:23" x14ac:dyDescent="0.3">
      <c r="A198" s="19">
        <v>69200</v>
      </c>
      <c r="B198" s="59" t="s">
        <v>194</v>
      </c>
      <c r="C198" s="19">
        <v>1</v>
      </c>
      <c r="D198" s="19">
        <v>0</v>
      </c>
      <c r="E198" s="19">
        <v>28</v>
      </c>
      <c r="F198" s="19">
        <v>0</v>
      </c>
      <c r="G198" s="19">
        <v>0</v>
      </c>
      <c r="H198" s="19">
        <v>0</v>
      </c>
      <c r="I198" s="19">
        <v>0</v>
      </c>
      <c r="J198" s="19">
        <v>246</v>
      </c>
      <c r="K198" s="19">
        <v>0</v>
      </c>
      <c r="L198" s="19" t="s">
        <v>45</v>
      </c>
      <c r="M198" s="19" t="s">
        <v>190</v>
      </c>
      <c r="N198" s="19" t="s">
        <v>45</v>
      </c>
      <c r="O198" s="19" t="s">
        <v>45</v>
      </c>
      <c r="P198" s="19" t="s">
        <v>35</v>
      </c>
      <c r="Q198" s="19">
        <v>19</v>
      </c>
      <c r="R198" s="19">
        <v>5</v>
      </c>
      <c r="S198" s="19">
        <v>1</v>
      </c>
      <c r="T198" s="19"/>
      <c r="U198" s="19"/>
      <c r="V198" s="19">
        <v>0</v>
      </c>
      <c r="W198" s="19"/>
    </row>
    <row r="199" spans="1:23" x14ac:dyDescent="0.3">
      <c r="A199" s="19">
        <v>69300</v>
      </c>
      <c r="B199" s="59" t="s">
        <v>197</v>
      </c>
      <c r="C199" s="19">
        <v>1</v>
      </c>
      <c r="D199" s="19">
        <v>0</v>
      </c>
      <c r="E199" s="19">
        <v>24</v>
      </c>
      <c r="F199" s="19">
        <v>0</v>
      </c>
      <c r="G199" s="19">
        <v>0</v>
      </c>
      <c r="H199" s="19">
        <v>0</v>
      </c>
      <c r="I199" s="19">
        <v>0</v>
      </c>
      <c r="J199" s="19">
        <v>205</v>
      </c>
      <c r="K199" s="19">
        <v>0</v>
      </c>
      <c r="L199" s="19" t="s">
        <v>45</v>
      </c>
      <c r="M199" s="19" t="s">
        <v>190</v>
      </c>
      <c r="N199" s="19" t="s">
        <v>45</v>
      </c>
      <c r="O199" s="19" t="s">
        <v>45</v>
      </c>
      <c r="P199" s="19" t="s">
        <v>35</v>
      </c>
      <c r="Q199" s="19">
        <v>12</v>
      </c>
      <c r="R199" s="19">
        <v>5</v>
      </c>
      <c r="S199" s="19">
        <v>1</v>
      </c>
      <c r="T199" s="19"/>
      <c r="U199" s="19"/>
      <c r="V199" s="19">
        <v>0</v>
      </c>
      <c r="W199" s="19"/>
    </row>
    <row r="200" spans="1:23" x14ac:dyDescent="0.3">
      <c r="A200" s="19">
        <v>69400</v>
      </c>
      <c r="B200" s="59" t="s">
        <v>198</v>
      </c>
      <c r="C200" s="19">
        <v>1</v>
      </c>
      <c r="D200" s="19">
        <v>0</v>
      </c>
      <c r="E200" s="19">
        <v>32</v>
      </c>
      <c r="F200" s="19">
        <v>0</v>
      </c>
      <c r="G200" s="19">
        <v>0</v>
      </c>
      <c r="H200" s="19">
        <v>0</v>
      </c>
      <c r="I200" s="19">
        <v>0</v>
      </c>
      <c r="J200" s="19">
        <v>360</v>
      </c>
      <c r="K200" s="19">
        <v>0</v>
      </c>
      <c r="L200" s="19" t="s">
        <v>45</v>
      </c>
      <c r="M200" s="19" t="s">
        <v>190</v>
      </c>
      <c r="N200" s="19" t="s">
        <v>45</v>
      </c>
      <c r="O200" s="19" t="s">
        <v>45</v>
      </c>
      <c r="P200" s="19" t="s">
        <v>35</v>
      </c>
      <c r="Q200" s="19">
        <v>25</v>
      </c>
      <c r="R200" s="19">
        <v>16.8</v>
      </c>
      <c r="S200" s="19">
        <v>7</v>
      </c>
      <c r="T200" s="19"/>
      <c r="U200" s="19"/>
      <c r="V200" s="19">
        <v>0</v>
      </c>
      <c r="W200" s="19"/>
    </row>
    <row r="201" spans="1:23" x14ac:dyDescent="0.3">
      <c r="A201" s="19">
        <v>69402</v>
      </c>
      <c r="B201" s="59" t="s">
        <v>199</v>
      </c>
      <c r="C201" s="19">
        <v>1</v>
      </c>
      <c r="D201" s="19">
        <v>0</v>
      </c>
      <c r="E201" s="19">
        <v>32</v>
      </c>
      <c r="F201" s="19">
        <v>0</v>
      </c>
      <c r="G201" s="19">
        <v>0</v>
      </c>
      <c r="H201" s="19">
        <v>0</v>
      </c>
      <c r="I201" s="19">
        <v>0</v>
      </c>
      <c r="J201" s="19">
        <v>285</v>
      </c>
      <c r="K201" s="19">
        <v>0</v>
      </c>
      <c r="L201" s="19" t="s">
        <v>45</v>
      </c>
      <c r="M201" s="19" t="s">
        <v>190</v>
      </c>
      <c r="N201" s="19" t="s">
        <v>45</v>
      </c>
      <c r="O201" s="19" t="s">
        <v>45</v>
      </c>
      <c r="P201" s="19" t="s">
        <v>35</v>
      </c>
      <c r="Q201" s="19">
        <v>25</v>
      </c>
      <c r="R201" s="19">
        <v>16.8</v>
      </c>
      <c r="S201" s="19">
        <v>7</v>
      </c>
      <c r="T201" s="19"/>
      <c r="U201" s="19"/>
      <c r="V201" s="19">
        <v>0</v>
      </c>
      <c r="W201" s="19"/>
    </row>
    <row r="202" spans="1:23" x14ac:dyDescent="0.3">
      <c r="A202" s="19">
        <v>69401</v>
      </c>
      <c r="B202" s="59" t="s">
        <v>200</v>
      </c>
      <c r="C202" s="19">
        <v>1</v>
      </c>
      <c r="D202" s="19">
        <v>0</v>
      </c>
      <c r="E202" s="19">
        <v>32</v>
      </c>
      <c r="F202" s="19">
        <v>0</v>
      </c>
      <c r="G202" s="19">
        <v>0</v>
      </c>
      <c r="H202" s="19">
        <v>0</v>
      </c>
      <c r="I202" s="19">
        <v>0</v>
      </c>
      <c r="J202" s="19">
        <v>122</v>
      </c>
      <c r="K202" s="19">
        <v>0</v>
      </c>
      <c r="L202" s="19" t="s">
        <v>45</v>
      </c>
      <c r="M202" s="19" t="s">
        <v>190</v>
      </c>
      <c r="N202" s="19" t="s">
        <v>45</v>
      </c>
      <c r="O202" s="19" t="s">
        <v>45</v>
      </c>
      <c r="P202" s="19" t="s">
        <v>35</v>
      </c>
      <c r="Q202" s="19">
        <v>25</v>
      </c>
      <c r="R202" s="19">
        <v>5</v>
      </c>
      <c r="S202" s="19">
        <v>2</v>
      </c>
      <c r="T202" s="19"/>
      <c r="U202" s="19"/>
      <c r="V202" s="19">
        <v>0</v>
      </c>
      <c r="W202" s="19"/>
    </row>
    <row r="203" spans="1:23" x14ac:dyDescent="0.3">
      <c r="A203" s="19">
        <v>69100</v>
      </c>
      <c r="B203" s="59" t="s">
        <v>192</v>
      </c>
      <c r="C203" s="19">
        <v>2</v>
      </c>
      <c r="D203" s="19">
        <v>0</v>
      </c>
      <c r="E203" s="19">
        <v>26</v>
      </c>
      <c r="F203" s="19">
        <v>0</v>
      </c>
      <c r="G203" s="19">
        <v>0</v>
      </c>
      <c r="H203" s="19">
        <v>0</v>
      </c>
      <c r="I203" s="19">
        <v>0</v>
      </c>
      <c r="J203" s="19">
        <v>317</v>
      </c>
      <c r="K203" s="19">
        <v>0</v>
      </c>
      <c r="L203" s="19" t="s">
        <v>45</v>
      </c>
      <c r="M203" s="19" t="s">
        <v>190</v>
      </c>
      <c r="N203" s="19" t="s">
        <v>45</v>
      </c>
      <c r="O203" s="19" t="s">
        <v>45</v>
      </c>
      <c r="P203" s="19" t="s">
        <v>35</v>
      </c>
      <c r="Q203" s="19">
        <v>36</v>
      </c>
      <c r="R203" s="19">
        <v>5</v>
      </c>
      <c r="S203" s="19">
        <v>1</v>
      </c>
      <c r="T203" s="19"/>
      <c r="U203" s="19"/>
      <c r="V203" s="19">
        <v>0</v>
      </c>
      <c r="W203" s="19"/>
    </row>
    <row r="204" spans="1:23" x14ac:dyDescent="0.3">
      <c r="A204" s="19">
        <v>69105</v>
      </c>
      <c r="B204" s="59" t="s">
        <v>193</v>
      </c>
      <c r="C204" s="19">
        <v>3</v>
      </c>
      <c r="D204" s="19">
        <v>0</v>
      </c>
      <c r="E204" s="19">
        <v>26</v>
      </c>
      <c r="F204" s="19">
        <v>0</v>
      </c>
      <c r="G204" s="19">
        <v>0</v>
      </c>
      <c r="H204" s="19">
        <v>0</v>
      </c>
      <c r="I204" s="19">
        <v>0</v>
      </c>
      <c r="J204" s="19">
        <v>379</v>
      </c>
      <c r="K204" s="19">
        <v>0</v>
      </c>
      <c r="L204" s="19" t="s">
        <v>45</v>
      </c>
      <c r="M204" s="19" t="s">
        <v>190</v>
      </c>
      <c r="N204" s="19" t="s">
        <v>47</v>
      </c>
      <c r="O204" s="19" t="s">
        <v>45</v>
      </c>
      <c r="P204" s="19" t="s">
        <v>35</v>
      </c>
      <c r="Q204" s="19">
        <v>36</v>
      </c>
      <c r="R204" s="19">
        <v>9.25</v>
      </c>
      <c r="S204" s="19">
        <v>2</v>
      </c>
      <c r="T204" s="19"/>
      <c r="U204" s="19"/>
      <c r="V204" s="19">
        <v>0</v>
      </c>
      <c r="W204" s="19"/>
    </row>
    <row r="205" spans="1:23" x14ac:dyDescent="0.3">
      <c r="A205" s="19">
        <v>69500</v>
      </c>
      <c r="B205" s="59" t="s">
        <v>201</v>
      </c>
      <c r="C205" s="19">
        <v>1</v>
      </c>
      <c r="D205" s="19">
        <v>0</v>
      </c>
      <c r="E205" s="19">
        <v>40</v>
      </c>
      <c r="F205" s="19">
        <v>0</v>
      </c>
      <c r="G205" s="19">
        <v>0</v>
      </c>
      <c r="H205" s="19">
        <v>0</v>
      </c>
      <c r="I205" s="19">
        <v>0</v>
      </c>
      <c r="J205" s="19">
        <v>325</v>
      </c>
      <c r="K205" s="19">
        <v>0</v>
      </c>
      <c r="L205" s="19" t="s">
        <v>45</v>
      </c>
      <c r="M205" s="19" t="s">
        <v>190</v>
      </c>
      <c r="N205" s="19" t="s">
        <v>45</v>
      </c>
      <c r="O205" s="19" t="s">
        <v>45</v>
      </c>
      <c r="P205" s="19" t="s">
        <v>35</v>
      </c>
      <c r="Q205" s="19">
        <v>22</v>
      </c>
      <c r="R205" s="19">
        <v>12</v>
      </c>
      <c r="S205" s="19">
        <v>7</v>
      </c>
      <c r="T205" s="19"/>
      <c r="U205" s="19"/>
      <c r="V205" s="19">
        <v>0</v>
      </c>
      <c r="W205" s="19"/>
    </row>
    <row r="206" spans="1:23" x14ac:dyDescent="0.3">
      <c r="A206" s="19">
        <v>69502</v>
      </c>
      <c r="B206" s="59" t="s">
        <v>202</v>
      </c>
      <c r="C206" s="19">
        <v>1</v>
      </c>
      <c r="D206" s="19">
        <v>0</v>
      </c>
      <c r="E206" s="19">
        <v>40</v>
      </c>
      <c r="F206" s="19">
        <v>0</v>
      </c>
      <c r="G206" s="19">
        <v>0</v>
      </c>
      <c r="H206" s="19">
        <v>0</v>
      </c>
      <c r="I206" s="19">
        <v>0</v>
      </c>
      <c r="J206" s="19">
        <v>167</v>
      </c>
      <c r="K206" s="19">
        <v>0</v>
      </c>
      <c r="L206" s="19" t="s">
        <v>45</v>
      </c>
      <c r="M206" s="19" t="s">
        <v>190</v>
      </c>
      <c r="N206" s="19" t="s">
        <v>45</v>
      </c>
      <c r="O206" s="19" t="s">
        <v>45</v>
      </c>
      <c r="P206" s="19" t="s">
        <v>35</v>
      </c>
      <c r="Q206" s="19">
        <v>22</v>
      </c>
      <c r="R206" s="19">
        <v>5</v>
      </c>
      <c r="S206" s="19">
        <v>2</v>
      </c>
      <c r="T206" s="19"/>
      <c r="U206" s="19"/>
      <c r="V206" s="19">
        <v>0</v>
      </c>
      <c r="W206" s="19"/>
    </row>
    <row r="207" spans="1:23" x14ac:dyDescent="0.3">
      <c r="A207" s="19">
        <v>69410</v>
      </c>
      <c r="B207" s="59" t="s">
        <v>795</v>
      </c>
      <c r="C207" s="19">
        <v>1</v>
      </c>
      <c r="D207" s="19">
        <v>0</v>
      </c>
      <c r="E207" s="19">
        <v>46</v>
      </c>
      <c r="F207" s="19">
        <v>0</v>
      </c>
      <c r="G207" s="19">
        <v>0</v>
      </c>
      <c r="H207" s="19">
        <v>0</v>
      </c>
      <c r="I207" s="19">
        <v>0</v>
      </c>
      <c r="J207" s="19">
        <v>367</v>
      </c>
      <c r="K207" s="19">
        <v>0</v>
      </c>
      <c r="L207" s="19" t="s">
        <v>45</v>
      </c>
      <c r="M207" s="19" t="s">
        <v>190</v>
      </c>
      <c r="N207" s="19" t="s">
        <v>45</v>
      </c>
      <c r="O207" s="19" t="s">
        <v>45</v>
      </c>
      <c r="P207" s="19" t="s">
        <v>35</v>
      </c>
      <c r="Q207" s="19">
        <v>35</v>
      </c>
      <c r="R207" s="19">
        <v>16.8</v>
      </c>
      <c r="S207" s="19">
        <v>3</v>
      </c>
      <c r="T207" s="19"/>
      <c r="U207" s="19"/>
      <c r="V207" s="19">
        <v>0</v>
      </c>
      <c r="W207" s="19"/>
    </row>
    <row r="208" spans="1:23" x14ac:dyDescent="0.3">
      <c r="A208" s="19">
        <v>69412</v>
      </c>
      <c r="B208" s="59" t="s">
        <v>794</v>
      </c>
      <c r="C208" s="19">
        <v>1</v>
      </c>
      <c r="D208" s="19">
        <v>0</v>
      </c>
      <c r="E208" s="19">
        <v>46</v>
      </c>
      <c r="F208" s="19">
        <v>0</v>
      </c>
      <c r="G208" s="19">
        <v>0</v>
      </c>
      <c r="H208" s="19">
        <v>0</v>
      </c>
      <c r="I208" s="19">
        <v>0</v>
      </c>
      <c r="J208" s="19">
        <v>288</v>
      </c>
      <c r="K208" s="19">
        <v>0</v>
      </c>
      <c r="L208" s="19" t="s">
        <v>45</v>
      </c>
      <c r="M208" s="19" t="s">
        <v>190</v>
      </c>
      <c r="N208" s="19" t="s">
        <v>45</v>
      </c>
      <c r="O208" s="19" t="s">
        <v>45</v>
      </c>
      <c r="P208" s="19" t="s">
        <v>35</v>
      </c>
      <c r="Q208" s="19">
        <v>35</v>
      </c>
      <c r="R208" s="19">
        <v>16.8</v>
      </c>
      <c r="S208" s="19">
        <v>3</v>
      </c>
      <c r="T208" s="19"/>
      <c r="U208" s="19"/>
      <c r="V208" s="19">
        <v>0</v>
      </c>
      <c r="W208" s="19"/>
    </row>
    <row r="209" spans="1:23" x14ac:dyDescent="0.3">
      <c r="A209" s="19">
        <v>69411</v>
      </c>
      <c r="B209" s="59" t="s">
        <v>796</v>
      </c>
      <c r="C209" s="19">
        <v>1</v>
      </c>
      <c r="D209" s="19">
        <v>0</v>
      </c>
      <c r="E209" s="19">
        <v>46</v>
      </c>
      <c r="F209" s="19">
        <v>0</v>
      </c>
      <c r="G209" s="19">
        <v>0</v>
      </c>
      <c r="H209" s="19">
        <v>0</v>
      </c>
      <c r="I209" s="19">
        <v>0</v>
      </c>
      <c r="J209" s="19">
        <v>122</v>
      </c>
      <c r="K209" s="19">
        <v>0</v>
      </c>
      <c r="L209" s="19" t="s">
        <v>45</v>
      </c>
      <c r="M209" s="19" t="s">
        <v>190</v>
      </c>
      <c r="N209" s="19" t="s">
        <v>45</v>
      </c>
      <c r="O209" s="19" t="s">
        <v>45</v>
      </c>
      <c r="P209" s="19" t="s">
        <v>35</v>
      </c>
      <c r="Q209" s="19">
        <v>35</v>
      </c>
      <c r="R209" s="19">
        <v>5</v>
      </c>
      <c r="S209" s="19">
        <v>2</v>
      </c>
      <c r="T209" s="19"/>
      <c r="U209" s="19"/>
      <c r="V209" s="19">
        <v>0</v>
      </c>
      <c r="W209" s="19"/>
    </row>
    <row r="210" spans="1:23" x14ac:dyDescent="0.3">
      <c r="A210" s="19">
        <v>69415</v>
      </c>
      <c r="B210" s="59" t="s">
        <v>797</v>
      </c>
      <c r="C210" s="19">
        <v>1</v>
      </c>
      <c r="D210" s="19">
        <v>0</v>
      </c>
      <c r="E210" s="19">
        <v>46</v>
      </c>
      <c r="F210" s="19">
        <v>0</v>
      </c>
      <c r="G210" s="19">
        <v>0</v>
      </c>
      <c r="H210" s="19">
        <v>0</v>
      </c>
      <c r="I210" s="19">
        <v>0</v>
      </c>
      <c r="J210" s="19">
        <v>374</v>
      </c>
      <c r="K210" s="19">
        <v>0</v>
      </c>
      <c r="L210" s="19" t="s">
        <v>45</v>
      </c>
      <c r="M210" s="19" t="s">
        <v>190</v>
      </c>
      <c r="N210" s="19" t="s">
        <v>45</v>
      </c>
      <c r="O210" s="19" t="s">
        <v>45</v>
      </c>
      <c r="P210" s="19" t="s">
        <v>35</v>
      </c>
      <c r="Q210" s="19">
        <v>35</v>
      </c>
      <c r="R210" s="19">
        <v>16.8</v>
      </c>
      <c r="S210" s="19">
        <v>7</v>
      </c>
      <c r="T210" s="19"/>
      <c r="U210" s="19"/>
      <c r="V210" s="19">
        <v>0</v>
      </c>
      <c r="W210" s="19"/>
    </row>
    <row r="211" spans="1:23" x14ac:dyDescent="0.3">
      <c r="A211" s="19">
        <v>69417</v>
      </c>
      <c r="B211" s="59" t="s">
        <v>798</v>
      </c>
      <c r="C211" s="19">
        <v>1</v>
      </c>
      <c r="D211" s="19">
        <v>0</v>
      </c>
      <c r="E211" s="19">
        <v>46</v>
      </c>
      <c r="F211" s="19">
        <v>0</v>
      </c>
      <c r="G211" s="19">
        <v>0</v>
      </c>
      <c r="H211" s="19">
        <v>0</v>
      </c>
      <c r="I211" s="19">
        <v>0</v>
      </c>
      <c r="J211" s="19">
        <v>292</v>
      </c>
      <c r="K211" s="19">
        <v>0</v>
      </c>
      <c r="L211" s="19" t="s">
        <v>45</v>
      </c>
      <c r="M211" s="19" t="s">
        <v>190</v>
      </c>
      <c r="N211" s="19" t="s">
        <v>45</v>
      </c>
      <c r="O211" s="19" t="s">
        <v>45</v>
      </c>
      <c r="P211" s="19" t="s">
        <v>35</v>
      </c>
      <c r="Q211" s="19">
        <v>35</v>
      </c>
      <c r="R211" s="19">
        <v>16.8</v>
      </c>
      <c r="S211" s="19">
        <v>7</v>
      </c>
      <c r="T211" s="19"/>
      <c r="U211" s="19"/>
      <c r="V211" s="19">
        <v>0</v>
      </c>
      <c r="W211" s="19"/>
    </row>
    <row r="212" spans="1:23" x14ac:dyDescent="0.3">
      <c r="A212" s="19">
        <v>69416</v>
      </c>
      <c r="B212" s="59" t="s">
        <v>799</v>
      </c>
      <c r="C212" s="19">
        <v>1</v>
      </c>
      <c r="D212" s="19">
        <v>0</v>
      </c>
      <c r="E212" s="19">
        <v>46</v>
      </c>
      <c r="F212" s="19">
        <v>0</v>
      </c>
      <c r="G212" s="19">
        <v>0</v>
      </c>
      <c r="H212" s="19">
        <v>0</v>
      </c>
      <c r="I212" s="19">
        <v>0</v>
      </c>
      <c r="J212" s="19">
        <v>123</v>
      </c>
      <c r="K212" s="19">
        <v>0</v>
      </c>
      <c r="L212" s="19" t="s">
        <v>45</v>
      </c>
      <c r="M212" s="19" t="s">
        <v>190</v>
      </c>
      <c r="N212" s="19" t="s">
        <v>45</v>
      </c>
      <c r="O212" s="19" t="s">
        <v>45</v>
      </c>
      <c r="P212" s="19" t="s">
        <v>35</v>
      </c>
      <c r="Q212" s="19">
        <v>35</v>
      </c>
      <c r="R212" s="19">
        <v>5</v>
      </c>
      <c r="S212" s="19">
        <v>2</v>
      </c>
      <c r="T212" s="19"/>
      <c r="U212" s="19"/>
      <c r="V212" s="19">
        <v>0</v>
      </c>
      <c r="W212" s="19"/>
    </row>
    <row r="213" spans="1:23" x14ac:dyDescent="0.3">
      <c r="A213" s="19">
        <v>69210</v>
      </c>
      <c r="B213" s="59" t="s">
        <v>195</v>
      </c>
      <c r="C213" s="19">
        <v>1</v>
      </c>
      <c r="D213" s="19">
        <v>0</v>
      </c>
      <c r="E213" s="19">
        <v>34</v>
      </c>
      <c r="F213" s="19">
        <v>0</v>
      </c>
      <c r="G213" s="19">
        <v>0</v>
      </c>
      <c r="H213" s="19">
        <v>0</v>
      </c>
      <c r="I213" s="19">
        <v>0</v>
      </c>
      <c r="J213" s="19">
        <v>240</v>
      </c>
      <c r="K213" s="19">
        <v>0</v>
      </c>
      <c r="L213" s="19" t="s">
        <v>45</v>
      </c>
      <c r="M213" s="19" t="s">
        <v>190</v>
      </c>
      <c r="N213" s="19" t="s">
        <v>45</v>
      </c>
      <c r="O213" s="19" t="s">
        <v>45</v>
      </c>
      <c r="P213" s="19" t="s">
        <v>35</v>
      </c>
      <c r="Q213" s="19">
        <v>29</v>
      </c>
      <c r="R213" s="19">
        <v>5</v>
      </c>
      <c r="S213" s="19">
        <v>2</v>
      </c>
      <c r="T213" s="19">
        <v>120</v>
      </c>
      <c r="U213" s="19" t="s">
        <v>614</v>
      </c>
      <c r="V213" s="19">
        <v>0</v>
      </c>
      <c r="W213" s="19"/>
    </row>
    <row r="214" spans="1:23" x14ac:dyDescent="0.3">
      <c r="A214" s="19">
        <v>69211</v>
      </c>
      <c r="B214" s="59" t="s">
        <v>196</v>
      </c>
      <c r="C214" s="19">
        <v>1</v>
      </c>
      <c r="D214" s="19">
        <v>0</v>
      </c>
      <c r="E214" s="19">
        <v>34</v>
      </c>
      <c r="F214" s="19">
        <v>0</v>
      </c>
      <c r="G214" s="19">
        <v>0</v>
      </c>
      <c r="H214" s="19">
        <v>0</v>
      </c>
      <c r="I214" s="19">
        <v>0</v>
      </c>
      <c r="J214" s="19">
        <v>307</v>
      </c>
      <c r="K214" s="19">
        <v>0</v>
      </c>
      <c r="L214" s="19" t="s">
        <v>45</v>
      </c>
      <c r="M214" s="19" t="s">
        <v>190</v>
      </c>
      <c r="N214" s="19" t="s">
        <v>45</v>
      </c>
      <c r="O214" s="19" t="s">
        <v>45</v>
      </c>
      <c r="P214" s="19" t="s">
        <v>35</v>
      </c>
      <c r="Q214" s="19">
        <v>29</v>
      </c>
      <c r="R214" s="19">
        <v>5</v>
      </c>
      <c r="S214" s="19">
        <v>1</v>
      </c>
      <c r="T214" s="19">
        <v>107</v>
      </c>
      <c r="U214" s="19" t="s">
        <v>614</v>
      </c>
      <c r="V214" s="19">
        <v>0</v>
      </c>
      <c r="W214" s="19"/>
    </row>
    <row r="215" spans="1:23" x14ac:dyDescent="0.3">
      <c r="A215" s="19">
        <v>50400</v>
      </c>
      <c r="B215" s="59" t="s">
        <v>36</v>
      </c>
      <c r="C215" s="19">
        <v>1</v>
      </c>
      <c r="D215" s="19">
        <v>0</v>
      </c>
      <c r="E215" s="19">
        <v>47</v>
      </c>
      <c r="F215" s="19">
        <v>0</v>
      </c>
      <c r="G215" s="19">
        <v>0</v>
      </c>
      <c r="H215" s="19">
        <v>0</v>
      </c>
      <c r="I215" s="19">
        <v>0</v>
      </c>
      <c r="J215" s="19">
        <v>513</v>
      </c>
      <c r="K215" s="19">
        <v>0</v>
      </c>
      <c r="L215" s="19" t="s">
        <v>45</v>
      </c>
      <c r="M215" s="19" t="s">
        <v>190</v>
      </c>
      <c r="N215" s="19" t="s">
        <v>45</v>
      </c>
      <c r="O215" s="19" t="s">
        <v>45</v>
      </c>
      <c r="P215" s="19" t="s">
        <v>35</v>
      </c>
      <c r="Q215" s="19">
        <v>28</v>
      </c>
      <c r="R215" s="19">
        <v>5</v>
      </c>
      <c r="S215" s="19">
        <v>2</v>
      </c>
      <c r="T215" s="19">
        <v>50</v>
      </c>
      <c r="U215" s="19" t="s">
        <v>617</v>
      </c>
      <c r="V215" s="19">
        <v>0</v>
      </c>
      <c r="W215" s="19"/>
    </row>
    <row r="216" spans="1:23" x14ac:dyDescent="0.3">
      <c r="A216" s="19">
        <v>50405</v>
      </c>
      <c r="B216" s="59" t="s">
        <v>38</v>
      </c>
      <c r="C216" s="19">
        <v>1</v>
      </c>
      <c r="D216" s="19">
        <v>0</v>
      </c>
      <c r="E216" s="19">
        <v>47</v>
      </c>
      <c r="F216" s="19">
        <v>0</v>
      </c>
      <c r="G216" s="19">
        <v>0</v>
      </c>
      <c r="H216" s="19">
        <v>0</v>
      </c>
      <c r="I216" s="19">
        <v>0</v>
      </c>
      <c r="J216" s="19">
        <v>564</v>
      </c>
      <c r="K216" s="19">
        <v>0</v>
      </c>
      <c r="L216" s="19" t="s">
        <v>45</v>
      </c>
      <c r="M216" s="19" t="s">
        <v>190</v>
      </c>
      <c r="N216" s="19" t="s">
        <v>47</v>
      </c>
      <c r="O216" s="19" t="s">
        <v>45</v>
      </c>
      <c r="P216" s="19" t="s">
        <v>35</v>
      </c>
      <c r="Q216" s="19">
        <v>28</v>
      </c>
      <c r="R216" s="19">
        <v>9.25</v>
      </c>
      <c r="S216" s="19">
        <v>2</v>
      </c>
      <c r="T216" s="19">
        <v>50</v>
      </c>
      <c r="U216" s="19" t="s">
        <v>617</v>
      </c>
      <c r="V216" s="19">
        <v>0</v>
      </c>
      <c r="W216" s="19"/>
    </row>
    <row r="217" spans="1:23" x14ac:dyDescent="0.3">
      <c r="A217" s="19">
        <v>210692001</v>
      </c>
      <c r="B217" s="59" t="s">
        <v>363</v>
      </c>
      <c r="C217" s="19">
        <v>1</v>
      </c>
      <c r="D217" s="19">
        <v>0</v>
      </c>
      <c r="E217" s="19">
        <v>30</v>
      </c>
      <c r="F217" s="19">
        <v>0</v>
      </c>
      <c r="G217" s="19">
        <v>0</v>
      </c>
      <c r="H217" s="19">
        <v>0</v>
      </c>
      <c r="I217" s="19">
        <v>0</v>
      </c>
      <c r="J217" s="19">
        <v>213</v>
      </c>
      <c r="K217" s="19">
        <v>0</v>
      </c>
      <c r="L217" s="19" t="s">
        <v>45</v>
      </c>
      <c r="M217" s="19" t="s">
        <v>190</v>
      </c>
      <c r="N217" s="19" t="s">
        <v>45</v>
      </c>
      <c r="O217" s="19" t="s">
        <v>45</v>
      </c>
      <c r="P217" s="19" t="s">
        <v>35</v>
      </c>
      <c r="Q217" s="19">
        <v>26</v>
      </c>
      <c r="R217" s="19">
        <v>7</v>
      </c>
      <c r="S217" s="19">
        <v>3</v>
      </c>
      <c r="T217" s="19"/>
      <c r="U217" s="19"/>
      <c r="V217" s="19">
        <v>0</v>
      </c>
      <c r="W217" s="19"/>
    </row>
    <row r="218" spans="1:23" x14ac:dyDescent="0.3">
      <c r="A218" s="19">
        <v>210692051</v>
      </c>
      <c r="B218" s="59" t="s">
        <v>364</v>
      </c>
      <c r="C218" s="19">
        <v>1</v>
      </c>
      <c r="D218" s="19">
        <v>0</v>
      </c>
      <c r="E218" s="19">
        <v>30</v>
      </c>
      <c r="F218" s="19">
        <v>0</v>
      </c>
      <c r="G218" s="19">
        <v>0</v>
      </c>
      <c r="H218" s="19">
        <v>0</v>
      </c>
      <c r="I218" s="19">
        <v>0</v>
      </c>
      <c r="J218" s="19">
        <v>262</v>
      </c>
      <c r="K218" s="19">
        <v>0</v>
      </c>
      <c r="L218" s="19" t="s">
        <v>45</v>
      </c>
      <c r="M218" s="19" t="s">
        <v>190</v>
      </c>
      <c r="N218" s="19" t="s">
        <v>47</v>
      </c>
      <c r="O218" s="19" t="s">
        <v>45</v>
      </c>
      <c r="P218" s="19" t="s">
        <v>35</v>
      </c>
      <c r="Q218" s="19">
        <v>26</v>
      </c>
      <c r="R218" s="19">
        <v>10</v>
      </c>
      <c r="S218" s="19">
        <v>3</v>
      </c>
      <c r="T218" s="19"/>
      <c r="U218" s="19"/>
      <c r="V218" s="19">
        <v>0</v>
      </c>
      <c r="W218" s="19"/>
    </row>
    <row r="219" spans="1:23" x14ac:dyDescent="0.3">
      <c r="A219" s="19">
        <v>210770000</v>
      </c>
      <c r="B219" s="59" t="s">
        <v>365</v>
      </c>
      <c r="C219" s="19">
        <v>3</v>
      </c>
      <c r="D219" s="19">
        <v>0</v>
      </c>
      <c r="E219" s="19">
        <v>22</v>
      </c>
      <c r="F219" s="19">
        <v>0</v>
      </c>
      <c r="G219" s="19">
        <v>0</v>
      </c>
      <c r="H219" s="19">
        <v>0</v>
      </c>
      <c r="I219" s="19">
        <v>0</v>
      </c>
      <c r="J219" s="19">
        <v>0</v>
      </c>
      <c r="K219" s="19">
        <v>80</v>
      </c>
      <c r="L219" s="19" t="s">
        <v>45</v>
      </c>
      <c r="M219" s="19" t="s">
        <v>314</v>
      </c>
      <c r="N219" s="19" t="s">
        <v>45</v>
      </c>
      <c r="O219" s="19" t="s">
        <v>45</v>
      </c>
      <c r="P219" s="19" t="s">
        <v>35</v>
      </c>
      <c r="Q219" s="19">
        <v>12</v>
      </c>
      <c r="R219" s="19">
        <v>5</v>
      </c>
      <c r="S219" s="19">
        <v>0</v>
      </c>
      <c r="T219" s="19"/>
      <c r="U219" s="19"/>
      <c r="V219" s="19">
        <v>0</v>
      </c>
      <c r="W219" s="19"/>
    </row>
    <row r="220" spans="1:23" x14ac:dyDescent="0.3">
      <c r="A220" s="19">
        <v>210770050</v>
      </c>
      <c r="B220" s="59" t="s">
        <v>366</v>
      </c>
      <c r="C220" s="19">
        <v>3</v>
      </c>
      <c r="D220" s="19">
        <v>0</v>
      </c>
      <c r="E220" s="19">
        <v>22</v>
      </c>
      <c r="F220" s="19">
        <v>0</v>
      </c>
      <c r="G220" s="19">
        <v>0</v>
      </c>
      <c r="H220" s="19">
        <v>0</v>
      </c>
      <c r="I220" s="19">
        <v>0</v>
      </c>
      <c r="J220" s="19">
        <v>0</v>
      </c>
      <c r="K220" s="19">
        <v>95</v>
      </c>
      <c r="L220" s="19" t="s">
        <v>45</v>
      </c>
      <c r="M220" s="19" t="s">
        <v>314</v>
      </c>
      <c r="N220" s="19" t="s">
        <v>47</v>
      </c>
      <c r="O220" s="19" t="s">
        <v>45</v>
      </c>
      <c r="P220" s="19" t="s">
        <v>35</v>
      </c>
      <c r="Q220" s="19">
        <v>12</v>
      </c>
      <c r="R220" s="19">
        <v>5</v>
      </c>
      <c r="S220" s="19">
        <v>1</v>
      </c>
      <c r="T220" s="19"/>
      <c r="U220" s="19"/>
      <c r="V220" s="19">
        <v>0</v>
      </c>
      <c r="W220" s="19"/>
    </row>
    <row r="221" spans="1:23" x14ac:dyDescent="0.3">
      <c r="A221" s="19">
        <v>210771000</v>
      </c>
      <c r="B221" s="59" t="s">
        <v>367</v>
      </c>
      <c r="C221" s="19">
        <v>1</v>
      </c>
      <c r="D221" s="19">
        <v>0</v>
      </c>
      <c r="E221" s="19">
        <v>34</v>
      </c>
      <c r="F221" s="19">
        <v>0</v>
      </c>
      <c r="G221" s="19">
        <v>0</v>
      </c>
      <c r="H221" s="19">
        <v>0</v>
      </c>
      <c r="I221" s="19">
        <v>0</v>
      </c>
      <c r="J221" s="19">
        <v>0</v>
      </c>
      <c r="K221" s="19">
        <v>215</v>
      </c>
      <c r="L221" s="19" t="s">
        <v>45</v>
      </c>
      <c r="M221" s="19" t="s">
        <v>314</v>
      </c>
      <c r="N221" s="19" t="s">
        <v>45</v>
      </c>
      <c r="O221" s="19" t="s">
        <v>45</v>
      </c>
      <c r="P221" s="19" t="s">
        <v>35</v>
      </c>
      <c r="Q221" s="19">
        <v>24</v>
      </c>
      <c r="R221" s="19">
        <v>8</v>
      </c>
      <c r="S221" s="19">
        <v>1</v>
      </c>
      <c r="T221" s="19"/>
      <c r="U221" s="19"/>
      <c r="V221" s="19">
        <v>0</v>
      </c>
      <c r="W221" s="19"/>
    </row>
    <row r="222" spans="1:23" x14ac:dyDescent="0.3">
      <c r="A222" s="19">
        <v>210771050</v>
      </c>
      <c r="B222" s="59" t="s">
        <v>368</v>
      </c>
      <c r="C222" s="19">
        <v>1</v>
      </c>
      <c r="D222" s="19">
        <v>0</v>
      </c>
      <c r="E222" s="19">
        <v>34</v>
      </c>
      <c r="F222" s="19">
        <v>0</v>
      </c>
      <c r="G222" s="19">
        <v>0</v>
      </c>
      <c r="H222" s="19">
        <v>0</v>
      </c>
      <c r="I222" s="19">
        <v>0</v>
      </c>
      <c r="J222" s="19">
        <v>0</v>
      </c>
      <c r="K222" s="19">
        <v>265</v>
      </c>
      <c r="L222" s="19" t="s">
        <v>45</v>
      </c>
      <c r="M222" s="19" t="s">
        <v>314</v>
      </c>
      <c r="N222" s="19" t="s">
        <v>47</v>
      </c>
      <c r="O222" s="19" t="s">
        <v>45</v>
      </c>
      <c r="P222" s="19" t="s">
        <v>35</v>
      </c>
      <c r="Q222" s="19">
        <v>24</v>
      </c>
      <c r="R222" s="19">
        <v>12</v>
      </c>
      <c r="S222" s="19">
        <v>2</v>
      </c>
      <c r="T222" s="19"/>
      <c r="U222" s="19"/>
      <c r="V222" s="19">
        <v>0</v>
      </c>
      <c r="W222" s="19"/>
    </row>
    <row r="223" spans="1:23" x14ac:dyDescent="0.3">
      <c r="A223" s="19">
        <v>210772000</v>
      </c>
      <c r="B223" s="59" t="s">
        <v>369</v>
      </c>
      <c r="C223" s="19">
        <v>1</v>
      </c>
      <c r="D223" s="19">
        <v>0</v>
      </c>
      <c r="E223" s="19">
        <v>48</v>
      </c>
      <c r="F223" s="19">
        <v>0</v>
      </c>
      <c r="G223" s="19">
        <v>0</v>
      </c>
      <c r="H223" s="19">
        <v>0</v>
      </c>
      <c r="I223" s="19">
        <v>0</v>
      </c>
      <c r="J223" s="19">
        <v>0</v>
      </c>
      <c r="K223" s="19">
        <v>160</v>
      </c>
      <c r="L223" s="19" t="s">
        <v>45</v>
      </c>
      <c r="M223" s="19" t="s">
        <v>314</v>
      </c>
      <c r="N223" s="19" t="s">
        <v>45</v>
      </c>
      <c r="O223" s="19" t="s">
        <v>45</v>
      </c>
      <c r="P223" s="19" t="s">
        <v>35</v>
      </c>
      <c r="Q223" s="19">
        <v>10</v>
      </c>
      <c r="R223" s="19">
        <v>3</v>
      </c>
      <c r="S223" s="19">
        <v>1</v>
      </c>
      <c r="T223" s="19"/>
      <c r="U223" s="19"/>
      <c r="V223" s="19">
        <v>0</v>
      </c>
      <c r="W223" s="19"/>
    </row>
    <row r="224" spans="1:23" x14ac:dyDescent="0.3">
      <c r="A224" s="19">
        <v>210760000</v>
      </c>
      <c r="B224" s="59" t="s">
        <v>370</v>
      </c>
      <c r="C224" s="19">
        <v>4</v>
      </c>
      <c r="D224" s="19">
        <v>0</v>
      </c>
      <c r="E224" s="19">
        <v>26</v>
      </c>
      <c r="F224" s="19">
        <v>0</v>
      </c>
      <c r="G224" s="19">
        <v>0</v>
      </c>
      <c r="H224" s="19">
        <v>0</v>
      </c>
      <c r="I224" s="19">
        <v>0</v>
      </c>
      <c r="J224" s="19">
        <v>0</v>
      </c>
      <c r="K224" s="19">
        <v>100</v>
      </c>
      <c r="L224" s="19" t="s">
        <v>45</v>
      </c>
      <c r="M224" s="19" t="s">
        <v>370</v>
      </c>
      <c r="N224" s="19" t="s">
        <v>45</v>
      </c>
      <c r="O224" s="19" t="s">
        <v>45</v>
      </c>
      <c r="P224" s="19" t="s">
        <v>35</v>
      </c>
      <c r="Q224" s="19">
        <v>12</v>
      </c>
      <c r="R224" s="19">
        <v>5</v>
      </c>
      <c r="S224" s="19">
        <v>1</v>
      </c>
      <c r="T224" s="19"/>
      <c r="U224" s="19"/>
      <c r="V224" s="19">
        <v>0</v>
      </c>
      <c r="W224" s="19"/>
    </row>
    <row r="225" spans="1:23" x14ac:dyDescent="0.3">
      <c r="A225" s="19">
        <v>210774000</v>
      </c>
      <c r="B225" s="59" t="s">
        <v>371</v>
      </c>
      <c r="C225" s="19">
        <v>5</v>
      </c>
      <c r="D225" s="19">
        <v>0</v>
      </c>
      <c r="E225" s="19">
        <v>24</v>
      </c>
      <c r="F225" s="19">
        <v>0</v>
      </c>
      <c r="G225" s="19">
        <v>42</v>
      </c>
      <c r="H225" s="19">
        <v>0</v>
      </c>
      <c r="I225" s="19">
        <v>0</v>
      </c>
      <c r="J225" s="19">
        <v>0</v>
      </c>
      <c r="K225" s="19">
        <v>0</v>
      </c>
      <c r="L225" s="19" t="s">
        <v>435</v>
      </c>
      <c r="M225" s="19" t="s">
        <v>409</v>
      </c>
      <c r="N225" s="19" t="s">
        <v>45</v>
      </c>
      <c r="O225" s="19" t="s">
        <v>45</v>
      </c>
      <c r="P225" s="19" t="s">
        <v>35</v>
      </c>
      <c r="Q225" s="19">
        <v>3</v>
      </c>
      <c r="R225" s="19">
        <v>1</v>
      </c>
      <c r="S225" s="19">
        <v>0</v>
      </c>
      <c r="T225" s="19"/>
      <c r="U225" s="19"/>
      <c r="V225" s="19">
        <v>0</v>
      </c>
      <c r="W225" s="19"/>
    </row>
    <row r="226" spans="1:23" x14ac:dyDescent="0.3">
      <c r="A226" s="19">
        <v>210773000</v>
      </c>
      <c r="B226" s="59" t="s">
        <v>372</v>
      </c>
      <c r="C226" s="19">
        <v>1</v>
      </c>
      <c r="D226" s="19">
        <v>0</v>
      </c>
      <c r="E226" s="19">
        <v>28</v>
      </c>
      <c r="F226" s="19">
        <v>0</v>
      </c>
      <c r="G226" s="19">
        <v>220</v>
      </c>
      <c r="H226" s="19">
        <v>0</v>
      </c>
      <c r="I226" s="19">
        <v>0</v>
      </c>
      <c r="J226" s="19">
        <v>0</v>
      </c>
      <c r="K226" s="19">
        <v>0</v>
      </c>
      <c r="L226" s="19" t="s">
        <v>432</v>
      </c>
      <c r="M226" s="19" t="s">
        <v>390</v>
      </c>
      <c r="N226" s="19" t="s">
        <v>45</v>
      </c>
      <c r="O226" s="19" t="s">
        <v>323</v>
      </c>
      <c r="P226" s="19" t="s">
        <v>35</v>
      </c>
      <c r="Q226" s="19">
        <v>24</v>
      </c>
      <c r="R226" s="19">
        <v>8</v>
      </c>
      <c r="S226" s="19">
        <v>3</v>
      </c>
      <c r="T226" s="19"/>
      <c r="U226" s="19"/>
      <c r="V226" s="19">
        <v>0</v>
      </c>
      <c r="W226" s="19"/>
    </row>
    <row r="227" spans="1:23" x14ac:dyDescent="0.3">
      <c r="A227" s="19">
        <v>210773050</v>
      </c>
      <c r="B227" s="59" t="s">
        <v>373</v>
      </c>
      <c r="C227" s="19">
        <v>1</v>
      </c>
      <c r="D227" s="19">
        <v>0</v>
      </c>
      <c r="E227" s="19">
        <v>28</v>
      </c>
      <c r="F227" s="19">
        <v>0</v>
      </c>
      <c r="G227" s="19">
        <v>275</v>
      </c>
      <c r="H227" s="19">
        <v>0</v>
      </c>
      <c r="I227" s="19">
        <v>0</v>
      </c>
      <c r="J227" s="19">
        <v>0</v>
      </c>
      <c r="K227" s="19">
        <v>0</v>
      </c>
      <c r="L227" s="19" t="s">
        <v>432</v>
      </c>
      <c r="M227" s="19" t="s">
        <v>390</v>
      </c>
      <c r="N227" s="19" t="s">
        <v>47</v>
      </c>
      <c r="O227" s="19" t="s">
        <v>323</v>
      </c>
      <c r="P227" s="19" t="s">
        <v>35</v>
      </c>
      <c r="Q227" s="19">
        <v>24</v>
      </c>
      <c r="R227" s="19">
        <v>8</v>
      </c>
      <c r="S227" s="19">
        <v>9</v>
      </c>
      <c r="T227" s="19"/>
      <c r="U227" s="19"/>
      <c r="V227" s="19">
        <v>0</v>
      </c>
      <c r="W227" s="19"/>
    </row>
    <row r="228" spans="1:23" x14ac:dyDescent="0.3">
      <c r="A228" s="19">
        <v>60001</v>
      </c>
      <c r="B228" s="59" t="s">
        <v>39</v>
      </c>
      <c r="C228" s="19">
        <v>1</v>
      </c>
      <c r="D228" s="19">
        <v>0</v>
      </c>
      <c r="E228" s="19">
        <v>8</v>
      </c>
      <c r="F228" s="19">
        <v>0</v>
      </c>
      <c r="G228" s="19">
        <v>0</v>
      </c>
      <c r="H228" s="19">
        <v>0</v>
      </c>
      <c r="I228" s="19">
        <v>225</v>
      </c>
      <c r="J228" s="19">
        <v>0</v>
      </c>
      <c r="K228" s="19">
        <v>0</v>
      </c>
      <c r="L228" s="19" t="s">
        <v>45</v>
      </c>
      <c r="M228" s="19" t="s">
        <v>45</v>
      </c>
      <c r="N228" s="19" t="s">
        <v>45</v>
      </c>
      <c r="O228" s="19" t="s">
        <v>45</v>
      </c>
      <c r="P228" s="19" t="s">
        <v>35</v>
      </c>
      <c r="Q228" s="19">
        <v>10</v>
      </c>
      <c r="R228" s="19">
        <v>7</v>
      </c>
      <c r="S228" s="19">
        <v>1</v>
      </c>
      <c r="T228" s="19"/>
      <c r="U228" s="19"/>
      <c r="V228" s="19">
        <v>0</v>
      </c>
      <c r="W228" s="19"/>
    </row>
    <row r="229" spans="1:23" x14ac:dyDescent="0.3">
      <c r="A229" s="19">
        <v>60011</v>
      </c>
      <c r="B229" s="59" t="s">
        <v>40</v>
      </c>
      <c r="C229" s="19">
        <v>1</v>
      </c>
      <c r="D229" s="19">
        <v>1</v>
      </c>
      <c r="E229" s="19">
        <v>0</v>
      </c>
      <c r="F229" s="19">
        <v>0</v>
      </c>
      <c r="G229" s="19">
        <v>0</v>
      </c>
      <c r="H229" s="19">
        <v>0</v>
      </c>
      <c r="I229" s="19">
        <v>280</v>
      </c>
      <c r="J229" s="19">
        <v>0</v>
      </c>
      <c r="K229" s="19">
        <v>0</v>
      </c>
      <c r="L229" s="19" t="s">
        <v>45</v>
      </c>
      <c r="M229" s="19" t="s">
        <v>149</v>
      </c>
      <c r="N229" s="19" t="s">
        <v>45</v>
      </c>
      <c r="O229" s="19" t="s">
        <v>45</v>
      </c>
      <c r="P229" s="19" t="s">
        <v>35</v>
      </c>
      <c r="Q229" s="19">
        <v>16</v>
      </c>
      <c r="R229" s="19">
        <v>10.175000000000001</v>
      </c>
      <c r="S229" s="19">
        <v>2</v>
      </c>
      <c r="T229" s="19"/>
      <c r="U229" s="19"/>
      <c r="V229" s="19">
        <v>0</v>
      </c>
      <c r="W229" s="19"/>
    </row>
    <row r="230" spans="1:23" x14ac:dyDescent="0.3">
      <c r="A230" s="19">
        <v>60016</v>
      </c>
      <c r="B230" s="59" t="s">
        <v>41</v>
      </c>
      <c r="C230" s="19">
        <v>1</v>
      </c>
      <c r="D230" s="19">
        <v>1</v>
      </c>
      <c r="E230" s="19">
        <v>0</v>
      </c>
      <c r="F230" s="19">
        <v>0</v>
      </c>
      <c r="G230" s="19">
        <v>0</v>
      </c>
      <c r="H230" s="19">
        <v>0</v>
      </c>
      <c r="I230" s="19">
        <v>385</v>
      </c>
      <c r="J230" s="19">
        <v>0</v>
      </c>
      <c r="K230" s="19">
        <v>0</v>
      </c>
      <c r="L230" s="19" t="s">
        <v>45</v>
      </c>
      <c r="M230" s="19" t="s">
        <v>149</v>
      </c>
      <c r="N230" s="19" t="s">
        <v>47</v>
      </c>
      <c r="O230" s="19" t="s">
        <v>45</v>
      </c>
      <c r="P230" s="19" t="s">
        <v>35</v>
      </c>
      <c r="Q230" s="19">
        <v>16</v>
      </c>
      <c r="R230" s="19">
        <v>14.4</v>
      </c>
      <c r="S230" s="19">
        <v>3</v>
      </c>
      <c r="T230" s="19"/>
      <c r="U230" s="19"/>
      <c r="V230" s="19">
        <v>0</v>
      </c>
      <c r="W230" s="19"/>
    </row>
    <row r="231" spans="1:23" x14ac:dyDescent="0.3">
      <c r="A231" s="19">
        <v>60100</v>
      </c>
      <c r="B231" s="59" t="s">
        <v>42</v>
      </c>
      <c r="C231" s="19">
        <v>1</v>
      </c>
      <c r="D231" s="19">
        <v>0</v>
      </c>
      <c r="E231" s="19">
        <v>10</v>
      </c>
      <c r="F231" s="19">
        <v>0</v>
      </c>
      <c r="G231" s="19">
        <v>0</v>
      </c>
      <c r="H231" s="19">
        <v>0</v>
      </c>
      <c r="I231" s="19">
        <v>202</v>
      </c>
      <c r="J231" s="19">
        <v>0</v>
      </c>
      <c r="K231" s="19">
        <v>0</v>
      </c>
      <c r="L231" s="19" t="s">
        <v>45</v>
      </c>
      <c r="M231" s="19" t="s">
        <v>45</v>
      </c>
      <c r="N231" s="19" t="s">
        <v>45</v>
      </c>
      <c r="O231" s="19" t="s">
        <v>45</v>
      </c>
      <c r="P231" s="19" t="s">
        <v>35</v>
      </c>
      <c r="Q231" s="19">
        <v>11</v>
      </c>
      <c r="R231" s="19">
        <v>5</v>
      </c>
      <c r="S231" s="19">
        <v>2</v>
      </c>
      <c r="T231" s="19"/>
      <c r="U231" s="19"/>
      <c r="V231" s="19">
        <v>0</v>
      </c>
      <c r="W231" s="19"/>
    </row>
    <row r="232" spans="1:23" x14ac:dyDescent="0.3">
      <c r="A232" s="19">
        <v>60102</v>
      </c>
      <c r="B232" s="59" t="s">
        <v>43</v>
      </c>
      <c r="C232" s="19">
        <v>1</v>
      </c>
      <c r="D232" s="19">
        <v>0</v>
      </c>
      <c r="E232" s="19">
        <v>10</v>
      </c>
      <c r="F232" s="19">
        <v>0</v>
      </c>
      <c r="G232" s="19">
        <v>0</v>
      </c>
      <c r="H232" s="19">
        <v>0</v>
      </c>
      <c r="I232" s="19">
        <v>255</v>
      </c>
      <c r="J232" s="19">
        <v>0</v>
      </c>
      <c r="K232" s="19">
        <v>0</v>
      </c>
      <c r="L232" s="19" t="s">
        <v>45</v>
      </c>
      <c r="M232" s="19" t="s">
        <v>45</v>
      </c>
      <c r="N232" s="19" t="s">
        <v>47</v>
      </c>
      <c r="O232" s="19" t="s">
        <v>45</v>
      </c>
      <c r="P232" s="19" t="s">
        <v>35</v>
      </c>
      <c r="Q232" s="19">
        <v>11</v>
      </c>
      <c r="R232" s="19">
        <v>9.25</v>
      </c>
      <c r="S232" s="19">
        <v>2</v>
      </c>
      <c r="T232" s="19"/>
      <c r="U232" s="19"/>
      <c r="V232" s="19">
        <v>0</v>
      </c>
      <c r="W232" s="19"/>
    </row>
    <row r="233" spans="1:23" x14ac:dyDescent="0.3">
      <c r="A233" s="19">
        <v>61000</v>
      </c>
      <c r="B233" s="59" t="s">
        <v>153</v>
      </c>
      <c r="C233" s="19">
        <v>1</v>
      </c>
      <c r="D233" s="19">
        <v>0</v>
      </c>
      <c r="E233" s="19">
        <v>30</v>
      </c>
      <c r="F233" s="19">
        <v>0</v>
      </c>
      <c r="G233" s="19">
        <v>0</v>
      </c>
      <c r="H233" s="19">
        <v>0</v>
      </c>
      <c r="I233" s="19">
        <v>325</v>
      </c>
      <c r="J233" s="19">
        <v>0</v>
      </c>
      <c r="K233" s="19">
        <v>0</v>
      </c>
      <c r="L233" s="19" t="s">
        <v>45</v>
      </c>
      <c r="M233" s="19" t="s">
        <v>149</v>
      </c>
      <c r="N233" s="19" t="s">
        <v>45</v>
      </c>
      <c r="O233" s="19" t="s">
        <v>45</v>
      </c>
      <c r="P233" s="19" t="s">
        <v>35</v>
      </c>
      <c r="Q233" s="19">
        <v>30</v>
      </c>
      <c r="R233" s="19">
        <v>13.634499999999999</v>
      </c>
      <c r="S233" s="19">
        <v>7</v>
      </c>
      <c r="T233" s="19"/>
      <c r="U233" s="19"/>
      <c r="V233" s="19">
        <v>0</v>
      </c>
      <c r="W233" s="19"/>
    </row>
    <row r="234" spans="1:23" x14ac:dyDescent="0.3">
      <c r="A234" s="19">
        <v>61005</v>
      </c>
      <c r="B234" s="59" t="s">
        <v>154</v>
      </c>
      <c r="C234" s="19">
        <v>1</v>
      </c>
      <c r="D234" s="19">
        <v>0</v>
      </c>
      <c r="E234" s="19">
        <v>30</v>
      </c>
      <c r="F234" s="19">
        <v>0</v>
      </c>
      <c r="G234" s="19">
        <v>0</v>
      </c>
      <c r="H234" s="19">
        <v>0</v>
      </c>
      <c r="I234" s="19">
        <v>389</v>
      </c>
      <c r="J234" s="19">
        <v>0</v>
      </c>
      <c r="K234" s="19">
        <v>0</v>
      </c>
      <c r="L234" s="19" t="s">
        <v>45</v>
      </c>
      <c r="M234" s="19" t="s">
        <v>149</v>
      </c>
      <c r="N234" s="19" t="s">
        <v>47</v>
      </c>
      <c r="O234" s="19" t="s">
        <v>45</v>
      </c>
      <c r="P234" s="19" t="s">
        <v>35</v>
      </c>
      <c r="Q234" s="19">
        <v>30</v>
      </c>
      <c r="R234" s="19">
        <v>15</v>
      </c>
      <c r="S234" s="19">
        <v>7</v>
      </c>
      <c r="T234" s="19"/>
      <c r="U234" s="19"/>
      <c r="V234" s="19">
        <v>0</v>
      </c>
      <c r="W234" s="19"/>
    </row>
    <row r="235" spans="1:23" x14ac:dyDescent="0.3">
      <c r="A235" s="19">
        <v>60200</v>
      </c>
      <c r="B235" s="59" t="s">
        <v>44</v>
      </c>
      <c r="C235" s="19">
        <v>3</v>
      </c>
      <c r="D235" s="19">
        <v>1</v>
      </c>
      <c r="E235" s="19">
        <v>0</v>
      </c>
      <c r="F235" s="19">
        <v>0</v>
      </c>
      <c r="G235" s="19">
        <v>0</v>
      </c>
      <c r="H235" s="19">
        <v>0</v>
      </c>
      <c r="I235" s="19">
        <v>115</v>
      </c>
      <c r="J235" s="19">
        <v>0</v>
      </c>
      <c r="K235" s="19">
        <v>0</v>
      </c>
      <c r="L235" s="19" t="s">
        <v>45</v>
      </c>
      <c r="M235" s="19" t="s">
        <v>149</v>
      </c>
      <c r="N235" s="19" t="s">
        <v>45</v>
      </c>
      <c r="O235" s="19" t="s">
        <v>45</v>
      </c>
      <c r="P235" s="19" t="s">
        <v>35</v>
      </c>
      <c r="Q235" s="19">
        <v>16</v>
      </c>
      <c r="R235" s="19">
        <v>4</v>
      </c>
      <c r="S235" s="19">
        <v>2</v>
      </c>
      <c r="T235" s="19"/>
      <c r="U235" s="19"/>
      <c r="V235" s="19">
        <v>0</v>
      </c>
      <c r="W235" s="19"/>
    </row>
    <row r="236" spans="1:23" x14ac:dyDescent="0.3">
      <c r="A236" s="19">
        <v>60205</v>
      </c>
      <c r="B236" s="59" t="s">
        <v>150</v>
      </c>
      <c r="C236" s="19">
        <v>3</v>
      </c>
      <c r="D236" s="19">
        <v>1</v>
      </c>
      <c r="E236" s="19">
        <v>0</v>
      </c>
      <c r="F236" s="19">
        <v>0</v>
      </c>
      <c r="G236" s="19">
        <v>0</v>
      </c>
      <c r="H236" s="19">
        <v>0</v>
      </c>
      <c r="I236" s="19">
        <v>140</v>
      </c>
      <c r="J236" s="19">
        <v>0</v>
      </c>
      <c r="K236" s="19">
        <v>0</v>
      </c>
      <c r="L236" s="19" t="s">
        <v>45</v>
      </c>
      <c r="M236" s="19" t="s">
        <v>149</v>
      </c>
      <c r="N236" s="19" t="s">
        <v>47</v>
      </c>
      <c r="O236" s="19" t="s">
        <v>45</v>
      </c>
      <c r="P236" s="19" t="s">
        <v>35</v>
      </c>
      <c r="Q236" s="19">
        <v>16</v>
      </c>
      <c r="R236" s="19">
        <v>6</v>
      </c>
      <c r="S236" s="19">
        <v>2</v>
      </c>
      <c r="T236" s="19"/>
      <c r="U236" s="19"/>
      <c r="V236" s="19">
        <v>0</v>
      </c>
      <c r="W236" s="19"/>
    </row>
    <row r="237" spans="1:23" x14ac:dyDescent="0.3">
      <c r="A237" s="19">
        <v>61100</v>
      </c>
      <c r="B237" s="59" t="s">
        <v>155</v>
      </c>
      <c r="C237" s="19">
        <v>1</v>
      </c>
      <c r="D237" s="19">
        <v>0</v>
      </c>
      <c r="E237" s="19">
        <v>41</v>
      </c>
      <c r="F237" s="19">
        <v>0</v>
      </c>
      <c r="G237" s="19">
        <v>0</v>
      </c>
      <c r="H237" s="19">
        <v>0</v>
      </c>
      <c r="I237" s="19">
        <v>415</v>
      </c>
      <c r="J237" s="19">
        <v>0</v>
      </c>
      <c r="K237" s="19">
        <v>0</v>
      </c>
      <c r="L237" s="19" t="s">
        <v>45</v>
      </c>
      <c r="M237" s="19" t="s">
        <v>149</v>
      </c>
      <c r="N237" s="19" t="s">
        <v>45</v>
      </c>
      <c r="O237" s="19" t="s">
        <v>45</v>
      </c>
      <c r="P237" s="19" t="s">
        <v>35</v>
      </c>
      <c r="Q237" s="19">
        <v>34</v>
      </c>
      <c r="R237" s="19">
        <v>16.113499999999998</v>
      </c>
      <c r="S237" s="19">
        <v>7</v>
      </c>
      <c r="T237" s="19"/>
      <c r="U237" s="19"/>
      <c r="V237" s="19">
        <v>0</v>
      </c>
      <c r="W237" s="19"/>
    </row>
    <row r="238" spans="1:23" x14ac:dyDescent="0.3">
      <c r="A238" s="19">
        <v>61101</v>
      </c>
      <c r="B238" s="59" t="s">
        <v>156</v>
      </c>
      <c r="C238" s="19">
        <v>8</v>
      </c>
      <c r="D238" s="19">
        <v>0</v>
      </c>
      <c r="E238" s="19">
        <v>41</v>
      </c>
      <c r="F238" s="19">
        <v>0</v>
      </c>
      <c r="G238" s="19">
        <v>0</v>
      </c>
      <c r="H238" s="19">
        <v>0</v>
      </c>
      <c r="I238" s="19">
        <v>35</v>
      </c>
      <c r="J238" s="19">
        <v>0</v>
      </c>
      <c r="K238" s="19">
        <v>0</v>
      </c>
      <c r="L238" s="19" t="s">
        <v>45</v>
      </c>
      <c r="M238" s="19" t="s">
        <v>149</v>
      </c>
      <c r="N238" s="19" t="s">
        <v>45</v>
      </c>
      <c r="O238" s="19" t="s">
        <v>45</v>
      </c>
      <c r="P238" s="19" t="s">
        <v>35</v>
      </c>
      <c r="Q238" s="19">
        <v>34</v>
      </c>
      <c r="R238" s="19">
        <v>1</v>
      </c>
      <c r="S238" s="19">
        <v>8</v>
      </c>
      <c r="T238" s="19"/>
      <c r="U238" s="19"/>
      <c r="V238" s="19">
        <v>0</v>
      </c>
      <c r="W238" s="19"/>
    </row>
    <row r="239" spans="1:23" x14ac:dyDescent="0.3">
      <c r="A239" s="19">
        <v>62200</v>
      </c>
      <c r="B239" s="59" t="s">
        <v>161</v>
      </c>
      <c r="C239" s="19">
        <v>2</v>
      </c>
      <c r="D239" s="19">
        <v>1</v>
      </c>
      <c r="E239" s="19">
        <v>0</v>
      </c>
      <c r="F239" s="19">
        <v>0</v>
      </c>
      <c r="G239" s="19">
        <v>0</v>
      </c>
      <c r="H239" s="19">
        <v>0</v>
      </c>
      <c r="I239" s="19">
        <v>51</v>
      </c>
      <c r="J239" s="19">
        <v>0</v>
      </c>
      <c r="K239" s="19">
        <v>0</v>
      </c>
      <c r="L239" s="19" t="s">
        <v>45</v>
      </c>
      <c r="M239" s="19" t="s">
        <v>149</v>
      </c>
      <c r="N239" s="19" t="s">
        <v>45</v>
      </c>
      <c r="O239" s="19" t="s">
        <v>45</v>
      </c>
      <c r="P239" s="19" t="s">
        <v>35</v>
      </c>
      <c r="Q239" s="19">
        <v>1</v>
      </c>
      <c r="R239" s="19">
        <v>1</v>
      </c>
      <c r="S239" s="19">
        <v>8</v>
      </c>
      <c r="T239" s="19"/>
      <c r="U239" s="19"/>
      <c r="V239" s="19">
        <v>0</v>
      </c>
      <c r="W239" s="19"/>
    </row>
    <row r="240" spans="1:23" x14ac:dyDescent="0.3">
      <c r="A240" s="19">
        <v>60300</v>
      </c>
      <c r="B240" s="59" t="s">
        <v>151</v>
      </c>
      <c r="C240" s="19">
        <v>4</v>
      </c>
      <c r="D240" s="19">
        <v>1</v>
      </c>
      <c r="E240" s="19">
        <v>0</v>
      </c>
      <c r="F240" s="19">
        <v>0</v>
      </c>
      <c r="G240" s="19">
        <v>0</v>
      </c>
      <c r="H240" s="19">
        <v>0</v>
      </c>
      <c r="I240" s="19">
        <v>96</v>
      </c>
      <c r="J240" s="19">
        <v>0</v>
      </c>
      <c r="K240" s="19">
        <v>0</v>
      </c>
      <c r="L240" s="19" t="s">
        <v>45</v>
      </c>
      <c r="M240" s="19" t="s">
        <v>149</v>
      </c>
      <c r="N240" s="19" t="s">
        <v>45</v>
      </c>
      <c r="O240" s="19" t="s">
        <v>45</v>
      </c>
      <c r="P240" s="19" t="s">
        <v>35</v>
      </c>
      <c r="Q240" s="19">
        <v>19</v>
      </c>
      <c r="R240" s="19">
        <v>1.85</v>
      </c>
      <c r="S240" s="19">
        <v>8</v>
      </c>
      <c r="T240" s="19"/>
      <c r="U240" s="19"/>
      <c r="V240" s="19">
        <v>0</v>
      </c>
      <c r="W240" s="19"/>
    </row>
    <row r="241" spans="1:23" x14ac:dyDescent="0.3">
      <c r="A241" s="19">
        <v>60305</v>
      </c>
      <c r="B241" s="59" t="s">
        <v>152</v>
      </c>
      <c r="C241" s="19">
        <v>6</v>
      </c>
      <c r="D241" s="19">
        <v>1</v>
      </c>
      <c r="E241" s="19">
        <v>0</v>
      </c>
      <c r="F241" s="19">
        <v>0</v>
      </c>
      <c r="G241" s="19">
        <v>0</v>
      </c>
      <c r="H241" s="19">
        <v>0</v>
      </c>
      <c r="I241" s="19">
        <v>121</v>
      </c>
      <c r="J241" s="19">
        <v>0</v>
      </c>
      <c r="K241" s="19">
        <v>0</v>
      </c>
      <c r="L241" s="19" t="s">
        <v>45</v>
      </c>
      <c r="M241" s="19" t="s">
        <v>149</v>
      </c>
      <c r="N241" s="19" t="s">
        <v>47</v>
      </c>
      <c r="O241" s="19" t="s">
        <v>45</v>
      </c>
      <c r="P241" s="19" t="s">
        <v>35</v>
      </c>
      <c r="Q241" s="19">
        <v>19</v>
      </c>
      <c r="R241" s="19">
        <v>2.8</v>
      </c>
      <c r="S241" s="19">
        <v>8</v>
      </c>
      <c r="T241" s="19"/>
      <c r="U241" s="19"/>
      <c r="V241" s="19">
        <v>0</v>
      </c>
      <c r="W241" s="19"/>
    </row>
    <row r="242" spans="1:23" x14ac:dyDescent="0.3">
      <c r="A242" s="19">
        <v>61203</v>
      </c>
      <c r="B242" s="59" t="s">
        <v>157</v>
      </c>
      <c r="C242" s="19">
        <v>2</v>
      </c>
      <c r="D242" s="19">
        <v>1</v>
      </c>
      <c r="E242" s="19">
        <v>0</v>
      </c>
      <c r="F242" s="19">
        <v>0</v>
      </c>
      <c r="G242" s="19">
        <v>0</v>
      </c>
      <c r="H242" s="19">
        <v>0</v>
      </c>
      <c r="I242" s="19">
        <v>288</v>
      </c>
      <c r="J242" s="19">
        <v>0</v>
      </c>
      <c r="K242" s="19">
        <v>0</v>
      </c>
      <c r="L242" s="19" t="s">
        <v>45</v>
      </c>
      <c r="M242" s="19" t="s">
        <v>149</v>
      </c>
      <c r="N242" s="19" t="s">
        <v>45</v>
      </c>
      <c r="O242" s="19" t="s">
        <v>45</v>
      </c>
      <c r="P242" s="19" t="s">
        <v>35</v>
      </c>
      <c r="Q242" s="19">
        <v>26</v>
      </c>
      <c r="R242" s="19">
        <v>9.25</v>
      </c>
      <c r="S242" s="19">
        <v>9</v>
      </c>
      <c r="T242" s="19"/>
      <c r="U242" s="19"/>
      <c r="V242" s="19">
        <v>0</v>
      </c>
      <c r="W242" s="19"/>
    </row>
    <row r="243" spans="1:23" x14ac:dyDescent="0.3">
      <c r="A243" s="19">
        <v>79001</v>
      </c>
      <c r="B243" s="59" t="s">
        <v>374</v>
      </c>
      <c r="C243" s="19">
        <v>1</v>
      </c>
      <c r="D243" s="19">
        <v>0</v>
      </c>
      <c r="E243" s="19">
        <v>19</v>
      </c>
      <c r="F243" s="19">
        <v>0</v>
      </c>
      <c r="G243" s="19">
        <v>0</v>
      </c>
      <c r="H243" s="19">
        <v>0</v>
      </c>
      <c r="I243" s="19">
        <v>183</v>
      </c>
      <c r="J243" s="19">
        <v>0</v>
      </c>
      <c r="K243" s="19">
        <v>0</v>
      </c>
      <c r="L243" s="19" t="s">
        <v>45</v>
      </c>
      <c r="M243" s="19" t="s">
        <v>45</v>
      </c>
      <c r="N243" s="19" t="s">
        <v>45</v>
      </c>
      <c r="O243" s="19" t="s">
        <v>45</v>
      </c>
      <c r="P243" s="19" t="s">
        <v>35</v>
      </c>
      <c r="Q243" s="19">
        <v>26</v>
      </c>
      <c r="R243" s="19">
        <v>7</v>
      </c>
      <c r="S243" s="19">
        <v>3</v>
      </c>
      <c r="T243" s="19"/>
      <c r="U243" s="19"/>
      <c r="V243" s="19">
        <v>0</v>
      </c>
      <c r="W243" s="19"/>
    </row>
    <row r="244" spans="1:23" x14ac:dyDescent="0.3">
      <c r="A244" s="19">
        <v>79000</v>
      </c>
      <c r="B244" s="59" t="s">
        <v>375</v>
      </c>
      <c r="C244" s="19">
        <v>3</v>
      </c>
      <c r="D244" s="19">
        <v>0</v>
      </c>
      <c r="E244" s="19">
        <v>19</v>
      </c>
      <c r="F244" s="19">
        <v>0</v>
      </c>
      <c r="G244" s="19">
        <v>0</v>
      </c>
      <c r="H244" s="19">
        <v>0</v>
      </c>
      <c r="I244" s="19">
        <v>45</v>
      </c>
      <c r="J244" s="19">
        <v>0</v>
      </c>
      <c r="K244" s="19">
        <v>0</v>
      </c>
      <c r="L244" s="19" t="s">
        <v>45</v>
      </c>
      <c r="M244" s="19" t="s">
        <v>45</v>
      </c>
      <c r="N244" s="19" t="s">
        <v>45</v>
      </c>
      <c r="O244" s="19" t="s">
        <v>45</v>
      </c>
      <c r="P244" s="19" t="s">
        <v>35</v>
      </c>
      <c r="Q244" s="19">
        <v>26</v>
      </c>
      <c r="R244" s="19">
        <v>0</v>
      </c>
      <c r="S244" s="19">
        <v>0</v>
      </c>
      <c r="T244" s="19"/>
      <c r="U244" s="19"/>
      <c r="V244" s="19">
        <v>0</v>
      </c>
      <c r="W244" s="19"/>
    </row>
    <row r="245" spans="1:23" x14ac:dyDescent="0.3">
      <c r="A245" s="19">
        <v>79006</v>
      </c>
      <c r="B245" s="59" t="s">
        <v>376</v>
      </c>
      <c r="C245" s="19">
        <v>1</v>
      </c>
      <c r="D245" s="19">
        <v>0</v>
      </c>
      <c r="E245" s="19">
        <v>19</v>
      </c>
      <c r="F245" s="19">
        <v>0</v>
      </c>
      <c r="G245" s="19">
        <v>0</v>
      </c>
      <c r="H245" s="19">
        <v>0</v>
      </c>
      <c r="I245" s="19">
        <v>212</v>
      </c>
      <c r="J245" s="19">
        <v>0</v>
      </c>
      <c r="K245" s="19">
        <v>0</v>
      </c>
      <c r="L245" s="19" t="s">
        <v>45</v>
      </c>
      <c r="M245" s="19" t="s">
        <v>45</v>
      </c>
      <c r="N245" s="19" t="s">
        <v>45</v>
      </c>
      <c r="O245" s="19" t="s">
        <v>45</v>
      </c>
      <c r="P245" s="19" t="s">
        <v>35</v>
      </c>
      <c r="Q245" s="19">
        <v>26</v>
      </c>
      <c r="R245" s="19">
        <v>10</v>
      </c>
      <c r="S245" s="19">
        <v>3</v>
      </c>
      <c r="T245" s="19"/>
      <c r="U245" s="19"/>
      <c r="V245" s="19">
        <v>0</v>
      </c>
      <c r="W245" s="19"/>
    </row>
    <row r="246" spans="1:23" x14ac:dyDescent="0.3">
      <c r="A246" s="19">
        <v>79005</v>
      </c>
      <c r="B246" s="59" t="s">
        <v>377</v>
      </c>
      <c r="C246" s="19">
        <v>3</v>
      </c>
      <c r="D246" s="19">
        <v>0</v>
      </c>
      <c r="E246" s="19">
        <v>19</v>
      </c>
      <c r="F246" s="19">
        <v>0</v>
      </c>
      <c r="G246" s="19">
        <v>0</v>
      </c>
      <c r="H246" s="19">
        <v>0</v>
      </c>
      <c r="I246" s="19">
        <v>59</v>
      </c>
      <c r="J246" s="19">
        <v>0</v>
      </c>
      <c r="K246" s="19">
        <v>0</v>
      </c>
      <c r="L246" s="19" t="s">
        <v>45</v>
      </c>
      <c r="M246" s="19" t="s">
        <v>45</v>
      </c>
      <c r="N246" s="19" t="s">
        <v>45</v>
      </c>
      <c r="O246" s="19" t="s">
        <v>45</v>
      </c>
      <c r="P246" s="19" t="s">
        <v>35</v>
      </c>
      <c r="Q246" s="19">
        <v>26</v>
      </c>
      <c r="R246" s="19">
        <v>0</v>
      </c>
      <c r="S246" s="19">
        <v>0</v>
      </c>
      <c r="T246" s="19"/>
      <c r="U246" s="19"/>
      <c r="V246" s="19">
        <v>0</v>
      </c>
      <c r="W246" s="19"/>
    </row>
    <row r="247" spans="1:23" x14ac:dyDescent="0.3">
      <c r="A247" s="19">
        <v>210780000</v>
      </c>
      <c r="B247" s="59" t="s">
        <v>378</v>
      </c>
      <c r="C247" s="19">
        <v>1</v>
      </c>
      <c r="D247" s="19">
        <v>0</v>
      </c>
      <c r="E247" s="19">
        <v>16</v>
      </c>
      <c r="F247" s="19">
        <v>0</v>
      </c>
      <c r="G247" s="19">
        <v>0</v>
      </c>
      <c r="H247" s="19">
        <v>0</v>
      </c>
      <c r="I247" s="19">
        <v>168</v>
      </c>
      <c r="J247" s="19">
        <v>0</v>
      </c>
      <c r="K247" s="19">
        <v>0</v>
      </c>
      <c r="L247" s="19" t="s">
        <v>45</v>
      </c>
      <c r="M247" s="19" t="s">
        <v>384</v>
      </c>
      <c r="N247" s="19" t="s">
        <v>45</v>
      </c>
      <c r="O247" s="19" t="s">
        <v>45</v>
      </c>
      <c r="P247" s="19" t="s">
        <v>35</v>
      </c>
      <c r="Q247" s="19">
        <v>11</v>
      </c>
      <c r="R247" s="19">
        <v>6</v>
      </c>
      <c r="S247" s="19">
        <v>1</v>
      </c>
      <c r="T247" s="19"/>
      <c r="U247" s="19"/>
      <c r="V247" s="19">
        <v>0</v>
      </c>
      <c r="W247" s="19"/>
    </row>
    <row r="248" spans="1:23" x14ac:dyDescent="0.3">
      <c r="A248" s="19">
        <v>210780050</v>
      </c>
      <c r="B248" s="59" t="s">
        <v>379</v>
      </c>
      <c r="C248" s="19">
        <v>1</v>
      </c>
      <c r="D248" s="19">
        <v>0</v>
      </c>
      <c r="E248" s="19">
        <v>16</v>
      </c>
      <c r="F248" s="19">
        <v>0</v>
      </c>
      <c r="G248" s="19">
        <v>0</v>
      </c>
      <c r="H248" s="19">
        <v>0</v>
      </c>
      <c r="I248" s="19">
        <v>210</v>
      </c>
      <c r="J248" s="19">
        <v>0</v>
      </c>
      <c r="K248" s="19">
        <v>0</v>
      </c>
      <c r="L248" s="19" t="s">
        <v>45</v>
      </c>
      <c r="M248" s="19" t="s">
        <v>384</v>
      </c>
      <c r="N248" s="19" t="s">
        <v>47</v>
      </c>
      <c r="O248" s="19" t="s">
        <v>45</v>
      </c>
      <c r="P248" s="19" t="s">
        <v>35</v>
      </c>
      <c r="Q248" s="19">
        <v>11</v>
      </c>
      <c r="R248" s="19">
        <v>8</v>
      </c>
      <c r="S248" s="19">
        <v>1</v>
      </c>
      <c r="T248" s="19"/>
      <c r="U248" s="19"/>
      <c r="V248" s="19">
        <v>0</v>
      </c>
      <c r="W248" s="19"/>
    </row>
    <row r="249" spans="1:23" x14ac:dyDescent="0.3">
      <c r="A249" s="19">
        <v>210781000</v>
      </c>
      <c r="B249" s="59" t="s">
        <v>504</v>
      </c>
      <c r="C249" s="19">
        <v>5</v>
      </c>
      <c r="D249" s="19">
        <v>0</v>
      </c>
      <c r="E249" s="19">
        <v>52</v>
      </c>
      <c r="F249" s="19">
        <v>0</v>
      </c>
      <c r="G249" s="19">
        <v>0</v>
      </c>
      <c r="H249" s="19">
        <v>0</v>
      </c>
      <c r="I249" s="19">
        <v>52</v>
      </c>
      <c r="J249" s="19">
        <v>0</v>
      </c>
      <c r="K249" s="19">
        <v>0</v>
      </c>
      <c r="L249" s="19" t="s">
        <v>45</v>
      </c>
      <c r="M249" s="19" t="s">
        <v>384</v>
      </c>
      <c r="N249" s="19" t="s">
        <v>45</v>
      </c>
      <c r="O249" s="19" t="s">
        <v>45</v>
      </c>
      <c r="P249" s="19" t="s">
        <v>35</v>
      </c>
      <c r="Q249" s="19">
        <v>27</v>
      </c>
      <c r="R249" s="19">
        <v>1.5</v>
      </c>
      <c r="S249" s="19">
        <v>0</v>
      </c>
      <c r="T249" s="19"/>
      <c r="U249" s="19"/>
      <c r="V249" s="19">
        <v>0</v>
      </c>
      <c r="W249" s="19"/>
    </row>
    <row r="250" spans="1:23" x14ac:dyDescent="0.3">
      <c r="A250" s="19">
        <v>210781050</v>
      </c>
      <c r="B250" s="59" t="s">
        <v>505</v>
      </c>
      <c r="C250" s="19">
        <v>5</v>
      </c>
      <c r="D250" s="19">
        <v>0</v>
      </c>
      <c r="E250" s="19">
        <v>52</v>
      </c>
      <c r="F250" s="19">
        <v>0</v>
      </c>
      <c r="G250" s="19">
        <v>0</v>
      </c>
      <c r="H250" s="19">
        <v>0</v>
      </c>
      <c r="I250" s="19">
        <v>63</v>
      </c>
      <c r="J250" s="19">
        <v>0</v>
      </c>
      <c r="K250" s="19">
        <v>0</v>
      </c>
      <c r="L250" s="19" t="s">
        <v>45</v>
      </c>
      <c r="M250" s="19" t="s">
        <v>384</v>
      </c>
      <c r="N250" s="19" t="s">
        <v>47</v>
      </c>
      <c r="O250" s="19" t="s">
        <v>45</v>
      </c>
      <c r="P250" s="19" t="s">
        <v>35</v>
      </c>
      <c r="Q250" s="19">
        <v>27</v>
      </c>
      <c r="R250" s="19">
        <v>1.5</v>
      </c>
      <c r="S250" s="19">
        <v>0</v>
      </c>
      <c r="T250" s="19"/>
      <c r="U250" s="19"/>
      <c r="V250" s="19">
        <v>0</v>
      </c>
      <c r="W250" s="19"/>
    </row>
    <row r="251" spans="1:23" x14ac:dyDescent="0.3">
      <c r="A251" s="19">
        <v>210782000</v>
      </c>
      <c r="B251" s="59" t="s">
        <v>380</v>
      </c>
      <c r="C251" s="19">
        <v>2</v>
      </c>
      <c r="D251" s="19">
        <v>0</v>
      </c>
      <c r="E251" s="19">
        <v>60</v>
      </c>
      <c r="F251" s="19">
        <v>0</v>
      </c>
      <c r="G251" s="19">
        <v>0</v>
      </c>
      <c r="H251" s="19">
        <v>0</v>
      </c>
      <c r="I251" s="19">
        <v>50</v>
      </c>
      <c r="J251" s="19">
        <v>0</v>
      </c>
      <c r="K251" s="19">
        <v>0</v>
      </c>
      <c r="L251" s="19" t="s">
        <v>45</v>
      </c>
      <c r="M251" s="19" t="s">
        <v>384</v>
      </c>
      <c r="N251" s="19" t="s">
        <v>45</v>
      </c>
      <c r="O251" s="19" t="s">
        <v>45</v>
      </c>
      <c r="P251" s="19" t="s">
        <v>35</v>
      </c>
      <c r="Q251" s="19">
        <v>31</v>
      </c>
      <c r="R251" s="19">
        <v>4</v>
      </c>
      <c r="S251" s="19">
        <v>2</v>
      </c>
      <c r="T251" s="19"/>
      <c r="U251" s="19"/>
      <c r="V251" s="19">
        <v>0</v>
      </c>
      <c r="W251" s="19"/>
    </row>
    <row r="252" spans="1:23" x14ac:dyDescent="0.3">
      <c r="A252" s="19">
        <v>210782003</v>
      </c>
      <c r="B252" s="59" t="s">
        <v>381</v>
      </c>
      <c r="C252" s="19">
        <v>1</v>
      </c>
      <c r="D252" s="19">
        <v>0</v>
      </c>
      <c r="E252" s="19">
        <v>60</v>
      </c>
      <c r="F252" s="19">
        <v>0</v>
      </c>
      <c r="G252" s="19">
        <v>0</v>
      </c>
      <c r="H252" s="19">
        <v>0</v>
      </c>
      <c r="I252" s="19">
        <v>308</v>
      </c>
      <c r="J252" s="19">
        <v>0</v>
      </c>
      <c r="K252" s="19">
        <v>0</v>
      </c>
      <c r="L252" s="19" t="s">
        <v>45</v>
      </c>
      <c r="M252" s="19" t="s">
        <v>384</v>
      </c>
      <c r="N252" s="19" t="s">
        <v>45</v>
      </c>
      <c r="O252" s="19" t="s">
        <v>45</v>
      </c>
      <c r="P252" s="19" t="s">
        <v>35</v>
      </c>
      <c r="Q252" s="19">
        <v>31</v>
      </c>
      <c r="R252" s="19">
        <v>25</v>
      </c>
      <c r="S252" s="19">
        <v>10</v>
      </c>
      <c r="T252" s="19"/>
      <c r="U252" s="19"/>
      <c r="V252" s="19">
        <v>0</v>
      </c>
      <c r="W252" s="19"/>
    </row>
    <row r="253" spans="1:23" x14ac:dyDescent="0.3">
      <c r="A253" s="19">
        <v>210782050</v>
      </c>
      <c r="B253" s="59" t="s">
        <v>382</v>
      </c>
      <c r="C253" s="19">
        <v>2</v>
      </c>
      <c r="D253" s="19">
        <v>0</v>
      </c>
      <c r="E253" s="19">
        <v>60</v>
      </c>
      <c r="F253" s="19">
        <v>0</v>
      </c>
      <c r="G253" s="19">
        <v>0</v>
      </c>
      <c r="H253" s="19">
        <v>0</v>
      </c>
      <c r="I253" s="19">
        <v>70</v>
      </c>
      <c r="J253" s="19">
        <v>0</v>
      </c>
      <c r="K253" s="19">
        <v>0</v>
      </c>
      <c r="L253" s="19" t="s">
        <v>45</v>
      </c>
      <c r="M253" s="19" t="s">
        <v>384</v>
      </c>
      <c r="N253" s="19" t="s">
        <v>47</v>
      </c>
      <c r="O253" s="19" t="s">
        <v>45</v>
      </c>
      <c r="P253" s="19" t="s">
        <v>35</v>
      </c>
      <c r="Q253" s="19">
        <v>31</v>
      </c>
      <c r="R253" s="19">
        <v>4</v>
      </c>
      <c r="S253" s="19">
        <v>2</v>
      </c>
      <c r="T253" s="19"/>
      <c r="U253" s="19"/>
      <c r="V253" s="19">
        <v>0</v>
      </c>
      <c r="W253" s="19"/>
    </row>
    <row r="254" spans="1:23" x14ac:dyDescent="0.3">
      <c r="A254" s="19">
        <v>210782053</v>
      </c>
      <c r="B254" s="59" t="s">
        <v>383</v>
      </c>
      <c r="C254" s="19">
        <v>1</v>
      </c>
      <c r="D254" s="19">
        <v>0</v>
      </c>
      <c r="E254" s="19">
        <v>60</v>
      </c>
      <c r="F254" s="19">
        <v>0</v>
      </c>
      <c r="G254" s="19">
        <v>0</v>
      </c>
      <c r="H254" s="19">
        <v>0</v>
      </c>
      <c r="I254" s="19">
        <v>411</v>
      </c>
      <c r="J254" s="19">
        <v>0</v>
      </c>
      <c r="K254" s="19">
        <v>0</v>
      </c>
      <c r="L254" s="19" t="s">
        <v>45</v>
      </c>
      <c r="M254" s="19" t="s">
        <v>384</v>
      </c>
      <c r="N254" s="19" t="s">
        <v>47</v>
      </c>
      <c r="O254" s="19" t="s">
        <v>45</v>
      </c>
      <c r="P254" s="19" t="s">
        <v>35</v>
      </c>
      <c r="Q254" s="19">
        <v>31</v>
      </c>
      <c r="R254" s="19">
        <v>35</v>
      </c>
      <c r="S254" s="19">
        <v>10</v>
      </c>
      <c r="T254" s="19"/>
      <c r="U254" s="19"/>
      <c r="V254" s="19">
        <v>0</v>
      </c>
      <c r="W254" s="19"/>
    </row>
    <row r="255" spans="1:23" x14ac:dyDescent="0.3">
      <c r="A255" s="19">
        <v>62100</v>
      </c>
      <c r="B255" s="59" t="s">
        <v>158</v>
      </c>
      <c r="C255" s="19">
        <v>1</v>
      </c>
      <c r="D255" s="19">
        <v>0</v>
      </c>
      <c r="E255" s="19">
        <v>20</v>
      </c>
      <c r="F255" s="19">
        <v>0</v>
      </c>
      <c r="G255" s="19">
        <v>0</v>
      </c>
      <c r="H255" s="19">
        <v>0</v>
      </c>
      <c r="I255" s="19">
        <v>244</v>
      </c>
      <c r="J255" s="19">
        <v>0</v>
      </c>
      <c r="K255" s="19">
        <v>0</v>
      </c>
      <c r="L255" s="19" t="s">
        <v>45</v>
      </c>
      <c r="M255" s="19" t="s">
        <v>159</v>
      </c>
      <c r="N255" s="19" t="s">
        <v>45</v>
      </c>
      <c r="O255" s="19" t="s">
        <v>45</v>
      </c>
      <c r="P255" s="19" t="s">
        <v>35</v>
      </c>
      <c r="Q255" s="19">
        <v>18</v>
      </c>
      <c r="R255" s="19">
        <v>9.1</v>
      </c>
      <c r="S255" s="19">
        <v>2</v>
      </c>
      <c r="T255" s="19"/>
      <c r="U255" s="19"/>
      <c r="V255" s="19">
        <v>0</v>
      </c>
      <c r="W255" s="19"/>
    </row>
    <row r="256" spans="1:23" x14ac:dyDescent="0.3">
      <c r="A256" s="19">
        <v>62105</v>
      </c>
      <c r="B256" s="59" t="s">
        <v>160</v>
      </c>
      <c r="C256" s="19">
        <v>1</v>
      </c>
      <c r="D256" s="19">
        <v>0</v>
      </c>
      <c r="E256" s="19">
        <v>20</v>
      </c>
      <c r="F256" s="19">
        <v>0</v>
      </c>
      <c r="G256" s="19">
        <v>0</v>
      </c>
      <c r="H256" s="19">
        <v>0</v>
      </c>
      <c r="I256" s="19">
        <v>300</v>
      </c>
      <c r="J256" s="19">
        <v>0</v>
      </c>
      <c r="K256" s="19">
        <v>0</v>
      </c>
      <c r="L256" s="19" t="s">
        <v>45</v>
      </c>
      <c r="M256" s="19" t="s">
        <v>159</v>
      </c>
      <c r="N256" s="19" t="s">
        <v>47</v>
      </c>
      <c r="O256" s="19" t="s">
        <v>45</v>
      </c>
      <c r="P256" s="19" t="s">
        <v>35</v>
      </c>
      <c r="Q256" s="19">
        <v>18</v>
      </c>
      <c r="R256" s="19">
        <v>11.83</v>
      </c>
      <c r="S256" s="19">
        <v>2</v>
      </c>
      <c r="T256" s="19"/>
      <c r="U256" s="19"/>
      <c r="V256" s="19">
        <v>0</v>
      </c>
      <c r="W256" s="19"/>
    </row>
    <row r="257" spans="1:23" x14ac:dyDescent="0.3">
      <c r="A257" s="19">
        <v>62300</v>
      </c>
      <c r="B257" s="59" t="s">
        <v>162</v>
      </c>
      <c r="C257" s="19">
        <v>1</v>
      </c>
      <c r="D257" s="19">
        <v>0</v>
      </c>
      <c r="E257" s="19">
        <v>28</v>
      </c>
      <c r="F257" s="19">
        <v>0</v>
      </c>
      <c r="G257" s="19">
        <v>0</v>
      </c>
      <c r="H257" s="19">
        <v>0</v>
      </c>
      <c r="I257" s="19">
        <v>255</v>
      </c>
      <c r="J257" s="19">
        <v>0</v>
      </c>
      <c r="K257" s="19">
        <v>0</v>
      </c>
      <c r="L257" s="19" t="s">
        <v>45</v>
      </c>
      <c r="M257" s="19" t="s">
        <v>159</v>
      </c>
      <c r="N257" s="19" t="s">
        <v>45</v>
      </c>
      <c r="O257" s="19" t="s">
        <v>45</v>
      </c>
      <c r="P257" s="19" t="s">
        <v>35</v>
      </c>
      <c r="Q257" s="19">
        <v>21</v>
      </c>
      <c r="R257" s="19">
        <v>9.25</v>
      </c>
      <c r="S257" s="19">
        <v>8</v>
      </c>
      <c r="T257" s="19"/>
      <c r="U257" s="19"/>
      <c r="V257" s="19">
        <v>0</v>
      </c>
      <c r="W257" s="19"/>
    </row>
    <row r="258" spans="1:23" x14ac:dyDescent="0.3">
      <c r="A258" s="19">
        <v>62305</v>
      </c>
      <c r="B258" s="59" t="s">
        <v>163</v>
      </c>
      <c r="C258" s="19">
        <v>1</v>
      </c>
      <c r="D258" s="19">
        <v>0</v>
      </c>
      <c r="E258" s="19">
        <v>28</v>
      </c>
      <c r="F258" s="19">
        <v>0</v>
      </c>
      <c r="G258" s="19">
        <v>0</v>
      </c>
      <c r="H258" s="19">
        <v>0</v>
      </c>
      <c r="I258" s="19">
        <v>299</v>
      </c>
      <c r="J258" s="19">
        <v>0</v>
      </c>
      <c r="K258" s="19">
        <v>0</v>
      </c>
      <c r="L258" s="19" t="s">
        <v>45</v>
      </c>
      <c r="M258" s="19" t="s">
        <v>159</v>
      </c>
      <c r="N258" s="19" t="s">
        <v>47</v>
      </c>
      <c r="O258" s="19" t="s">
        <v>45</v>
      </c>
      <c r="P258" s="19" t="s">
        <v>35</v>
      </c>
      <c r="Q258" s="19">
        <v>21</v>
      </c>
      <c r="R258" s="19">
        <v>13.634499999999999</v>
      </c>
      <c r="S258" s="19">
        <v>8</v>
      </c>
      <c r="T258" s="19"/>
      <c r="U258" s="19"/>
      <c r="V258" s="19">
        <v>0</v>
      </c>
      <c r="W258" s="19"/>
    </row>
    <row r="259" spans="1:23" x14ac:dyDescent="0.3">
      <c r="A259" s="19">
        <v>62500</v>
      </c>
      <c r="B259" s="59" t="s">
        <v>164</v>
      </c>
      <c r="C259" s="19">
        <v>3</v>
      </c>
      <c r="D259" s="19">
        <v>0</v>
      </c>
      <c r="E259" s="19">
        <v>42</v>
      </c>
      <c r="F259" s="19">
        <v>0</v>
      </c>
      <c r="G259" s="19">
        <v>0</v>
      </c>
      <c r="H259" s="19">
        <v>0</v>
      </c>
      <c r="I259" s="19">
        <v>106</v>
      </c>
      <c r="J259" s="19">
        <v>0</v>
      </c>
      <c r="K259" s="19">
        <v>0</v>
      </c>
      <c r="L259" s="19" t="s">
        <v>45</v>
      </c>
      <c r="M259" s="19" t="s">
        <v>159</v>
      </c>
      <c r="N259" s="19" t="s">
        <v>45</v>
      </c>
      <c r="O259" s="19" t="s">
        <v>45</v>
      </c>
      <c r="P259" s="19" t="s">
        <v>35</v>
      </c>
      <c r="Q259" s="19">
        <v>15</v>
      </c>
      <c r="R259" s="19">
        <v>5</v>
      </c>
      <c r="S259" s="19">
        <v>2</v>
      </c>
      <c r="T259" s="19"/>
      <c r="U259" s="19"/>
      <c r="V259" s="19">
        <v>0</v>
      </c>
      <c r="W259" s="19"/>
    </row>
    <row r="260" spans="1:23" x14ac:dyDescent="0.3">
      <c r="A260" s="19">
        <v>62505</v>
      </c>
      <c r="B260" s="59" t="s">
        <v>165</v>
      </c>
      <c r="C260" s="19">
        <v>3</v>
      </c>
      <c r="D260" s="19">
        <v>0</v>
      </c>
      <c r="E260" s="19">
        <v>42</v>
      </c>
      <c r="F260" s="19">
        <v>0</v>
      </c>
      <c r="G260" s="19">
        <v>0</v>
      </c>
      <c r="H260" s="19">
        <v>0</v>
      </c>
      <c r="I260" s="19">
        <v>109</v>
      </c>
      <c r="J260" s="19">
        <v>0</v>
      </c>
      <c r="K260" s="19">
        <v>0</v>
      </c>
      <c r="L260" s="19" t="s">
        <v>45</v>
      </c>
      <c r="M260" s="19" t="s">
        <v>159</v>
      </c>
      <c r="N260" s="19" t="s">
        <v>47</v>
      </c>
      <c r="O260" s="19" t="s">
        <v>45</v>
      </c>
      <c r="P260" s="19" t="s">
        <v>35</v>
      </c>
      <c r="Q260" s="19">
        <v>15</v>
      </c>
      <c r="R260" s="19">
        <v>6.5</v>
      </c>
      <c r="S260" s="19">
        <v>2</v>
      </c>
      <c r="T260" s="19"/>
      <c r="U260" s="19"/>
      <c r="V260" s="19">
        <v>0</v>
      </c>
      <c r="W260" s="19"/>
    </row>
    <row r="261" spans="1:23" x14ac:dyDescent="0.3">
      <c r="A261" s="19">
        <v>62400</v>
      </c>
      <c r="B261" s="59" t="s">
        <v>166</v>
      </c>
      <c r="C261" s="19">
        <v>1</v>
      </c>
      <c r="D261" s="19">
        <v>0</v>
      </c>
      <c r="E261" s="19">
        <v>26</v>
      </c>
      <c r="F261" s="19">
        <v>0</v>
      </c>
      <c r="G261" s="19">
        <v>0</v>
      </c>
      <c r="H261" s="19">
        <v>0</v>
      </c>
      <c r="I261" s="19">
        <v>239</v>
      </c>
      <c r="J261" s="19">
        <v>0</v>
      </c>
      <c r="K261" s="19">
        <v>0</v>
      </c>
      <c r="L261" s="19" t="s">
        <v>45</v>
      </c>
      <c r="M261" s="19" t="s">
        <v>167</v>
      </c>
      <c r="N261" s="19" t="s">
        <v>45</v>
      </c>
      <c r="O261" s="19" t="s">
        <v>45</v>
      </c>
      <c r="P261" s="19" t="s">
        <v>35</v>
      </c>
      <c r="Q261" s="19">
        <v>30</v>
      </c>
      <c r="R261" s="19">
        <v>16.8</v>
      </c>
      <c r="S261" s="19">
        <v>3</v>
      </c>
      <c r="T261" s="19"/>
      <c r="U261" s="19"/>
      <c r="V261" s="19">
        <v>0</v>
      </c>
      <c r="W261" s="19"/>
    </row>
    <row r="262" spans="1:23" x14ac:dyDescent="0.3">
      <c r="A262" s="19">
        <v>62405</v>
      </c>
      <c r="B262" s="59" t="s">
        <v>168</v>
      </c>
      <c r="C262" s="19">
        <v>1</v>
      </c>
      <c r="D262" s="19">
        <v>0</v>
      </c>
      <c r="E262" s="19">
        <v>26</v>
      </c>
      <c r="F262" s="19">
        <v>0</v>
      </c>
      <c r="G262" s="19">
        <v>0</v>
      </c>
      <c r="H262" s="19">
        <v>0</v>
      </c>
      <c r="I262" s="19">
        <v>279</v>
      </c>
      <c r="J262" s="19">
        <v>0</v>
      </c>
      <c r="K262" s="19">
        <v>0</v>
      </c>
      <c r="L262" s="19" t="s">
        <v>45</v>
      </c>
      <c r="M262" s="19" t="s">
        <v>167</v>
      </c>
      <c r="N262" s="19" t="s">
        <v>47</v>
      </c>
      <c r="O262" s="19" t="s">
        <v>45</v>
      </c>
      <c r="P262" s="19" t="s">
        <v>35</v>
      </c>
      <c r="Q262" s="19">
        <v>30</v>
      </c>
      <c r="R262" s="19">
        <v>21.84</v>
      </c>
      <c r="S262" s="19">
        <v>9</v>
      </c>
      <c r="T262" s="19"/>
      <c r="U262" s="19"/>
      <c r="V262" s="19">
        <v>0</v>
      </c>
      <c r="W262" s="19"/>
    </row>
    <row r="263" spans="1:23" x14ac:dyDescent="0.3">
      <c r="A263" s="19">
        <v>68200</v>
      </c>
      <c r="B263" s="59" t="s">
        <v>186</v>
      </c>
      <c r="C263" s="19">
        <v>1</v>
      </c>
      <c r="D263" s="19">
        <v>0</v>
      </c>
      <c r="E263" s="19">
        <v>8</v>
      </c>
      <c r="F263" s="19">
        <v>0</v>
      </c>
      <c r="G263" s="19">
        <v>193</v>
      </c>
      <c r="H263" s="19">
        <v>0</v>
      </c>
      <c r="I263" s="19">
        <v>0</v>
      </c>
      <c r="J263" s="19">
        <v>0</v>
      </c>
      <c r="K263" s="19">
        <v>0</v>
      </c>
      <c r="L263" s="19" t="s">
        <v>434</v>
      </c>
      <c r="M263" s="19" t="s">
        <v>184</v>
      </c>
      <c r="N263" s="19" t="s">
        <v>45</v>
      </c>
      <c r="O263" s="19" t="s">
        <v>45</v>
      </c>
      <c r="P263" s="19" t="s">
        <v>35</v>
      </c>
      <c r="Q263" s="19">
        <v>10</v>
      </c>
      <c r="R263" s="19">
        <v>7</v>
      </c>
      <c r="S263" s="19">
        <v>2</v>
      </c>
      <c r="T263" s="19"/>
      <c r="U263" s="19"/>
      <c r="V263" s="19">
        <v>0</v>
      </c>
      <c r="W263" s="19"/>
    </row>
    <row r="264" spans="1:23" x14ac:dyDescent="0.3">
      <c r="A264" s="19">
        <v>68205</v>
      </c>
      <c r="B264" s="59" t="s">
        <v>187</v>
      </c>
      <c r="C264" s="19">
        <v>1</v>
      </c>
      <c r="D264" s="19">
        <v>0</v>
      </c>
      <c r="E264" s="19">
        <v>8</v>
      </c>
      <c r="F264" s="19">
        <v>0</v>
      </c>
      <c r="G264" s="19">
        <v>222</v>
      </c>
      <c r="H264" s="19">
        <v>0</v>
      </c>
      <c r="I264" s="19">
        <v>0</v>
      </c>
      <c r="J264" s="19">
        <v>0</v>
      </c>
      <c r="K264" s="19">
        <v>0</v>
      </c>
      <c r="L264" s="19" t="s">
        <v>434</v>
      </c>
      <c r="M264" s="19" t="s">
        <v>184</v>
      </c>
      <c r="N264" s="19" t="s">
        <v>47</v>
      </c>
      <c r="O264" s="19" t="s">
        <v>45</v>
      </c>
      <c r="P264" s="19" t="s">
        <v>35</v>
      </c>
      <c r="Q264" s="19">
        <v>10</v>
      </c>
      <c r="R264" s="19">
        <v>12.95</v>
      </c>
      <c r="S264" s="19">
        <v>2</v>
      </c>
      <c r="T264" s="19"/>
      <c r="U264" s="19"/>
      <c r="V264" s="19">
        <v>0</v>
      </c>
      <c r="W264" s="19"/>
    </row>
    <row r="265" spans="1:23" x14ac:dyDescent="0.3">
      <c r="A265" s="19">
        <v>68301</v>
      </c>
      <c r="B265" s="59" t="s">
        <v>188</v>
      </c>
      <c r="C265" s="19">
        <v>1</v>
      </c>
      <c r="D265" s="19">
        <v>0</v>
      </c>
      <c r="E265" s="19">
        <v>15</v>
      </c>
      <c r="F265" s="19">
        <v>0</v>
      </c>
      <c r="G265" s="19">
        <v>85</v>
      </c>
      <c r="H265" s="19">
        <v>0</v>
      </c>
      <c r="I265" s="19">
        <v>0</v>
      </c>
      <c r="J265" s="19">
        <v>0</v>
      </c>
      <c r="K265" s="19">
        <v>0</v>
      </c>
      <c r="L265" s="19" t="s">
        <v>434</v>
      </c>
      <c r="M265" s="19" t="s">
        <v>184</v>
      </c>
      <c r="N265" s="19" t="s">
        <v>45</v>
      </c>
      <c r="O265" s="19" t="s">
        <v>45</v>
      </c>
      <c r="P265" s="19" t="s">
        <v>35</v>
      </c>
      <c r="Q265" s="19">
        <v>21</v>
      </c>
      <c r="R265" s="19">
        <v>8</v>
      </c>
      <c r="S265" s="19">
        <v>1</v>
      </c>
      <c r="T265" s="19"/>
      <c r="U265" s="19"/>
      <c r="V265" s="19">
        <v>0</v>
      </c>
      <c r="W265" s="19"/>
    </row>
    <row r="266" spans="1:23" x14ac:dyDescent="0.3">
      <c r="A266" s="19">
        <v>68300</v>
      </c>
      <c r="B266" s="59" t="s">
        <v>385</v>
      </c>
      <c r="C266" s="19">
        <v>1</v>
      </c>
      <c r="D266" s="19">
        <v>0</v>
      </c>
      <c r="E266" s="19">
        <v>15</v>
      </c>
      <c r="F266" s="19">
        <v>0</v>
      </c>
      <c r="G266" s="19">
        <v>225</v>
      </c>
      <c r="H266" s="19">
        <v>0</v>
      </c>
      <c r="I266" s="19">
        <v>0</v>
      </c>
      <c r="J266" s="19">
        <v>0</v>
      </c>
      <c r="K266" s="19">
        <v>0</v>
      </c>
      <c r="L266" s="19" t="s">
        <v>434</v>
      </c>
      <c r="M266" s="19" t="s">
        <v>184</v>
      </c>
      <c r="N266" s="19" t="s">
        <v>45</v>
      </c>
      <c r="O266" s="19" t="s">
        <v>45</v>
      </c>
      <c r="P266" s="19" t="s">
        <v>35</v>
      </c>
      <c r="Q266" s="19">
        <v>21</v>
      </c>
      <c r="R266" s="19">
        <v>12</v>
      </c>
      <c r="S266" s="19">
        <v>2</v>
      </c>
      <c r="T266" s="19"/>
      <c r="U266" s="19"/>
      <c r="V266" s="19">
        <v>0</v>
      </c>
      <c r="W266" s="19"/>
    </row>
    <row r="267" spans="1:23" x14ac:dyDescent="0.3">
      <c r="A267" s="19">
        <v>68000</v>
      </c>
      <c r="B267" s="59" t="s">
        <v>183</v>
      </c>
      <c r="C267" s="19">
        <v>2</v>
      </c>
      <c r="D267" s="19">
        <v>0</v>
      </c>
      <c r="E267" s="19">
        <v>10</v>
      </c>
      <c r="F267" s="19">
        <v>0</v>
      </c>
      <c r="G267" s="19">
        <v>87</v>
      </c>
      <c r="H267" s="19">
        <v>0</v>
      </c>
      <c r="I267" s="19">
        <v>0</v>
      </c>
      <c r="J267" s="19">
        <v>0</v>
      </c>
      <c r="K267" s="19">
        <v>0</v>
      </c>
      <c r="L267" s="19" t="s">
        <v>432</v>
      </c>
      <c r="M267" s="19" t="s">
        <v>184</v>
      </c>
      <c r="N267" s="19" t="s">
        <v>45</v>
      </c>
      <c r="O267" s="19" t="s">
        <v>45</v>
      </c>
      <c r="P267" s="19" t="s">
        <v>35</v>
      </c>
      <c r="Q267" s="19">
        <v>7</v>
      </c>
      <c r="R267" s="19">
        <v>4</v>
      </c>
      <c r="S267" s="19">
        <v>8</v>
      </c>
      <c r="T267" s="19"/>
      <c r="U267" s="19"/>
      <c r="V267" s="19">
        <v>0</v>
      </c>
      <c r="W267" s="19"/>
    </row>
    <row r="268" spans="1:23" x14ac:dyDescent="0.3">
      <c r="A268" s="19">
        <v>68100</v>
      </c>
      <c r="B268" s="59" t="s">
        <v>185</v>
      </c>
      <c r="C268" s="19">
        <v>1</v>
      </c>
      <c r="D268" s="19">
        <v>0</v>
      </c>
      <c r="E268" s="19">
        <v>13</v>
      </c>
      <c r="F268" s="19">
        <v>0</v>
      </c>
      <c r="G268" s="19">
        <v>245</v>
      </c>
      <c r="H268" s="19">
        <v>0</v>
      </c>
      <c r="I268" s="19">
        <v>0</v>
      </c>
      <c r="J268" s="19">
        <v>0</v>
      </c>
      <c r="K268" s="19">
        <v>0</v>
      </c>
      <c r="L268" s="19" t="s">
        <v>432</v>
      </c>
      <c r="M268" s="19" t="s">
        <v>184</v>
      </c>
      <c r="N268" s="19" t="s">
        <v>45</v>
      </c>
      <c r="O268" s="19" t="s">
        <v>45</v>
      </c>
      <c r="P268" s="19" t="s">
        <v>35</v>
      </c>
      <c r="Q268" s="19">
        <v>15</v>
      </c>
      <c r="R268" s="19">
        <v>14.4</v>
      </c>
      <c r="S268" s="19">
        <v>3</v>
      </c>
      <c r="T268" s="19"/>
      <c r="U268" s="19"/>
      <c r="V268" s="19">
        <v>0</v>
      </c>
      <c r="W268" s="19"/>
    </row>
    <row r="269" spans="1:23" x14ac:dyDescent="0.3">
      <c r="A269" s="19">
        <v>210680000</v>
      </c>
      <c r="B269" s="59" t="s">
        <v>506</v>
      </c>
      <c r="C269" s="19">
        <v>1</v>
      </c>
      <c r="D269" s="19">
        <v>0</v>
      </c>
      <c r="E269" s="19">
        <v>14</v>
      </c>
      <c r="F269" s="19">
        <v>0</v>
      </c>
      <c r="G269" s="19">
        <v>355</v>
      </c>
      <c r="H269" s="19">
        <v>0</v>
      </c>
      <c r="I269" s="19">
        <v>0</v>
      </c>
      <c r="J269" s="19">
        <v>0</v>
      </c>
      <c r="K269" s="19">
        <v>0</v>
      </c>
      <c r="L269" s="19" t="s">
        <v>432</v>
      </c>
      <c r="M269" s="19" t="s">
        <v>386</v>
      </c>
      <c r="N269" s="19" t="s">
        <v>45</v>
      </c>
      <c r="O269" s="19" t="s">
        <v>45</v>
      </c>
      <c r="P269" s="19" t="s">
        <v>35</v>
      </c>
      <c r="Q269" s="19">
        <v>17</v>
      </c>
      <c r="R269" s="19">
        <v>14</v>
      </c>
      <c r="S269" s="19">
        <v>7</v>
      </c>
      <c r="T269" s="19"/>
      <c r="U269" s="19"/>
      <c r="V269" s="19">
        <v>0</v>
      </c>
      <c r="W269" s="19"/>
    </row>
    <row r="270" spans="1:23" x14ac:dyDescent="0.3">
      <c r="A270" s="19">
        <v>210680050</v>
      </c>
      <c r="B270" s="59" t="s">
        <v>801</v>
      </c>
      <c r="C270" s="19">
        <v>1</v>
      </c>
      <c r="D270" s="19">
        <v>0</v>
      </c>
      <c r="E270" s="19">
        <v>14</v>
      </c>
      <c r="F270" s="19">
        <v>0</v>
      </c>
      <c r="G270" s="19">
        <v>250</v>
      </c>
      <c r="H270" s="19">
        <v>0</v>
      </c>
      <c r="I270" s="19">
        <v>0</v>
      </c>
      <c r="J270" s="19">
        <v>0</v>
      </c>
      <c r="K270" s="19">
        <v>0</v>
      </c>
      <c r="L270" s="19" t="s">
        <v>432</v>
      </c>
      <c r="M270" s="19" t="s">
        <v>386</v>
      </c>
      <c r="N270" s="19" t="s">
        <v>47</v>
      </c>
      <c r="O270" s="19" t="s">
        <v>45</v>
      </c>
      <c r="P270" s="19" t="s">
        <v>35</v>
      </c>
      <c r="Q270" s="19">
        <v>17</v>
      </c>
      <c r="R270" s="19">
        <v>14</v>
      </c>
      <c r="S270" s="19">
        <v>3</v>
      </c>
      <c r="T270" s="19"/>
      <c r="U270" s="19"/>
      <c r="V270" s="19">
        <v>0</v>
      </c>
      <c r="W270" s="19"/>
    </row>
    <row r="271" spans="1:23" x14ac:dyDescent="0.3">
      <c r="A271" s="19">
        <v>210680051</v>
      </c>
      <c r="B271" s="59" t="s">
        <v>507</v>
      </c>
      <c r="C271" s="19">
        <v>10</v>
      </c>
      <c r="D271" s="19">
        <v>0</v>
      </c>
      <c r="E271" s="19">
        <v>14</v>
      </c>
      <c r="F271" s="19">
        <v>0</v>
      </c>
      <c r="G271" s="19">
        <v>30</v>
      </c>
      <c r="H271" s="19">
        <v>0</v>
      </c>
      <c r="I271" s="19">
        <v>0</v>
      </c>
      <c r="J271" s="19">
        <v>0</v>
      </c>
      <c r="K271" s="19">
        <v>0</v>
      </c>
      <c r="L271" s="19" t="s">
        <v>432</v>
      </c>
      <c r="M271" s="19" t="s">
        <v>386</v>
      </c>
      <c r="N271" s="19" t="s">
        <v>47</v>
      </c>
      <c r="O271" s="19" t="s">
        <v>45</v>
      </c>
      <c r="P271" s="19" t="s">
        <v>35</v>
      </c>
      <c r="Q271" s="19">
        <v>17</v>
      </c>
      <c r="R271" s="19">
        <v>0</v>
      </c>
      <c r="S271" s="19">
        <v>0</v>
      </c>
      <c r="T271" s="19"/>
      <c r="U271" s="19"/>
      <c r="V271" s="19">
        <v>0</v>
      </c>
      <c r="W271" s="19"/>
    </row>
    <row r="272" spans="1:23" x14ac:dyDescent="0.3">
      <c r="A272" s="19">
        <v>210680052</v>
      </c>
      <c r="B272" s="59" t="s">
        <v>802</v>
      </c>
      <c r="C272" s="19">
        <v>1</v>
      </c>
      <c r="D272" s="19">
        <v>0</v>
      </c>
      <c r="E272" s="19">
        <v>14</v>
      </c>
      <c r="F272" s="19">
        <v>0</v>
      </c>
      <c r="G272" s="19">
        <v>200</v>
      </c>
      <c r="H272" s="19">
        <v>0</v>
      </c>
      <c r="I272" s="19">
        <v>0</v>
      </c>
      <c r="J272" s="19">
        <v>0</v>
      </c>
      <c r="K272" s="19">
        <v>0</v>
      </c>
      <c r="L272" s="19" t="s">
        <v>432</v>
      </c>
      <c r="M272" s="19" t="s">
        <v>386</v>
      </c>
      <c r="N272" s="19" t="s">
        <v>47</v>
      </c>
      <c r="O272" s="19" t="s">
        <v>45</v>
      </c>
      <c r="P272" s="19" t="s">
        <v>35</v>
      </c>
      <c r="Q272" s="19">
        <v>17</v>
      </c>
      <c r="R272" s="19">
        <v>14</v>
      </c>
      <c r="S272" s="19">
        <v>7</v>
      </c>
      <c r="T272" s="19"/>
      <c r="U272" s="19"/>
      <c r="V272" s="19">
        <v>0</v>
      </c>
      <c r="W272" s="19"/>
    </row>
    <row r="273" spans="1:23" x14ac:dyDescent="0.3">
      <c r="A273" s="19">
        <v>210680053</v>
      </c>
      <c r="B273" s="59" t="s">
        <v>803</v>
      </c>
      <c r="C273" s="19">
        <v>1</v>
      </c>
      <c r="D273" s="19">
        <v>0</v>
      </c>
      <c r="E273" s="19">
        <v>14</v>
      </c>
      <c r="F273" s="19">
        <v>0</v>
      </c>
      <c r="G273" s="19">
        <v>100</v>
      </c>
      <c r="H273" s="19">
        <v>0</v>
      </c>
      <c r="I273" s="19">
        <v>0</v>
      </c>
      <c r="J273" s="19">
        <v>0</v>
      </c>
      <c r="K273" s="19">
        <v>0</v>
      </c>
      <c r="L273" s="19" t="s">
        <v>432</v>
      </c>
      <c r="M273" s="19" t="s">
        <v>386</v>
      </c>
      <c r="N273" s="19" t="s">
        <v>47</v>
      </c>
      <c r="O273" s="19" t="s">
        <v>45</v>
      </c>
      <c r="P273" s="19" t="s">
        <v>35</v>
      </c>
      <c r="Q273" s="19">
        <v>17</v>
      </c>
      <c r="R273" s="19">
        <v>14</v>
      </c>
      <c r="S273" s="19">
        <v>2</v>
      </c>
      <c r="T273" s="19"/>
      <c r="U273" s="19"/>
      <c r="V273" s="19">
        <v>0</v>
      </c>
      <c r="W273" s="19"/>
    </row>
    <row r="274" spans="1:23" x14ac:dyDescent="0.3">
      <c r="A274" s="19">
        <v>72100</v>
      </c>
      <c r="B274" s="59" t="s">
        <v>222</v>
      </c>
      <c r="C274" s="19">
        <v>1</v>
      </c>
      <c r="D274" s="19">
        <v>0</v>
      </c>
      <c r="E274" s="19">
        <v>11</v>
      </c>
      <c r="F274" s="19">
        <v>16</v>
      </c>
      <c r="G274" s="19">
        <v>52</v>
      </c>
      <c r="H274" s="19">
        <v>0</v>
      </c>
      <c r="I274" s="19">
        <v>0</v>
      </c>
      <c r="J274" s="19">
        <v>0</v>
      </c>
      <c r="K274" s="19">
        <v>0</v>
      </c>
      <c r="L274" s="19" t="s">
        <v>432</v>
      </c>
      <c r="M274" s="19" t="s">
        <v>45</v>
      </c>
      <c r="N274" s="19" t="s">
        <v>45</v>
      </c>
      <c r="O274" s="19" t="s">
        <v>45</v>
      </c>
      <c r="P274" s="19" t="s">
        <v>35</v>
      </c>
      <c r="Q274" s="19">
        <v>14</v>
      </c>
      <c r="R274" s="19">
        <v>1</v>
      </c>
      <c r="S274" s="19">
        <v>2</v>
      </c>
      <c r="T274" s="19"/>
      <c r="U274" s="19"/>
      <c r="V274" s="19">
        <v>0</v>
      </c>
      <c r="W274" s="19"/>
    </row>
    <row r="275" spans="1:23" x14ac:dyDescent="0.3">
      <c r="A275" s="19">
        <v>72101</v>
      </c>
      <c r="B275" s="59" t="s">
        <v>223</v>
      </c>
      <c r="C275" s="19">
        <v>5</v>
      </c>
      <c r="D275" s="19">
        <v>0</v>
      </c>
      <c r="E275" s="19">
        <v>11</v>
      </c>
      <c r="F275" s="19">
        <v>16</v>
      </c>
      <c r="G275" s="19">
        <v>15</v>
      </c>
      <c r="H275" s="19">
        <v>0</v>
      </c>
      <c r="I275" s="19">
        <v>0</v>
      </c>
      <c r="J275" s="19">
        <v>0</v>
      </c>
      <c r="K275" s="19">
        <v>0</v>
      </c>
      <c r="L275" s="19" t="s">
        <v>432</v>
      </c>
      <c r="M275" s="19" t="s">
        <v>45</v>
      </c>
      <c r="N275" s="19" t="s">
        <v>45</v>
      </c>
      <c r="O275" s="19" t="s">
        <v>45</v>
      </c>
      <c r="P275" s="19" t="s">
        <v>35</v>
      </c>
      <c r="Q275" s="19">
        <v>14</v>
      </c>
      <c r="R275" s="19">
        <v>1</v>
      </c>
      <c r="S275" s="19">
        <v>0</v>
      </c>
      <c r="T275" s="19">
        <v>40</v>
      </c>
      <c r="U275" s="19" t="s">
        <v>616</v>
      </c>
      <c r="V275" s="19">
        <v>1</v>
      </c>
      <c r="W275" s="19"/>
    </row>
    <row r="276" spans="1:23" x14ac:dyDescent="0.3">
      <c r="A276" s="19">
        <v>210630000</v>
      </c>
      <c r="B276" s="59" t="s">
        <v>387</v>
      </c>
      <c r="C276" s="19">
        <v>2</v>
      </c>
      <c r="D276" s="19">
        <v>0</v>
      </c>
      <c r="E276" s="19">
        <v>19</v>
      </c>
      <c r="F276" s="19">
        <v>27</v>
      </c>
      <c r="G276" s="19">
        <v>0</v>
      </c>
      <c r="H276" s="19">
        <v>0</v>
      </c>
      <c r="I276" s="19">
        <v>97</v>
      </c>
      <c r="J276" s="19">
        <v>0</v>
      </c>
      <c r="K276" s="19">
        <v>0</v>
      </c>
      <c r="L276" s="19" t="s">
        <v>45</v>
      </c>
      <c r="M276" s="19" t="s">
        <v>45</v>
      </c>
      <c r="N276" s="19" t="s">
        <v>45</v>
      </c>
      <c r="O276" s="19" t="s">
        <v>45</v>
      </c>
      <c r="P276" s="19" t="s">
        <v>35</v>
      </c>
      <c r="Q276" s="19">
        <v>18</v>
      </c>
      <c r="R276" s="19">
        <v>5</v>
      </c>
      <c r="S276" s="19">
        <v>1</v>
      </c>
      <c r="T276" s="19"/>
      <c r="U276" s="19"/>
      <c r="V276" s="19">
        <v>0</v>
      </c>
      <c r="W276" s="19">
        <v>60</v>
      </c>
    </row>
    <row r="277" spans="1:23" x14ac:dyDescent="0.3">
      <c r="A277" s="19">
        <v>210630010</v>
      </c>
      <c r="B277" s="59" t="s">
        <v>388</v>
      </c>
      <c r="C277" s="19">
        <v>1</v>
      </c>
      <c r="D277" s="19">
        <v>0</v>
      </c>
      <c r="E277" s="19">
        <v>19</v>
      </c>
      <c r="F277" s="19">
        <v>27</v>
      </c>
      <c r="G277" s="19">
        <v>0</v>
      </c>
      <c r="H277" s="19">
        <v>0</v>
      </c>
      <c r="I277" s="19">
        <v>154</v>
      </c>
      <c r="J277" s="19">
        <v>0</v>
      </c>
      <c r="K277" s="19">
        <v>0</v>
      </c>
      <c r="L277" s="19" t="s">
        <v>45</v>
      </c>
      <c r="M277" s="19" t="s">
        <v>45</v>
      </c>
      <c r="N277" s="19" t="s">
        <v>45</v>
      </c>
      <c r="O277" s="19" t="s">
        <v>45</v>
      </c>
      <c r="P277" s="19" t="s">
        <v>35</v>
      </c>
      <c r="Q277" s="19">
        <v>18</v>
      </c>
      <c r="R277" s="19">
        <v>3</v>
      </c>
      <c r="S277" s="19">
        <v>1</v>
      </c>
      <c r="T277" s="19"/>
      <c r="U277" s="19"/>
      <c r="V277" s="19">
        <v>0</v>
      </c>
      <c r="W277" s="19">
        <v>60</v>
      </c>
    </row>
    <row r="278" spans="1:23" x14ac:dyDescent="0.3">
      <c r="A278" s="19">
        <v>210630050</v>
      </c>
      <c r="B278" s="59" t="s">
        <v>502</v>
      </c>
      <c r="C278" s="19">
        <v>3</v>
      </c>
      <c r="D278" s="19">
        <v>0</v>
      </c>
      <c r="E278" s="19">
        <v>19</v>
      </c>
      <c r="F278" s="19">
        <v>27</v>
      </c>
      <c r="G278" s="19">
        <v>0</v>
      </c>
      <c r="H278" s="19">
        <v>0</v>
      </c>
      <c r="I278" s="19">
        <v>98</v>
      </c>
      <c r="J278" s="19">
        <v>0</v>
      </c>
      <c r="K278" s="19">
        <v>0</v>
      </c>
      <c r="L278" s="19" t="s">
        <v>45</v>
      </c>
      <c r="M278" s="19" t="s">
        <v>45</v>
      </c>
      <c r="N278" s="19" t="s">
        <v>47</v>
      </c>
      <c r="O278" s="19" t="s">
        <v>45</v>
      </c>
      <c r="P278" s="19" t="s">
        <v>35</v>
      </c>
      <c r="Q278" s="19">
        <v>18</v>
      </c>
      <c r="R278" s="19">
        <v>5</v>
      </c>
      <c r="S278" s="19">
        <v>2</v>
      </c>
      <c r="T278" s="19"/>
      <c r="U278" s="19"/>
      <c r="V278" s="19">
        <v>0</v>
      </c>
      <c r="W278" s="19">
        <v>60</v>
      </c>
    </row>
    <row r="279" spans="1:23" x14ac:dyDescent="0.3">
      <c r="A279" s="19">
        <v>210630060</v>
      </c>
      <c r="B279" s="59" t="s">
        <v>503</v>
      </c>
      <c r="C279" s="19">
        <v>1</v>
      </c>
      <c r="D279" s="19">
        <v>0</v>
      </c>
      <c r="E279" s="19">
        <v>19</v>
      </c>
      <c r="F279" s="19">
        <v>27</v>
      </c>
      <c r="G279" s="19">
        <v>0</v>
      </c>
      <c r="H279" s="19">
        <v>0</v>
      </c>
      <c r="I279" s="19">
        <v>163</v>
      </c>
      <c r="J279" s="19">
        <v>0</v>
      </c>
      <c r="K279" s="19">
        <v>0</v>
      </c>
      <c r="L279" s="19" t="s">
        <v>45</v>
      </c>
      <c r="M279" s="19" t="s">
        <v>45</v>
      </c>
      <c r="N279" s="19" t="s">
        <v>47</v>
      </c>
      <c r="O279" s="19" t="s">
        <v>45</v>
      </c>
      <c r="P279" s="19" t="s">
        <v>35</v>
      </c>
      <c r="Q279" s="19">
        <v>18</v>
      </c>
      <c r="R279" s="19">
        <v>3</v>
      </c>
      <c r="S279" s="19">
        <v>1</v>
      </c>
      <c r="T279" s="19"/>
      <c r="U279" s="19"/>
      <c r="V279" s="19">
        <v>0</v>
      </c>
      <c r="W279" s="19">
        <v>60</v>
      </c>
    </row>
    <row r="280" spans="1:23" x14ac:dyDescent="0.3">
      <c r="A280" s="19">
        <v>63000</v>
      </c>
      <c r="B280" s="59" t="s">
        <v>169</v>
      </c>
      <c r="C280" s="19">
        <v>1</v>
      </c>
      <c r="D280" s="19">
        <v>0</v>
      </c>
      <c r="E280" s="19">
        <v>13</v>
      </c>
      <c r="F280" s="19">
        <v>15</v>
      </c>
      <c r="G280" s="19">
        <v>0</v>
      </c>
      <c r="H280" s="19">
        <v>0</v>
      </c>
      <c r="I280" s="19">
        <v>236</v>
      </c>
      <c r="J280" s="19">
        <v>0</v>
      </c>
      <c r="K280" s="19">
        <v>0</v>
      </c>
      <c r="L280" s="19" t="s">
        <v>45</v>
      </c>
      <c r="M280" s="19" t="s">
        <v>45</v>
      </c>
      <c r="N280" s="19" t="s">
        <v>45</v>
      </c>
      <c r="O280" s="19" t="s">
        <v>45</v>
      </c>
      <c r="P280" s="19" t="s">
        <v>35</v>
      </c>
      <c r="Q280" s="19">
        <v>12</v>
      </c>
      <c r="R280" s="19">
        <v>10.175000000000001</v>
      </c>
      <c r="S280" s="19">
        <v>2</v>
      </c>
      <c r="T280" s="19"/>
      <c r="U280" s="19"/>
      <c r="V280" s="19">
        <v>0</v>
      </c>
      <c r="W280" s="19">
        <v>100</v>
      </c>
    </row>
    <row r="281" spans="1:23" x14ac:dyDescent="0.3">
      <c r="A281" s="19">
        <v>63100</v>
      </c>
      <c r="B281" s="59" t="s">
        <v>170</v>
      </c>
      <c r="C281" s="19">
        <v>1</v>
      </c>
      <c r="D281" s="19">
        <v>0</v>
      </c>
      <c r="E281" s="19">
        <v>14</v>
      </c>
      <c r="F281" s="19">
        <v>17</v>
      </c>
      <c r="G281" s="19">
        <v>0</v>
      </c>
      <c r="H281" s="19">
        <v>0</v>
      </c>
      <c r="I281" s="19">
        <v>159</v>
      </c>
      <c r="J281" s="19">
        <v>0</v>
      </c>
      <c r="K281" s="19">
        <v>0</v>
      </c>
      <c r="L281" s="19" t="s">
        <v>45</v>
      </c>
      <c r="M281" s="19" t="s">
        <v>45</v>
      </c>
      <c r="N281" s="19" t="s">
        <v>45</v>
      </c>
      <c r="O281" s="19" t="s">
        <v>45</v>
      </c>
      <c r="P281" s="19" t="s">
        <v>35</v>
      </c>
      <c r="Q281" s="19">
        <v>13</v>
      </c>
      <c r="R281" s="19">
        <v>5</v>
      </c>
      <c r="S281" s="19">
        <v>2</v>
      </c>
      <c r="T281" s="19"/>
      <c r="U281" s="19"/>
      <c r="V281" s="19">
        <v>0</v>
      </c>
      <c r="W281" s="19">
        <v>60</v>
      </c>
    </row>
    <row r="282" spans="1:23" x14ac:dyDescent="0.3">
      <c r="A282" s="19">
        <v>63101</v>
      </c>
      <c r="B282" s="59" t="s">
        <v>171</v>
      </c>
      <c r="C282" s="19">
        <v>2</v>
      </c>
      <c r="D282" s="19">
        <v>0</v>
      </c>
      <c r="E282" s="19">
        <v>14</v>
      </c>
      <c r="F282" s="19">
        <v>17</v>
      </c>
      <c r="G282" s="19">
        <v>0</v>
      </c>
      <c r="H282" s="19">
        <v>0</v>
      </c>
      <c r="I282" s="19">
        <v>44</v>
      </c>
      <c r="J282" s="19">
        <v>0</v>
      </c>
      <c r="K282" s="19">
        <v>0</v>
      </c>
      <c r="L282" s="19" t="s">
        <v>45</v>
      </c>
      <c r="M282" s="19" t="s">
        <v>45</v>
      </c>
      <c r="N282" s="19" t="s">
        <v>45</v>
      </c>
      <c r="O282" s="19" t="s">
        <v>45</v>
      </c>
      <c r="P282" s="19" t="s">
        <v>35</v>
      </c>
      <c r="Q282" s="19">
        <v>13</v>
      </c>
      <c r="R282" s="19">
        <v>1</v>
      </c>
      <c r="S282" s="19">
        <v>8</v>
      </c>
      <c r="T282" s="19"/>
      <c r="U282" s="19"/>
      <c r="V282" s="19">
        <v>0</v>
      </c>
      <c r="W282" s="19">
        <v>60</v>
      </c>
    </row>
    <row r="283" spans="1:23" x14ac:dyDescent="0.3">
      <c r="A283" s="19">
        <v>72000</v>
      </c>
      <c r="B283" s="59" t="s">
        <v>221</v>
      </c>
      <c r="C283" s="19">
        <v>6</v>
      </c>
      <c r="D283" s="19">
        <v>0</v>
      </c>
      <c r="E283" s="19">
        <v>11</v>
      </c>
      <c r="F283" s="19">
        <v>0</v>
      </c>
      <c r="G283" s="19">
        <v>60</v>
      </c>
      <c r="H283" s="19">
        <v>0</v>
      </c>
      <c r="I283" s="19">
        <v>0</v>
      </c>
      <c r="J283" s="19">
        <v>0</v>
      </c>
      <c r="K283" s="19">
        <v>0</v>
      </c>
      <c r="L283" s="19" t="s">
        <v>432</v>
      </c>
      <c r="M283" s="19" t="s">
        <v>45</v>
      </c>
      <c r="N283" s="19" t="s">
        <v>45</v>
      </c>
      <c r="O283" s="19" t="s">
        <v>45</v>
      </c>
      <c r="P283" s="19" t="s">
        <v>35</v>
      </c>
      <c r="Q283" s="19">
        <v>19</v>
      </c>
      <c r="R283" s="19">
        <v>1</v>
      </c>
      <c r="S283" s="19">
        <v>8</v>
      </c>
      <c r="T283" s="19"/>
      <c r="U283" s="19"/>
      <c r="V283" s="19">
        <v>0</v>
      </c>
      <c r="W283" s="19"/>
    </row>
    <row r="284" spans="1:23" x14ac:dyDescent="0.3">
      <c r="A284" s="19">
        <v>210721000</v>
      </c>
      <c r="B284" s="59" t="s">
        <v>389</v>
      </c>
      <c r="C284" s="19">
        <v>2</v>
      </c>
      <c r="D284" s="19">
        <v>0</v>
      </c>
      <c r="E284" s="19">
        <v>26</v>
      </c>
      <c r="F284" s="19">
        <v>0</v>
      </c>
      <c r="G284" s="19">
        <v>180</v>
      </c>
      <c r="H284" s="19">
        <v>0</v>
      </c>
      <c r="I284" s="19">
        <v>0</v>
      </c>
      <c r="J284" s="19">
        <v>0</v>
      </c>
      <c r="K284" s="19">
        <v>0</v>
      </c>
      <c r="L284" s="19" t="s">
        <v>432</v>
      </c>
      <c r="M284" s="19" t="s">
        <v>45</v>
      </c>
      <c r="N284" s="19" t="s">
        <v>45</v>
      </c>
      <c r="O284" s="19" t="s">
        <v>45</v>
      </c>
      <c r="P284" s="19" t="s">
        <v>35</v>
      </c>
      <c r="Q284" s="19">
        <v>28</v>
      </c>
      <c r="R284" s="19">
        <v>3</v>
      </c>
      <c r="S284" s="19">
        <v>2</v>
      </c>
      <c r="T284" s="19"/>
      <c r="U284" s="19"/>
      <c r="V284" s="19">
        <v>0</v>
      </c>
      <c r="W284" s="19"/>
    </row>
    <row r="285" spans="1:23" x14ac:dyDescent="0.3">
      <c r="A285" s="19">
        <v>210721050</v>
      </c>
      <c r="B285" s="59" t="s">
        <v>800</v>
      </c>
      <c r="C285" s="19">
        <v>2</v>
      </c>
      <c r="D285" s="19">
        <v>0</v>
      </c>
      <c r="E285" s="19">
        <v>26</v>
      </c>
      <c r="F285" s="19">
        <v>0</v>
      </c>
      <c r="G285" s="19">
        <v>230</v>
      </c>
      <c r="H285" s="19">
        <v>0</v>
      </c>
      <c r="I285" s="19">
        <v>0</v>
      </c>
      <c r="J285" s="19">
        <v>0</v>
      </c>
      <c r="K285" s="19">
        <v>0</v>
      </c>
      <c r="L285" s="19" t="s">
        <v>432</v>
      </c>
      <c r="M285" s="19" t="s">
        <v>45</v>
      </c>
      <c r="N285" s="19" t="s">
        <v>45</v>
      </c>
      <c r="O285" s="19" t="s">
        <v>45</v>
      </c>
      <c r="P285" s="19" t="s">
        <v>35</v>
      </c>
      <c r="Q285" s="19">
        <v>28</v>
      </c>
      <c r="R285" s="19">
        <v>4</v>
      </c>
      <c r="S285" s="19">
        <v>2</v>
      </c>
      <c r="T285" s="19"/>
      <c r="U285" s="19"/>
      <c r="V285" s="19">
        <v>0</v>
      </c>
      <c r="W285" s="19"/>
    </row>
    <row r="286" spans="1:23" x14ac:dyDescent="0.3">
      <c r="A286" s="19">
        <v>72400</v>
      </c>
      <c r="B286" s="59" t="s">
        <v>224</v>
      </c>
      <c r="C286" s="19">
        <v>1</v>
      </c>
      <c r="D286" s="19">
        <v>0</v>
      </c>
      <c r="E286" s="19">
        <v>35</v>
      </c>
      <c r="F286" s="19">
        <v>0</v>
      </c>
      <c r="G286" s="19">
        <f>40*(1+IF(T8,对比计算!G5*0.3,对比计算!F5*0.12))</f>
        <v>160</v>
      </c>
      <c r="H286" s="19">
        <v>0</v>
      </c>
      <c r="I286" s="19">
        <v>0</v>
      </c>
      <c r="J286" s="19">
        <v>0</v>
      </c>
      <c r="K286" s="19">
        <v>0</v>
      </c>
      <c r="L286" s="19" t="s">
        <v>432</v>
      </c>
      <c r="M286" s="19" t="s">
        <v>45</v>
      </c>
      <c r="N286" s="19" t="s">
        <v>45</v>
      </c>
      <c r="O286" s="19" t="s">
        <v>45</v>
      </c>
      <c r="P286" s="19" t="s">
        <v>35</v>
      </c>
      <c r="Q286" s="19">
        <v>48</v>
      </c>
      <c r="R286" s="19">
        <v>13</v>
      </c>
      <c r="S286" s="19">
        <v>3</v>
      </c>
      <c r="T286" s="19"/>
      <c r="U286" s="19"/>
      <c r="V286" s="19">
        <v>0</v>
      </c>
      <c r="W286" s="19"/>
    </row>
    <row r="287" spans="1:23" x14ac:dyDescent="0.3">
      <c r="A287" s="19">
        <v>72401</v>
      </c>
      <c r="B287" s="59" t="s">
        <v>225</v>
      </c>
      <c r="C287" s="19">
        <v>1</v>
      </c>
      <c r="D287" s="19">
        <v>0</v>
      </c>
      <c r="E287" s="19">
        <v>35</v>
      </c>
      <c r="F287" s="19">
        <v>0</v>
      </c>
      <c r="G287" s="19">
        <v>362</v>
      </c>
      <c r="H287" s="19">
        <v>0</v>
      </c>
      <c r="I287" s="19">
        <v>0</v>
      </c>
      <c r="J287" s="19">
        <v>0</v>
      </c>
      <c r="K287" s="19">
        <v>0</v>
      </c>
      <c r="L287" s="19" t="s">
        <v>432</v>
      </c>
      <c r="M287" s="19" t="s">
        <v>45</v>
      </c>
      <c r="N287" s="19" t="s">
        <v>45</v>
      </c>
      <c r="O287" s="19" t="s">
        <v>45</v>
      </c>
      <c r="P287" s="19" t="s">
        <v>35</v>
      </c>
      <c r="Q287" s="19">
        <v>48</v>
      </c>
      <c r="R287" s="19">
        <v>16.113499999999998</v>
      </c>
      <c r="S287" s="19">
        <v>7</v>
      </c>
      <c r="T287" s="19"/>
      <c r="U287" s="19"/>
      <c r="V287" s="19">
        <v>0</v>
      </c>
      <c r="W287" s="19"/>
    </row>
    <row r="288" spans="1:23" ht="15.9" customHeight="1" x14ac:dyDescent="0.3">
      <c r="A288" s="19">
        <v>72402</v>
      </c>
      <c r="B288" s="59" t="s">
        <v>226</v>
      </c>
      <c r="C288" s="19">
        <v>5</v>
      </c>
      <c r="D288" s="19">
        <v>0</v>
      </c>
      <c r="E288" s="19">
        <v>35</v>
      </c>
      <c r="F288" s="19">
        <v>0</v>
      </c>
      <c r="G288" s="19">
        <v>60</v>
      </c>
      <c r="H288" s="19">
        <v>0</v>
      </c>
      <c r="I288" s="19">
        <v>0</v>
      </c>
      <c r="J288" s="19">
        <v>0</v>
      </c>
      <c r="K288" s="19">
        <v>0</v>
      </c>
      <c r="L288" s="19" t="s">
        <v>432</v>
      </c>
      <c r="M288" s="19" t="s">
        <v>45</v>
      </c>
      <c r="N288" s="19" t="s">
        <v>45</v>
      </c>
      <c r="O288" s="19" t="s">
        <v>45</v>
      </c>
      <c r="P288" s="19" t="s">
        <v>35</v>
      </c>
      <c r="Q288" s="19">
        <v>48</v>
      </c>
      <c r="R288" s="19">
        <v>0</v>
      </c>
      <c r="S288" s="19">
        <v>0</v>
      </c>
      <c r="T288" s="19">
        <v>150</v>
      </c>
      <c r="U288" s="19" t="s">
        <v>619</v>
      </c>
      <c r="V288" s="19">
        <v>0</v>
      </c>
      <c r="W288" s="19"/>
    </row>
    <row r="289" spans="1:23" x14ac:dyDescent="0.3">
      <c r="A289" s="19">
        <v>210720000</v>
      </c>
      <c r="B289" s="59" t="s">
        <v>621</v>
      </c>
      <c r="C289" s="19">
        <v>1</v>
      </c>
      <c r="D289" s="19">
        <v>0</v>
      </c>
      <c r="E289" s="19">
        <v>33</v>
      </c>
      <c r="F289" s="19">
        <v>0</v>
      </c>
      <c r="G289" s="19">
        <v>100</v>
      </c>
      <c r="H289" s="19">
        <v>0</v>
      </c>
      <c r="I289" s="19">
        <v>0</v>
      </c>
      <c r="J289" s="19">
        <v>0</v>
      </c>
      <c r="K289" s="19">
        <v>0</v>
      </c>
      <c r="L289" s="19" t="s">
        <v>432</v>
      </c>
      <c r="M289" s="19" t="s">
        <v>45</v>
      </c>
      <c r="N289" s="19" t="s">
        <v>45</v>
      </c>
      <c r="O289" s="19" t="s">
        <v>45</v>
      </c>
      <c r="P289" s="19" t="s">
        <v>35</v>
      </c>
      <c r="Q289" s="19">
        <v>48</v>
      </c>
      <c r="R289" s="19">
        <v>5</v>
      </c>
      <c r="S289" s="19">
        <v>3</v>
      </c>
      <c r="T289" s="19">
        <v>80</v>
      </c>
      <c r="U289" s="19" t="s">
        <v>619</v>
      </c>
      <c r="V289" s="19">
        <v>0</v>
      </c>
      <c r="W289" s="19"/>
    </row>
    <row r="290" spans="1:23" x14ac:dyDescent="0.3">
      <c r="A290" s="19">
        <v>210720001</v>
      </c>
      <c r="B290" s="59" t="s">
        <v>620</v>
      </c>
      <c r="C290" s="19">
        <v>5</v>
      </c>
      <c r="D290" s="19">
        <v>0</v>
      </c>
      <c r="E290" s="19">
        <v>33</v>
      </c>
      <c r="F290" s="19">
        <v>0</v>
      </c>
      <c r="G290" s="19">
        <v>100</v>
      </c>
      <c r="H290" s="19">
        <v>0</v>
      </c>
      <c r="I290" s="19">
        <v>0</v>
      </c>
      <c r="J290" s="19">
        <v>0</v>
      </c>
      <c r="K290" s="19">
        <v>0</v>
      </c>
      <c r="L290" s="19" t="s">
        <v>432</v>
      </c>
      <c r="M290" s="19" t="s">
        <v>45</v>
      </c>
      <c r="N290" s="19" t="s">
        <v>45</v>
      </c>
      <c r="O290" s="19" t="s">
        <v>45</v>
      </c>
      <c r="P290" s="19" t="s">
        <v>35</v>
      </c>
      <c r="Q290" s="19">
        <v>48</v>
      </c>
      <c r="R290" s="19">
        <v>3</v>
      </c>
      <c r="S290" s="19">
        <v>2</v>
      </c>
      <c r="T290" s="19"/>
      <c r="U290" s="19"/>
      <c r="V290" s="19">
        <v>0</v>
      </c>
      <c r="W290" s="19"/>
    </row>
    <row r="291" spans="1:23" x14ac:dyDescent="0.3">
      <c r="A291" s="19">
        <v>73100</v>
      </c>
      <c r="B291" s="59" t="s">
        <v>227</v>
      </c>
      <c r="C291" s="19">
        <v>4</v>
      </c>
      <c r="D291" s="19">
        <v>0</v>
      </c>
      <c r="E291" s="19">
        <v>16</v>
      </c>
      <c r="F291" s="19">
        <v>0</v>
      </c>
      <c r="G291" s="19">
        <v>0</v>
      </c>
      <c r="H291" s="19">
        <v>0</v>
      </c>
      <c r="I291" s="19">
        <v>107</v>
      </c>
      <c r="J291" s="19">
        <v>0</v>
      </c>
      <c r="K291" s="19">
        <v>0</v>
      </c>
      <c r="L291" s="19" t="s">
        <v>45</v>
      </c>
      <c r="M291" s="19" t="s">
        <v>227</v>
      </c>
      <c r="N291" s="19" t="s">
        <v>45</v>
      </c>
      <c r="O291" s="19" t="s">
        <v>45</v>
      </c>
      <c r="P291" s="19" t="s">
        <v>35</v>
      </c>
      <c r="Q291" s="19">
        <v>16</v>
      </c>
      <c r="R291" s="19">
        <v>5</v>
      </c>
      <c r="S291" s="19">
        <v>2</v>
      </c>
      <c r="T291" s="19">
        <v>21</v>
      </c>
      <c r="U291" s="19" t="s">
        <v>618</v>
      </c>
      <c r="V291" s="19">
        <v>1</v>
      </c>
      <c r="W291" s="19"/>
    </row>
    <row r="292" spans="1:23" x14ac:dyDescent="0.3">
      <c r="A292" s="19">
        <v>73105</v>
      </c>
      <c r="B292" s="59" t="s">
        <v>228</v>
      </c>
      <c r="C292" s="19">
        <v>6</v>
      </c>
      <c r="D292" s="19">
        <v>0</v>
      </c>
      <c r="E292" s="19">
        <v>16</v>
      </c>
      <c r="F292" s="19">
        <v>0</v>
      </c>
      <c r="G292" s="19">
        <v>0</v>
      </c>
      <c r="H292" s="19">
        <v>0</v>
      </c>
      <c r="I292" s="19">
        <v>124</v>
      </c>
      <c r="J292" s="19">
        <v>0</v>
      </c>
      <c r="K292" s="19">
        <v>0</v>
      </c>
      <c r="L292" s="19" t="s">
        <v>45</v>
      </c>
      <c r="M292" s="19" t="s">
        <v>227</v>
      </c>
      <c r="N292" s="19" t="s">
        <v>47</v>
      </c>
      <c r="O292" s="19" t="s">
        <v>45</v>
      </c>
      <c r="P292" s="19" t="s">
        <v>35</v>
      </c>
      <c r="Q292" s="19">
        <v>16</v>
      </c>
      <c r="R292" s="19">
        <v>9.25</v>
      </c>
      <c r="S292" s="19">
        <v>2</v>
      </c>
      <c r="T292" s="19">
        <v>28</v>
      </c>
      <c r="U292" s="19" t="s">
        <v>618</v>
      </c>
      <c r="V292" s="19">
        <v>1</v>
      </c>
      <c r="W292" s="19"/>
    </row>
    <row r="293" spans="1:23" x14ac:dyDescent="0.3">
      <c r="A293" s="19">
        <v>73110</v>
      </c>
      <c r="B293" s="59" t="s">
        <v>229</v>
      </c>
      <c r="C293" s="19">
        <v>8</v>
      </c>
      <c r="D293" s="19">
        <v>0</v>
      </c>
      <c r="E293" s="19">
        <v>31</v>
      </c>
      <c r="F293" s="19">
        <v>0</v>
      </c>
      <c r="G293" s="19">
        <v>0</v>
      </c>
      <c r="H293" s="19">
        <v>0</v>
      </c>
      <c r="I293" s="19">
        <v>125</v>
      </c>
      <c r="J293" s="19">
        <v>0</v>
      </c>
      <c r="K293" s="19">
        <v>0</v>
      </c>
      <c r="L293" s="19" t="s">
        <v>45</v>
      </c>
      <c r="M293" s="19" t="s">
        <v>227</v>
      </c>
      <c r="N293" s="19" t="s">
        <v>45</v>
      </c>
      <c r="O293" s="19" t="s">
        <v>45</v>
      </c>
      <c r="P293" s="19" t="s">
        <v>35</v>
      </c>
      <c r="Q293" s="19">
        <v>22</v>
      </c>
      <c r="R293" s="19">
        <v>5</v>
      </c>
      <c r="S293" s="19">
        <v>2</v>
      </c>
      <c r="T293" s="19">
        <v>40</v>
      </c>
      <c r="U293" s="19" t="s">
        <v>618</v>
      </c>
      <c r="V293" s="19">
        <v>1</v>
      </c>
      <c r="W293" s="19"/>
    </row>
    <row r="294" spans="1:23" x14ac:dyDescent="0.3">
      <c r="A294" s="19">
        <v>210730000</v>
      </c>
      <c r="B294" s="59" t="s">
        <v>391</v>
      </c>
      <c r="C294" s="19">
        <v>5</v>
      </c>
      <c r="D294" s="19">
        <v>0</v>
      </c>
      <c r="E294" s="19">
        <v>41</v>
      </c>
      <c r="F294" s="19">
        <v>0</v>
      </c>
      <c r="G294" s="19">
        <v>0</v>
      </c>
      <c r="H294" s="19">
        <v>0</v>
      </c>
      <c r="I294" s="19">
        <v>75</v>
      </c>
      <c r="J294" s="19">
        <v>0</v>
      </c>
      <c r="K294" s="19">
        <v>0</v>
      </c>
      <c r="L294" s="19" t="s">
        <v>45</v>
      </c>
      <c r="M294" s="19" t="s">
        <v>227</v>
      </c>
      <c r="N294" s="19" t="s">
        <v>45</v>
      </c>
      <c r="O294" s="19" t="s">
        <v>45</v>
      </c>
      <c r="P294" s="19" t="s">
        <v>35</v>
      </c>
      <c r="Q294" s="19">
        <v>22</v>
      </c>
      <c r="R294" s="19">
        <v>3</v>
      </c>
      <c r="S294" s="19">
        <v>1</v>
      </c>
      <c r="T294" s="19">
        <v>30</v>
      </c>
      <c r="U294" s="19" t="s">
        <v>618</v>
      </c>
      <c r="V294" s="19">
        <v>1</v>
      </c>
      <c r="W294" s="19"/>
    </row>
    <row r="295" spans="1:23" x14ac:dyDescent="0.3">
      <c r="A295" s="19">
        <v>73200</v>
      </c>
      <c r="B295" s="59" t="s">
        <v>230</v>
      </c>
      <c r="C295" s="19">
        <v>1</v>
      </c>
      <c r="D295" s="19">
        <v>0</v>
      </c>
      <c r="E295" s="19">
        <v>22</v>
      </c>
      <c r="F295" s="19">
        <v>0</v>
      </c>
      <c r="G295" s="19">
        <v>0</v>
      </c>
      <c r="H295" s="19">
        <v>0</v>
      </c>
      <c r="I295" s="19">
        <v>250</v>
      </c>
      <c r="J295" s="19">
        <v>0</v>
      </c>
      <c r="K295" s="19">
        <v>0</v>
      </c>
      <c r="L295" s="19" t="s">
        <v>45</v>
      </c>
      <c r="M295" s="19" t="s">
        <v>227</v>
      </c>
      <c r="N295" s="19" t="s">
        <v>45</v>
      </c>
      <c r="O295" s="19" t="s">
        <v>45</v>
      </c>
      <c r="P295" s="19" t="s">
        <v>35</v>
      </c>
      <c r="Q295" s="19">
        <v>24</v>
      </c>
      <c r="R295" s="19">
        <v>5</v>
      </c>
      <c r="S295" s="19">
        <v>2</v>
      </c>
      <c r="T295" s="19">
        <v>250</v>
      </c>
      <c r="U295" s="19" t="s">
        <v>618</v>
      </c>
      <c r="V295" s="19">
        <v>1</v>
      </c>
      <c r="W295" s="19"/>
    </row>
    <row r="296" spans="1:23" x14ac:dyDescent="0.3">
      <c r="A296" s="19">
        <v>73205</v>
      </c>
      <c r="B296" s="59" t="s">
        <v>231</v>
      </c>
      <c r="C296" s="19">
        <v>1</v>
      </c>
      <c r="D296" s="19">
        <v>0</v>
      </c>
      <c r="E296" s="19">
        <v>22</v>
      </c>
      <c r="F296" s="19">
        <v>0</v>
      </c>
      <c r="G296" s="19">
        <v>0</v>
      </c>
      <c r="H296" s="19">
        <v>0</v>
      </c>
      <c r="I296" s="19">
        <v>309</v>
      </c>
      <c r="J296" s="19">
        <v>0</v>
      </c>
      <c r="K296" s="19">
        <v>0</v>
      </c>
      <c r="L296" s="19" t="s">
        <v>45</v>
      </c>
      <c r="M296" s="19" t="s">
        <v>227</v>
      </c>
      <c r="N296" s="19" t="s">
        <v>47</v>
      </c>
      <c r="O296" s="19" t="s">
        <v>45</v>
      </c>
      <c r="P296" s="19" t="s">
        <v>35</v>
      </c>
      <c r="Q296" s="19">
        <v>24</v>
      </c>
      <c r="R296" s="19">
        <v>12.025</v>
      </c>
      <c r="S296" s="19">
        <v>3</v>
      </c>
      <c r="T296" s="19">
        <v>309</v>
      </c>
      <c r="U296" s="19" t="s">
        <v>618</v>
      </c>
      <c r="V296" s="19">
        <v>1</v>
      </c>
      <c r="W296" s="19"/>
    </row>
    <row r="297" spans="1:23" x14ac:dyDescent="0.3">
      <c r="A297" s="19">
        <v>70000</v>
      </c>
      <c r="B297" s="59" t="s">
        <v>203</v>
      </c>
      <c r="C297" s="19">
        <v>2</v>
      </c>
      <c r="D297" s="19">
        <v>0</v>
      </c>
      <c r="E297" s="19">
        <v>15</v>
      </c>
      <c r="F297" s="19">
        <v>12</v>
      </c>
      <c r="G297" s="19">
        <v>0</v>
      </c>
      <c r="H297" s="19">
        <v>0</v>
      </c>
      <c r="I297" s="19">
        <v>144</v>
      </c>
      <c r="J297" s="19">
        <v>0</v>
      </c>
      <c r="K297" s="19">
        <v>0</v>
      </c>
      <c r="L297" s="19" t="s">
        <v>45</v>
      </c>
      <c r="M297" s="19" t="s">
        <v>204</v>
      </c>
      <c r="N297" s="19" t="s">
        <v>322</v>
      </c>
      <c r="O297" s="19" t="s">
        <v>45</v>
      </c>
      <c r="P297" s="19" t="s">
        <v>35</v>
      </c>
      <c r="Q297" s="19">
        <v>28</v>
      </c>
      <c r="R297" s="19">
        <v>4</v>
      </c>
      <c r="S297" s="19">
        <v>2</v>
      </c>
      <c r="T297" s="19"/>
      <c r="U297" s="19"/>
      <c r="V297" s="19">
        <v>0</v>
      </c>
      <c r="W297" s="19"/>
    </row>
    <row r="298" spans="1:23" x14ac:dyDescent="0.3">
      <c r="A298" s="19">
        <v>70010</v>
      </c>
      <c r="B298" s="59" t="s">
        <v>205</v>
      </c>
      <c r="C298" s="19">
        <v>2</v>
      </c>
      <c r="D298" s="19">
        <v>0</v>
      </c>
      <c r="E298" s="19">
        <v>23</v>
      </c>
      <c r="F298" s="19">
        <v>15</v>
      </c>
      <c r="G298" s="19">
        <v>0</v>
      </c>
      <c r="H298" s="19">
        <v>0</v>
      </c>
      <c r="I298" s="19">
        <v>169</v>
      </c>
      <c r="J298" s="19">
        <v>0</v>
      </c>
      <c r="K298" s="19">
        <v>0</v>
      </c>
      <c r="L298" s="19" t="s">
        <v>45</v>
      </c>
      <c r="M298" s="19" t="s">
        <v>204</v>
      </c>
      <c r="N298" s="19" t="s">
        <v>322</v>
      </c>
      <c r="O298" s="19" t="s">
        <v>45</v>
      </c>
      <c r="P298" s="19" t="s">
        <v>35</v>
      </c>
      <c r="Q298" s="19">
        <v>36</v>
      </c>
      <c r="R298" s="19">
        <v>4</v>
      </c>
      <c r="S298" s="19">
        <v>2</v>
      </c>
      <c r="T298" s="19"/>
      <c r="U298" s="19"/>
      <c r="V298" s="19">
        <v>0</v>
      </c>
      <c r="W298" s="19"/>
    </row>
    <row r="299" spans="1:23" x14ac:dyDescent="0.3">
      <c r="A299" s="19">
        <v>70100</v>
      </c>
      <c r="B299" s="59" t="s">
        <v>206</v>
      </c>
      <c r="C299" s="19">
        <v>1</v>
      </c>
      <c r="D299" s="19">
        <v>0</v>
      </c>
      <c r="E299" s="19">
        <v>14</v>
      </c>
      <c r="F299" s="19">
        <v>10</v>
      </c>
      <c r="G299" s="19">
        <v>0</v>
      </c>
      <c r="H299" s="19">
        <v>0</v>
      </c>
      <c r="I299" s="19">
        <v>223</v>
      </c>
      <c r="J299" s="19">
        <v>0</v>
      </c>
      <c r="K299" s="19">
        <v>0</v>
      </c>
      <c r="L299" s="19" t="s">
        <v>45</v>
      </c>
      <c r="M299" s="19" t="s">
        <v>204</v>
      </c>
      <c r="N299" s="19" t="s">
        <v>322</v>
      </c>
      <c r="O299" s="19" t="s">
        <v>311</v>
      </c>
      <c r="P299" s="19" t="s">
        <v>35</v>
      </c>
      <c r="Q299" s="19">
        <v>30</v>
      </c>
      <c r="R299" s="19">
        <v>12.025</v>
      </c>
      <c r="S299" s="19">
        <v>2</v>
      </c>
      <c r="T299" s="19"/>
      <c r="U299" s="19"/>
      <c r="V299" s="19">
        <v>0</v>
      </c>
      <c r="W299" s="19"/>
    </row>
    <row r="300" spans="1:23" x14ac:dyDescent="0.3">
      <c r="A300" s="19">
        <v>70101</v>
      </c>
      <c r="B300" s="59" t="s">
        <v>207</v>
      </c>
      <c r="C300" s="19">
        <v>5</v>
      </c>
      <c r="D300" s="19">
        <v>0</v>
      </c>
      <c r="E300" s="19">
        <v>14</v>
      </c>
      <c r="F300" s="19">
        <v>10</v>
      </c>
      <c r="G300" s="19">
        <v>0</v>
      </c>
      <c r="H300" s="19">
        <v>0</v>
      </c>
      <c r="I300" s="19">
        <v>34</v>
      </c>
      <c r="J300" s="19">
        <v>0</v>
      </c>
      <c r="K300" s="19">
        <v>0</v>
      </c>
      <c r="L300" s="19" t="s">
        <v>45</v>
      </c>
      <c r="M300" s="19" t="s">
        <v>204</v>
      </c>
      <c r="N300" s="19" t="s">
        <v>704</v>
      </c>
      <c r="O300" s="19" t="s">
        <v>311</v>
      </c>
      <c r="P300" s="19" t="s">
        <v>35</v>
      </c>
      <c r="Q300" s="19">
        <v>30</v>
      </c>
      <c r="R300" s="19">
        <v>0</v>
      </c>
      <c r="S300" s="19">
        <v>0</v>
      </c>
      <c r="T300" s="19"/>
      <c r="U300" s="19"/>
      <c r="V300" s="19">
        <v>0</v>
      </c>
      <c r="W300" s="19"/>
    </row>
    <row r="301" spans="1:23" x14ac:dyDescent="0.3">
      <c r="A301" s="19">
        <v>70110</v>
      </c>
      <c r="B301" s="59" t="s">
        <v>208</v>
      </c>
      <c r="C301" s="19">
        <v>1</v>
      </c>
      <c r="D301" s="19">
        <v>0</v>
      </c>
      <c r="E301" s="19">
        <v>21</v>
      </c>
      <c r="F301" s="19">
        <v>14</v>
      </c>
      <c r="G301" s="19">
        <v>0</v>
      </c>
      <c r="H301" s="19">
        <v>0</v>
      </c>
      <c r="I301" s="19">
        <v>315</v>
      </c>
      <c r="J301" s="19">
        <v>0</v>
      </c>
      <c r="K301" s="19">
        <v>0</v>
      </c>
      <c r="L301" s="19" t="s">
        <v>45</v>
      </c>
      <c r="M301" s="19" t="s">
        <v>204</v>
      </c>
      <c r="N301" s="19" t="s">
        <v>322</v>
      </c>
      <c r="O301" s="19" t="s">
        <v>311</v>
      </c>
      <c r="P301" s="19" t="s">
        <v>35</v>
      </c>
      <c r="Q301" s="19">
        <v>45</v>
      </c>
      <c r="R301" s="19">
        <v>16.8</v>
      </c>
      <c r="S301" s="19">
        <v>3</v>
      </c>
      <c r="T301" s="19"/>
      <c r="U301" s="19"/>
      <c r="V301" s="19">
        <v>0</v>
      </c>
      <c r="W301" s="19"/>
    </row>
    <row r="302" spans="1:23" x14ac:dyDescent="0.3">
      <c r="A302" s="19">
        <v>70111</v>
      </c>
      <c r="B302" s="59" t="s">
        <v>209</v>
      </c>
      <c r="C302" s="19">
        <v>5</v>
      </c>
      <c r="D302" s="19">
        <v>0</v>
      </c>
      <c r="E302" s="19">
        <v>21</v>
      </c>
      <c r="F302" s="19">
        <v>14</v>
      </c>
      <c r="G302" s="19">
        <v>0</v>
      </c>
      <c r="H302" s="19">
        <v>0</v>
      </c>
      <c r="I302" s="19">
        <v>40</v>
      </c>
      <c r="J302" s="19">
        <v>0</v>
      </c>
      <c r="K302" s="19">
        <v>0</v>
      </c>
      <c r="L302" s="19" t="s">
        <v>45</v>
      </c>
      <c r="M302" s="19" t="s">
        <v>204</v>
      </c>
      <c r="N302" s="19" t="s">
        <v>704</v>
      </c>
      <c r="O302" s="19" t="s">
        <v>311</v>
      </c>
      <c r="P302" s="19" t="s">
        <v>35</v>
      </c>
      <c r="Q302" s="19">
        <v>45</v>
      </c>
      <c r="R302" s="19">
        <v>0</v>
      </c>
      <c r="S302" s="19">
        <v>0</v>
      </c>
      <c r="T302" s="19"/>
      <c r="U302" s="19"/>
      <c r="V302" s="19">
        <v>0</v>
      </c>
      <c r="W302" s="19"/>
    </row>
    <row r="303" spans="1:23" x14ac:dyDescent="0.3">
      <c r="A303" s="19">
        <v>70400</v>
      </c>
      <c r="B303" s="59" t="s">
        <v>214</v>
      </c>
      <c r="C303" s="19">
        <v>2</v>
      </c>
      <c r="D303" s="19">
        <v>0</v>
      </c>
      <c r="E303" s="19">
        <v>15</v>
      </c>
      <c r="F303" s="19">
        <v>12</v>
      </c>
      <c r="G303" s="19">
        <v>0</v>
      </c>
      <c r="H303" s="19">
        <v>159</v>
      </c>
      <c r="I303" s="19">
        <v>0</v>
      </c>
      <c r="J303" s="19">
        <v>0</v>
      </c>
      <c r="K303" s="19">
        <v>0</v>
      </c>
      <c r="L303" s="19" t="s">
        <v>45</v>
      </c>
      <c r="M303" s="19" t="s">
        <v>204</v>
      </c>
      <c r="N303" s="19" t="s">
        <v>322</v>
      </c>
      <c r="O303" s="19" t="s">
        <v>45</v>
      </c>
      <c r="P303" s="19" t="s">
        <v>35</v>
      </c>
      <c r="Q303" s="19">
        <v>28</v>
      </c>
      <c r="R303" s="19">
        <v>4</v>
      </c>
      <c r="S303" s="19">
        <v>2</v>
      </c>
      <c r="T303" s="19"/>
      <c r="U303" s="19"/>
      <c r="V303" s="19">
        <v>0</v>
      </c>
      <c r="W303" s="19"/>
    </row>
    <row r="304" spans="1:23" x14ac:dyDescent="0.3">
      <c r="A304" s="19">
        <v>70410</v>
      </c>
      <c r="B304" s="59" t="s">
        <v>215</v>
      </c>
      <c r="C304" s="19">
        <v>2</v>
      </c>
      <c r="D304" s="19">
        <v>0</v>
      </c>
      <c r="E304" s="19">
        <v>23</v>
      </c>
      <c r="F304" s="19">
        <v>15</v>
      </c>
      <c r="G304" s="19">
        <v>0</v>
      </c>
      <c r="H304" s="19">
        <v>188</v>
      </c>
      <c r="I304" s="19">
        <v>0</v>
      </c>
      <c r="J304" s="19">
        <v>0</v>
      </c>
      <c r="K304" s="19">
        <v>0</v>
      </c>
      <c r="L304" s="19" t="s">
        <v>45</v>
      </c>
      <c r="M304" s="19" t="s">
        <v>204</v>
      </c>
      <c r="N304" s="19" t="s">
        <v>322</v>
      </c>
      <c r="O304" s="19" t="s">
        <v>45</v>
      </c>
      <c r="P304" s="19" t="s">
        <v>35</v>
      </c>
      <c r="Q304" s="19">
        <v>36</v>
      </c>
      <c r="R304" s="19">
        <v>4</v>
      </c>
      <c r="S304" s="19">
        <v>2</v>
      </c>
      <c r="T304" s="19"/>
      <c r="U304" s="19"/>
      <c r="V304" s="19">
        <v>0</v>
      </c>
      <c r="W304" s="19"/>
    </row>
    <row r="305" spans="1:23" x14ac:dyDescent="0.3">
      <c r="A305" s="19">
        <v>70300</v>
      </c>
      <c r="B305" s="59" t="s">
        <v>212</v>
      </c>
      <c r="C305" s="19">
        <v>2</v>
      </c>
      <c r="D305" s="19">
        <v>0</v>
      </c>
      <c r="E305" s="19">
        <v>15</v>
      </c>
      <c r="F305" s="19">
        <v>12</v>
      </c>
      <c r="G305" s="19">
        <v>131</v>
      </c>
      <c r="H305" s="19">
        <v>0</v>
      </c>
      <c r="I305" s="19">
        <v>0</v>
      </c>
      <c r="J305" s="19">
        <v>0</v>
      </c>
      <c r="K305" s="19">
        <v>0</v>
      </c>
      <c r="L305" s="19" t="s">
        <v>432</v>
      </c>
      <c r="M305" s="19" t="s">
        <v>204</v>
      </c>
      <c r="N305" s="19" t="s">
        <v>322</v>
      </c>
      <c r="O305" s="19" t="s">
        <v>45</v>
      </c>
      <c r="P305" s="19" t="s">
        <v>35</v>
      </c>
      <c r="Q305" s="19">
        <v>36</v>
      </c>
      <c r="R305" s="19">
        <v>4</v>
      </c>
      <c r="S305" s="19">
        <v>2</v>
      </c>
      <c r="T305" s="19">
        <v>65</v>
      </c>
      <c r="U305" s="19" t="s">
        <v>619</v>
      </c>
      <c r="V305" s="19">
        <v>0</v>
      </c>
      <c r="W305" s="19"/>
    </row>
    <row r="306" spans="1:23" x14ac:dyDescent="0.3">
      <c r="A306" s="19">
        <v>70310</v>
      </c>
      <c r="B306" s="59" t="s">
        <v>213</v>
      </c>
      <c r="C306" s="19">
        <v>2</v>
      </c>
      <c r="D306" s="19">
        <v>0</v>
      </c>
      <c r="E306" s="19">
        <v>23</v>
      </c>
      <c r="F306" s="19">
        <v>15</v>
      </c>
      <c r="G306" s="19">
        <v>155</v>
      </c>
      <c r="H306" s="19">
        <v>0</v>
      </c>
      <c r="I306" s="19">
        <v>0</v>
      </c>
      <c r="J306" s="19">
        <v>0</v>
      </c>
      <c r="K306" s="19">
        <v>0</v>
      </c>
      <c r="L306" s="19" t="s">
        <v>432</v>
      </c>
      <c r="M306" s="19" t="s">
        <v>204</v>
      </c>
      <c r="N306" s="19" t="s">
        <v>322</v>
      </c>
      <c r="O306" s="19" t="s">
        <v>45</v>
      </c>
      <c r="P306" s="19" t="s">
        <v>35</v>
      </c>
      <c r="Q306" s="19">
        <v>48</v>
      </c>
      <c r="R306" s="19">
        <v>4</v>
      </c>
      <c r="S306" s="19">
        <v>2</v>
      </c>
      <c r="T306" s="19">
        <v>65</v>
      </c>
      <c r="U306" s="19" t="s">
        <v>619</v>
      </c>
      <c r="V306" s="19">
        <v>0</v>
      </c>
      <c r="W306" s="19"/>
    </row>
    <row r="307" spans="1:23" x14ac:dyDescent="0.3">
      <c r="A307" s="19">
        <v>70200</v>
      </c>
      <c r="B307" s="59" t="s">
        <v>210</v>
      </c>
      <c r="C307" s="19">
        <v>2</v>
      </c>
      <c r="D307" s="19">
        <v>0</v>
      </c>
      <c r="E307" s="19">
        <v>15</v>
      </c>
      <c r="F307" s="19">
        <v>12</v>
      </c>
      <c r="G307" s="19">
        <v>0</v>
      </c>
      <c r="H307" s="19">
        <v>135</v>
      </c>
      <c r="I307" s="19">
        <v>0</v>
      </c>
      <c r="J307" s="19">
        <v>0</v>
      </c>
      <c r="K307" s="19">
        <v>0</v>
      </c>
      <c r="L307" s="19" t="s">
        <v>45</v>
      </c>
      <c r="M307" s="19" t="s">
        <v>204</v>
      </c>
      <c r="N307" s="19" t="s">
        <v>322</v>
      </c>
      <c r="O307" s="19" t="s">
        <v>45</v>
      </c>
      <c r="P307" s="19" t="s">
        <v>35</v>
      </c>
      <c r="Q307" s="19">
        <v>36</v>
      </c>
      <c r="R307" s="19">
        <v>4</v>
      </c>
      <c r="S307" s="19">
        <v>2</v>
      </c>
      <c r="T307" s="19">
        <v>110</v>
      </c>
      <c r="U307" s="19" t="s">
        <v>614</v>
      </c>
      <c r="V307" s="19">
        <v>0</v>
      </c>
      <c r="W307" s="19"/>
    </row>
    <row r="308" spans="1:23" x14ac:dyDescent="0.3">
      <c r="A308" s="19">
        <v>70210</v>
      </c>
      <c r="B308" s="59" t="s">
        <v>211</v>
      </c>
      <c r="C308" s="19">
        <v>2</v>
      </c>
      <c r="D308" s="19">
        <v>0</v>
      </c>
      <c r="E308" s="19">
        <v>23</v>
      </c>
      <c r="F308" s="19">
        <v>15</v>
      </c>
      <c r="G308" s="19">
        <v>0</v>
      </c>
      <c r="H308" s="19">
        <v>158</v>
      </c>
      <c r="I308" s="19">
        <v>0</v>
      </c>
      <c r="J308" s="19">
        <v>0</v>
      </c>
      <c r="K308" s="19">
        <v>0</v>
      </c>
      <c r="L308" s="19" t="s">
        <v>45</v>
      </c>
      <c r="M308" s="19" t="s">
        <v>204</v>
      </c>
      <c r="N308" s="19" t="s">
        <v>322</v>
      </c>
      <c r="O308" s="19" t="s">
        <v>45</v>
      </c>
      <c r="P308" s="19" t="s">
        <v>35</v>
      </c>
      <c r="Q308" s="19">
        <v>48</v>
      </c>
      <c r="R308" s="19">
        <v>4</v>
      </c>
      <c r="S308" s="19">
        <v>2</v>
      </c>
      <c r="T308" s="19">
        <v>110</v>
      </c>
      <c r="U308" s="19" t="s">
        <v>614</v>
      </c>
      <c r="V308" s="19">
        <v>0</v>
      </c>
      <c r="W308" s="19"/>
    </row>
    <row r="309" spans="1:23" x14ac:dyDescent="0.3">
      <c r="A309" s="19">
        <v>210702000</v>
      </c>
      <c r="B309" s="59" t="s">
        <v>392</v>
      </c>
      <c r="C309" s="19">
        <v>2</v>
      </c>
      <c r="D309" s="19">
        <v>0</v>
      </c>
      <c r="E309" s="19">
        <v>23</v>
      </c>
      <c r="F309" s="19">
        <v>15</v>
      </c>
      <c r="G309" s="19">
        <v>0</v>
      </c>
      <c r="H309" s="19">
        <v>168</v>
      </c>
      <c r="I309" s="19">
        <v>0</v>
      </c>
      <c r="J309" s="19">
        <v>0</v>
      </c>
      <c r="K309" s="19">
        <v>0</v>
      </c>
      <c r="L309" s="19" t="s">
        <v>45</v>
      </c>
      <c r="M309" s="19" t="s">
        <v>204</v>
      </c>
      <c r="N309" s="19" t="s">
        <v>322</v>
      </c>
      <c r="O309" s="19" t="s">
        <v>45</v>
      </c>
      <c r="P309" s="19" t="s">
        <v>35</v>
      </c>
      <c r="Q309" s="19">
        <v>36</v>
      </c>
      <c r="R309" s="19">
        <v>4</v>
      </c>
      <c r="S309" s="19">
        <v>2</v>
      </c>
      <c r="T309" s="19">
        <v>55</v>
      </c>
      <c r="U309" s="19" t="s">
        <v>614</v>
      </c>
      <c r="V309" s="19">
        <v>0</v>
      </c>
      <c r="W309" s="19"/>
    </row>
    <row r="310" spans="1:23" x14ac:dyDescent="0.3">
      <c r="A310" s="19">
        <v>70502</v>
      </c>
      <c r="B310" s="59" t="s">
        <v>216</v>
      </c>
      <c r="C310" s="19">
        <v>1</v>
      </c>
      <c r="D310" s="19">
        <v>0</v>
      </c>
      <c r="E310" s="19">
        <v>36</v>
      </c>
      <c r="F310" s="19">
        <v>0</v>
      </c>
      <c r="G310" s="19">
        <v>0</v>
      </c>
      <c r="H310" s="19">
        <v>0</v>
      </c>
      <c r="I310" s="19">
        <v>0</v>
      </c>
      <c r="J310" s="19">
        <v>241</v>
      </c>
      <c r="K310" s="19">
        <v>0</v>
      </c>
      <c r="L310" s="19" t="s">
        <v>45</v>
      </c>
      <c r="M310" s="19" t="s">
        <v>45</v>
      </c>
      <c r="N310" s="19" t="s">
        <v>45</v>
      </c>
      <c r="O310" s="19" t="s">
        <v>45</v>
      </c>
      <c r="P310" s="19" t="s">
        <v>35</v>
      </c>
      <c r="Q310" s="19">
        <v>62</v>
      </c>
      <c r="R310" s="19">
        <v>10</v>
      </c>
      <c r="S310" s="19">
        <v>7</v>
      </c>
      <c r="T310" s="19"/>
      <c r="U310" s="19"/>
      <c r="V310" s="19">
        <v>0</v>
      </c>
      <c r="W310" s="19"/>
    </row>
    <row r="311" spans="1:23" x14ac:dyDescent="0.3">
      <c r="A311" s="19">
        <v>70500</v>
      </c>
      <c r="B311" s="59" t="s">
        <v>217</v>
      </c>
      <c r="C311" s="19">
        <v>3</v>
      </c>
      <c r="D311" s="19">
        <v>0</v>
      </c>
      <c r="E311" s="19">
        <v>36</v>
      </c>
      <c r="F311" s="19">
        <v>0</v>
      </c>
      <c r="G311" s="19">
        <v>0</v>
      </c>
      <c r="H311" s="19">
        <v>0</v>
      </c>
      <c r="I311" s="19">
        <v>356</v>
      </c>
      <c r="J311" s="19">
        <v>0</v>
      </c>
      <c r="K311" s="19">
        <v>0</v>
      </c>
      <c r="L311" s="19" t="s">
        <v>45</v>
      </c>
      <c r="M311" s="19" t="s">
        <v>45</v>
      </c>
      <c r="N311" s="19" t="s">
        <v>322</v>
      </c>
      <c r="O311" s="19" t="s">
        <v>45</v>
      </c>
      <c r="P311" s="19" t="s">
        <v>35</v>
      </c>
      <c r="Q311" s="19">
        <v>62</v>
      </c>
      <c r="R311" s="19">
        <v>20</v>
      </c>
      <c r="S311" s="19">
        <v>7</v>
      </c>
      <c r="T311" s="19"/>
      <c r="U311" s="19"/>
      <c r="V311" s="19">
        <v>0</v>
      </c>
      <c r="W311" s="19"/>
    </row>
    <row r="312" spans="1:23" x14ac:dyDescent="0.3">
      <c r="A312" s="19">
        <v>70600</v>
      </c>
      <c r="B312" s="59" t="s">
        <v>805</v>
      </c>
      <c r="C312" s="19">
        <v>1</v>
      </c>
      <c r="D312" s="19">
        <v>0</v>
      </c>
      <c r="E312" s="19">
        <v>17</v>
      </c>
      <c r="F312" s="19">
        <v>13</v>
      </c>
      <c r="G312" s="19">
        <v>395</v>
      </c>
      <c r="H312" s="19">
        <v>0</v>
      </c>
      <c r="I312" s="19">
        <v>0</v>
      </c>
      <c r="J312" s="19">
        <v>0</v>
      </c>
      <c r="K312" s="19">
        <v>0</v>
      </c>
      <c r="L312" s="19" t="s">
        <v>432</v>
      </c>
      <c r="M312" s="19" t="s">
        <v>204</v>
      </c>
      <c r="N312" s="19" t="s">
        <v>45</v>
      </c>
      <c r="O312" s="19" t="s">
        <v>45</v>
      </c>
      <c r="P312" s="19" t="s">
        <v>35</v>
      </c>
      <c r="Q312" s="19">
        <v>24</v>
      </c>
      <c r="R312" s="19">
        <v>30</v>
      </c>
      <c r="S312" s="19">
        <v>3</v>
      </c>
      <c r="T312" s="19"/>
      <c r="U312" s="19"/>
      <c r="V312" s="19">
        <v>0</v>
      </c>
      <c r="W312" s="19"/>
    </row>
    <row r="313" spans="1:23" x14ac:dyDescent="0.3">
      <c r="A313" s="19">
        <v>70605</v>
      </c>
      <c r="B313" s="59" t="s">
        <v>806</v>
      </c>
      <c r="C313" s="19">
        <v>1</v>
      </c>
      <c r="D313" s="19">
        <v>0</v>
      </c>
      <c r="E313" s="19">
        <v>17</v>
      </c>
      <c r="F313" s="19">
        <v>13</v>
      </c>
      <c r="G313" s="19">
        <v>253</v>
      </c>
      <c r="H313" s="19">
        <v>0</v>
      </c>
      <c r="I313" s="19">
        <v>0</v>
      </c>
      <c r="J313" s="19">
        <v>0</v>
      </c>
      <c r="K313" s="19">
        <v>0</v>
      </c>
      <c r="L313" s="19" t="s">
        <v>432</v>
      </c>
      <c r="M313" s="19" t="s">
        <v>204</v>
      </c>
      <c r="N313" s="19" t="s">
        <v>45</v>
      </c>
      <c r="O313" s="19" t="s">
        <v>45</v>
      </c>
      <c r="P313" s="19" t="s">
        <v>35</v>
      </c>
      <c r="Q313" s="19">
        <v>24</v>
      </c>
      <c r="R313" s="19">
        <v>16.113499999999998</v>
      </c>
      <c r="S313" s="19">
        <v>3</v>
      </c>
      <c r="T313" s="19"/>
      <c r="U313" s="19"/>
      <c r="V313" s="19">
        <v>0</v>
      </c>
      <c r="W313" s="19"/>
    </row>
    <row r="314" spans="1:23" x14ac:dyDescent="0.3">
      <c r="A314" s="19">
        <v>70601</v>
      </c>
      <c r="B314" s="59" t="s">
        <v>218</v>
      </c>
      <c r="C314" s="19">
        <v>1</v>
      </c>
      <c r="D314" s="19">
        <v>0</v>
      </c>
      <c r="E314" s="19">
        <v>17</v>
      </c>
      <c r="F314" s="19">
        <v>13</v>
      </c>
      <c r="G314" s="19">
        <v>410</v>
      </c>
      <c r="H314" s="19">
        <v>0</v>
      </c>
      <c r="I314" s="19">
        <v>0</v>
      </c>
      <c r="J314" s="19">
        <v>0</v>
      </c>
      <c r="K314" s="19">
        <v>0</v>
      </c>
      <c r="L314" s="19" t="s">
        <v>432</v>
      </c>
      <c r="M314" s="19" t="s">
        <v>204</v>
      </c>
      <c r="N314" s="19" t="s">
        <v>45</v>
      </c>
      <c r="O314" s="19" t="s">
        <v>45</v>
      </c>
      <c r="P314" s="19" t="s">
        <v>35</v>
      </c>
      <c r="Q314" s="19">
        <v>24</v>
      </c>
      <c r="R314" s="19">
        <v>30</v>
      </c>
      <c r="S314" s="19">
        <v>7</v>
      </c>
      <c r="T314" s="19"/>
      <c r="U314" s="19"/>
      <c r="V314" s="19">
        <v>0</v>
      </c>
      <c r="W314" s="19"/>
    </row>
    <row r="315" spans="1:23" x14ac:dyDescent="0.3">
      <c r="A315" s="19">
        <v>70606</v>
      </c>
      <c r="B315" s="59" t="s">
        <v>804</v>
      </c>
      <c r="C315" s="19">
        <v>1</v>
      </c>
      <c r="D315" s="19">
        <v>0</v>
      </c>
      <c r="E315" s="19">
        <v>17</v>
      </c>
      <c r="F315" s="19">
        <v>13</v>
      </c>
      <c r="G315" s="19">
        <v>263</v>
      </c>
      <c r="H315" s="19">
        <v>0</v>
      </c>
      <c r="I315" s="19">
        <v>0</v>
      </c>
      <c r="J315" s="19">
        <v>0</v>
      </c>
      <c r="K315" s="19">
        <v>0</v>
      </c>
      <c r="L315" s="19" t="s">
        <v>432</v>
      </c>
      <c r="M315" s="19" t="s">
        <v>204</v>
      </c>
      <c r="N315" s="19" t="s">
        <v>45</v>
      </c>
      <c r="O315" s="19" t="s">
        <v>45</v>
      </c>
      <c r="P315" s="19" t="s">
        <v>35</v>
      </c>
      <c r="Q315" s="19">
        <v>24</v>
      </c>
      <c r="R315" s="19">
        <v>16.113499999999998</v>
      </c>
      <c r="S315" s="19">
        <v>3</v>
      </c>
      <c r="T315" s="19"/>
      <c r="U315" s="19"/>
      <c r="V315" s="19">
        <v>0</v>
      </c>
      <c r="W315" s="19"/>
    </row>
    <row r="316" spans="1:23" x14ac:dyDescent="0.3">
      <c r="A316" s="19">
        <v>70800</v>
      </c>
      <c r="B316" s="59" t="s">
        <v>219</v>
      </c>
      <c r="C316" s="19">
        <v>1</v>
      </c>
      <c r="D316" s="19">
        <v>0</v>
      </c>
      <c r="E316" s="19">
        <v>24</v>
      </c>
      <c r="F316" s="19">
        <v>16</v>
      </c>
      <c r="G316" s="19">
        <v>628</v>
      </c>
      <c r="H316" s="19">
        <v>0</v>
      </c>
      <c r="I316" s="19">
        <v>0</v>
      </c>
      <c r="J316" s="19">
        <v>0</v>
      </c>
      <c r="K316" s="19">
        <v>0</v>
      </c>
      <c r="L316" s="19" t="s">
        <v>432</v>
      </c>
      <c r="M316" s="19" t="s">
        <v>204</v>
      </c>
      <c r="N316" s="19" t="s">
        <v>45</v>
      </c>
      <c r="O316" s="19" t="s">
        <v>45</v>
      </c>
      <c r="P316" s="19" t="s">
        <v>35</v>
      </c>
      <c r="Q316" s="19">
        <v>34</v>
      </c>
      <c r="R316" s="19">
        <v>45</v>
      </c>
      <c r="S316" s="19">
        <v>7</v>
      </c>
      <c r="T316" s="19"/>
      <c r="U316" s="19"/>
      <c r="V316" s="19">
        <v>0</v>
      </c>
      <c r="W316" s="19"/>
    </row>
    <row r="317" spans="1:23" x14ac:dyDescent="0.3">
      <c r="A317" s="19">
        <v>70900</v>
      </c>
      <c r="B317" s="59" t="s">
        <v>220</v>
      </c>
      <c r="C317" s="19">
        <v>1</v>
      </c>
      <c r="D317" s="19">
        <v>0</v>
      </c>
      <c r="E317" s="19">
        <v>28</v>
      </c>
      <c r="F317" s="19">
        <v>17</v>
      </c>
      <c r="G317" s="19">
        <v>320</v>
      </c>
      <c r="H317" s="19">
        <v>0</v>
      </c>
      <c r="I317" s="19">
        <v>0</v>
      </c>
      <c r="J317" s="19">
        <v>0</v>
      </c>
      <c r="K317" s="19">
        <v>0</v>
      </c>
      <c r="L317" s="19" t="s">
        <v>432</v>
      </c>
      <c r="M317" s="19" t="s">
        <v>204</v>
      </c>
      <c r="N317" s="19" t="s">
        <v>322</v>
      </c>
      <c r="O317" s="19" t="s">
        <v>45</v>
      </c>
      <c r="P317" s="19" t="s">
        <v>35</v>
      </c>
      <c r="Q317" s="19">
        <v>50</v>
      </c>
      <c r="R317" s="19">
        <v>16.113499999999998</v>
      </c>
      <c r="S317" s="19">
        <v>7</v>
      </c>
      <c r="T317" s="19"/>
      <c r="U317" s="19"/>
      <c r="V317" s="19">
        <v>0</v>
      </c>
      <c r="W317" s="19"/>
    </row>
    <row r="318" spans="1:23" x14ac:dyDescent="0.3">
      <c r="A318" s="19">
        <v>210700000</v>
      </c>
      <c r="B318" s="59" t="s">
        <v>605</v>
      </c>
      <c r="C318" s="19">
        <v>1</v>
      </c>
      <c r="D318" s="19">
        <v>0</v>
      </c>
      <c r="E318" s="19">
        <v>0</v>
      </c>
      <c r="F318" s="19">
        <v>49</v>
      </c>
      <c r="G318" s="19">
        <v>0</v>
      </c>
      <c r="H318" s="19">
        <v>0</v>
      </c>
      <c r="I318" s="19">
        <v>325</v>
      </c>
      <c r="J318" s="19">
        <v>210</v>
      </c>
      <c r="K318" s="19">
        <v>0</v>
      </c>
      <c r="L318" s="19" t="s">
        <v>45</v>
      </c>
      <c r="M318" s="19" t="s">
        <v>204</v>
      </c>
      <c r="N318" s="19" t="s">
        <v>45</v>
      </c>
      <c r="O318" s="19" t="s">
        <v>311</v>
      </c>
      <c r="P318" s="19" t="s">
        <v>35</v>
      </c>
      <c r="Q318" s="19">
        <v>46</v>
      </c>
      <c r="R318" s="19">
        <v>25</v>
      </c>
      <c r="S318" s="19">
        <v>7</v>
      </c>
      <c r="T318" s="19"/>
      <c r="U318" s="19"/>
      <c r="V318" s="19">
        <v>0</v>
      </c>
      <c r="W318" s="19"/>
    </row>
    <row r="319" spans="1:23" x14ac:dyDescent="0.3">
      <c r="A319" s="19">
        <v>210700001</v>
      </c>
      <c r="B319" s="59" t="s">
        <v>604</v>
      </c>
      <c r="C319" s="19">
        <v>6</v>
      </c>
      <c r="D319" s="19">
        <v>0</v>
      </c>
      <c r="E319" s="19">
        <v>0</v>
      </c>
      <c r="F319" s="19">
        <v>49</v>
      </c>
      <c r="G319" s="19">
        <v>0</v>
      </c>
      <c r="H319" s="19">
        <v>0</v>
      </c>
      <c r="I319" s="19">
        <v>50</v>
      </c>
      <c r="J319" s="19">
        <v>20</v>
      </c>
      <c r="K319" s="19">
        <v>0</v>
      </c>
      <c r="L319" s="19" t="s">
        <v>45</v>
      </c>
      <c r="M319" s="19" t="s">
        <v>204</v>
      </c>
      <c r="N319" s="19" t="s">
        <v>45</v>
      </c>
      <c r="O319" s="19" t="s">
        <v>311</v>
      </c>
      <c r="P319" s="19" t="s">
        <v>35</v>
      </c>
      <c r="Q319" s="19">
        <v>46</v>
      </c>
      <c r="R319" s="19">
        <v>2</v>
      </c>
      <c r="S319" s="19">
        <v>3</v>
      </c>
      <c r="T319" s="19"/>
      <c r="U319" s="19"/>
      <c r="V319" s="19">
        <v>0</v>
      </c>
      <c r="W319" s="19"/>
    </row>
    <row r="320" spans="1:23" x14ac:dyDescent="0.3">
      <c r="A320" s="19">
        <v>210701000</v>
      </c>
      <c r="B320" s="59" t="s">
        <v>607</v>
      </c>
      <c r="C320" s="19">
        <v>1</v>
      </c>
      <c r="D320" s="19">
        <v>0</v>
      </c>
      <c r="E320" s="19">
        <v>0</v>
      </c>
      <c r="F320" s="19">
        <v>53</v>
      </c>
      <c r="G320" s="19">
        <v>280</v>
      </c>
      <c r="H320" s="19">
        <v>0</v>
      </c>
      <c r="I320" s="19">
        <v>220</v>
      </c>
      <c r="J320" s="19">
        <v>280</v>
      </c>
      <c r="K320" s="19">
        <v>0</v>
      </c>
      <c r="L320" s="19" t="s">
        <v>432</v>
      </c>
      <c r="M320" s="19" t="s">
        <v>204</v>
      </c>
      <c r="N320" s="19" t="s">
        <v>45</v>
      </c>
      <c r="O320" s="19" t="s">
        <v>45</v>
      </c>
      <c r="P320" s="19" t="s">
        <v>35</v>
      </c>
      <c r="Q320" s="19">
        <v>43</v>
      </c>
      <c r="R320" s="19">
        <v>30</v>
      </c>
      <c r="S320" s="19">
        <v>4</v>
      </c>
      <c r="T320" s="19"/>
      <c r="U320" s="19"/>
      <c r="V320" s="19">
        <v>0</v>
      </c>
      <c r="W320" s="19"/>
    </row>
  </sheetData>
  <autoFilter ref="A1:Y320" xr:uid="{00000000-0001-0000-0100-000000000000}"/>
  <phoneticPr fontId="11" type="noConversion"/>
  <conditionalFormatting sqref="A2:A320">
    <cfRule type="duplicateValues" dxfId="2" priority="119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1E8EE-5DEE-49CA-90B6-BF82C2663B68}">
  <dimension ref="A1:U167"/>
  <sheetViews>
    <sheetView zoomScale="70" zoomScaleNormal="70" workbookViewId="0">
      <pane xSplit="1" ySplit="1" topLeftCell="B17" activePane="bottomRight" state="frozen"/>
      <selection pane="topRight" activeCell="B1" sqref="B1"/>
      <selection pane="bottomLeft" activeCell="A2" sqref="A2"/>
      <selection pane="bottomRight" activeCell="G19" sqref="G19"/>
    </sheetView>
  </sheetViews>
  <sheetFormatPr defaultColWidth="20.765625" defaultRowHeight="16.3" x14ac:dyDescent="0.3"/>
  <cols>
    <col min="1" max="1" width="27.4609375" style="15" customWidth="1"/>
    <col min="2" max="2" width="15" style="15" customWidth="1"/>
    <col min="3" max="6" width="11.3046875" style="79" customWidth="1"/>
    <col min="7" max="9" width="11.69140625" style="15" customWidth="1"/>
    <col min="10" max="21" width="13.3828125" style="15" customWidth="1"/>
    <col min="22" max="22" width="11.07421875" style="15" customWidth="1"/>
    <col min="23" max="16384" width="20.765625" style="15"/>
  </cols>
  <sheetData>
    <row r="1" spans="1:21" ht="32.6" x14ac:dyDescent="0.3">
      <c r="A1" s="78"/>
      <c r="B1" s="12" t="s">
        <v>832</v>
      </c>
      <c r="C1" s="12" t="s">
        <v>745</v>
      </c>
      <c r="D1" s="12" t="s">
        <v>925</v>
      </c>
      <c r="E1" s="12" t="s">
        <v>746</v>
      </c>
      <c r="F1" s="12" t="s">
        <v>933</v>
      </c>
      <c r="G1" s="143" t="s">
        <v>743</v>
      </c>
      <c r="H1" s="144"/>
      <c r="I1" s="145"/>
      <c r="J1" s="143" t="s">
        <v>744</v>
      </c>
      <c r="K1" s="144"/>
      <c r="L1" s="144"/>
      <c r="M1" s="144"/>
      <c r="N1" s="144"/>
      <c r="O1" s="145"/>
      <c r="P1" s="143" t="s">
        <v>709</v>
      </c>
      <c r="Q1" s="144"/>
      <c r="R1" s="144"/>
      <c r="S1" s="144"/>
      <c r="T1" s="144"/>
      <c r="U1" s="145"/>
    </row>
    <row r="2" spans="1:21" x14ac:dyDescent="0.3">
      <c r="A2" s="69" t="s">
        <v>449</v>
      </c>
      <c r="B2" s="69" t="s">
        <v>499</v>
      </c>
      <c r="C2" s="69">
        <v>7</v>
      </c>
      <c r="D2" s="69">
        <v>7</v>
      </c>
      <c r="E2" s="69"/>
      <c r="F2" s="69"/>
      <c r="G2" s="69"/>
      <c r="H2" s="69"/>
      <c r="I2" s="69"/>
      <c r="J2" s="69">
        <v>40000</v>
      </c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</row>
    <row r="3" spans="1:21" x14ac:dyDescent="0.3">
      <c r="A3" s="69" t="s">
        <v>450</v>
      </c>
      <c r="B3" s="69" t="s">
        <v>499</v>
      </c>
      <c r="C3" s="69">
        <v>5</v>
      </c>
      <c r="D3" s="69">
        <v>5</v>
      </c>
      <c r="E3" s="69"/>
      <c r="F3" s="69"/>
      <c r="G3" s="69"/>
      <c r="H3" s="69"/>
      <c r="I3" s="69"/>
      <c r="J3" s="69">
        <v>40100</v>
      </c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</row>
    <row r="4" spans="1:21" x14ac:dyDescent="0.3">
      <c r="A4" s="69" t="s">
        <v>29</v>
      </c>
      <c r="B4" s="69" t="s">
        <v>499</v>
      </c>
      <c r="C4" s="69">
        <v>12</v>
      </c>
      <c r="D4" s="69">
        <v>12</v>
      </c>
      <c r="E4" s="69"/>
      <c r="F4" s="69"/>
      <c r="G4" s="69"/>
      <c r="H4" s="69"/>
      <c r="I4" s="69"/>
      <c r="J4" s="69">
        <v>40010</v>
      </c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</row>
    <row r="5" spans="1:21" x14ac:dyDescent="0.3">
      <c r="A5" s="69" t="s">
        <v>30</v>
      </c>
      <c r="B5" s="69" t="s">
        <v>499</v>
      </c>
      <c r="C5" s="69">
        <v>17</v>
      </c>
      <c r="D5" s="69">
        <v>17</v>
      </c>
      <c r="E5" s="69"/>
      <c r="F5" s="69">
        <v>1</v>
      </c>
      <c r="G5" s="69"/>
      <c r="H5" s="69"/>
      <c r="I5" s="69"/>
      <c r="J5" s="69">
        <v>40200</v>
      </c>
      <c r="K5" s="69"/>
      <c r="L5" s="69"/>
      <c r="M5" s="69"/>
      <c r="N5" s="69"/>
      <c r="O5" s="69"/>
      <c r="P5" s="69">
        <v>40201</v>
      </c>
      <c r="Q5" s="69"/>
      <c r="R5" s="69"/>
      <c r="S5" s="69"/>
      <c r="T5" s="69"/>
      <c r="U5" s="69"/>
    </row>
    <row r="6" spans="1:21" x14ac:dyDescent="0.3">
      <c r="A6" s="69" t="s">
        <v>32</v>
      </c>
      <c r="B6" s="69" t="s">
        <v>499</v>
      </c>
      <c r="C6" s="69">
        <v>24</v>
      </c>
      <c r="D6" s="69">
        <v>24</v>
      </c>
      <c r="E6" s="69"/>
      <c r="F6" s="69">
        <v>1</v>
      </c>
      <c r="G6" s="69"/>
      <c r="H6" s="69"/>
      <c r="I6" s="69"/>
      <c r="J6" s="69">
        <v>40210</v>
      </c>
      <c r="K6" s="69"/>
      <c r="L6" s="69"/>
      <c r="M6" s="69"/>
      <c r="N6" s="69"/>
      <c r="O6" s="69"/>
      <c r="P6" s="69">
        <v>40211</v>
      </c>
      <c r="Q6" s="69"/>
      <c r="R6" s="69"/>
      <c r="S6" s="69"/>
      <c r="T6" s="69"/>
      <c r="U6" s="69"/>
    </row>
    <row r="7" spans="1:21" x14ac:dyDescent="0.3">
      <c r="A7" s="69" t="s">
        <v>34</v>
      </c>
      <c r="B7" s="69" t="s">
        <v>499</v>
      </c>
      <c r="C7" s="69">
        <v>14</v>
      </c>
      <c r="D7" s="69">
        <v>14</v>
      </c>
      <c r="E7" s="69"/>
      <c r="F7" s="69">
        <v>1</v>
      </c>
      <c r="G7" s="69"/>
      <c r="H7" s="69"/>
      <c r="I7" s="69"/>
      <c r="J7" s="69">
        <v>40300</v>
      </c>
      <c r="K7" s="69"/>
      <c r="L7" s="69"/>
      <c r="M7" s="69"/>
      <c r="N7" s="69"/>
      <c r="O7" s="69"/>
      <c r="P7" s="69">
        <v>40301</v>
      </c>
      <c r="Q7" s="69"/>
      <c r="R7" s="69"/>
      <c r="S7" s="69"/>
      <c r="T7" s="69"/>
      <c r="U7" s="69"/>
    </row>
    <row r="8" spans="1:21" x14ac:dyDescent="0.3">
      <c r="A8" s="69" t="s">
        <v>736</v>
      </c>
      <c r="B8" s="69" t="s">
        <v>499</v>
      </c>
      <c r="C8" s="69">
        <v>12</v>
      </c>
      <c r="D8" s="69">
        <v>12</v>
      </c>
      <c r="E8" s="69"/>
      <c r="F8" s="69">
        <v>1</v>
      </c>
      <c r="G8" s="69"/>
      <c r="H8" s="69"/>
      <c r="I8" s="69"/>
      <c r="J8" s="69">
        <v>40400</v>
      </c>
      <c r="K8" s="69">
        <v>40401</v>
      </c>
      <c r="L8" s="69">
        <v>40402</v>
      </c>
      <c r="M8" s="69"/>
      <c r="N8" s="69"/>
      <c r="O8" s="69"/>
      <c r="P8" s="69">
        <v>40405</v>
      </c>
      <c r="Q8" s="69">
        <v>40406</v>
      </c>
      <c r="R8" s="69">
        <v>40407</v>
      </c>
      <c r="S8" s="69"/>
      <c r="T8" s="69"/>
      <c r="U8" s="69"/>
    </row>
    <row r="9" spans="1:21" x14ac:dyDescent="0.3">
      <c r="A9" s="69" t="s">
        <v>737</v>
      </c>
      <c r="B9" s="69" t="s">
        <v>499</v>
      </c>
      <c r="C9" s="69">
        <v>23</v>
      </c>
      <c r="D9" s="69">
        <v>23</v>
      </c>
      <c r="E9" s="69"/>
      <c r="F9" s="69">
        <v>1</v>
      </c>
      <c r="G9" s="69"/>
      <c r="H9" s="69"/>
      <c r="I9" s="69"/>
      <c r="J9" s="69">
        <v>40500</v>
      </c>
      <c r="K9" s="69">
        <v>40501</v>
      </c>
      <c r="L9" s="69">
        <v>40502</v>
      </c>
      <c r="M9" s="69">
        <v>40503</v>
      </c>
      <c r="N9" s="69">
        <v>40504</v>
      </c>
      <c r="O9" s="69">
        <v>40505</v>
      </c>
      <c r="P9" s="69">
        <v>40510</v>
      </c>
      <c r="Q9" s="69">
        <v>40511</v>
      </c>
      <c r="R9" s="69">
        <v>40512</v>
      </c>
      <c r="S9" s="69">
        <v>40513</v>
      </c>
      <c r="T9" s="69">
        <v>40514</v>
      </c>
      <c r="U9" s="69">
        <v>40515</v>
      </c>
    </row>
    <row r="10" spans="1:21" x14ac:dyDescent="0.3">
      <c r="A10" s="69" t="s">
        <v>63</v>
      </c>
      <c r="B10" s="69" t="s">
        <v>499</v>
      </c>
      <c r="C10" s="69">
        <v>9</v>
      </c>
      <c r="D10" s="69">
        <v>9</v>
      </c>
      <c r="E10" s="69"/>
      <c r="F10" s="69"/>
      <c r="G10" s="69"/>
      <c r="H10" s="69"/>
      <c r="I10" s="69"/>
      <c r="J10" s="19">
        <v>40070</v>
      </c>
      <c r="K10" s="69"/>
      <c r="L10" s="69"/>
      <c r="M10" s="69"/>
      <c r="N10" s="69"/>
      <c r="O10" s="69"/>
      <c r="P10" s="69" t="s">
        <v>934</v>
      </c>
      <c r="Q10" s="69"/>
      <c r="R10" s="69"/>
      <c r="S10" s="69"/>
      <c r="T10" s="69"/>
      <c r="U10" s="69"/>
    </row>
    <row r="11" spans="1:21" x14ac:dyDescent="0.3">
      <c r="A11" s="69" t="s">
        <v>62</v>
      </c>
      <c r="B11" s="69" t="s">
        <v>499</v>
      </c>
      <c r="C11" s="69">
        <v>14</v>
      </c>
      <c r="D11" s="69">
        <v>14</v>
      </c>
      <c r="E11" s="69">
        <v>2</v>
      </c>
      <c r="F11" s="69">
        <v>1</v>
      </c>
      <c r="G11" s="69">
        <v>40600</v>
      </c>
      <c r="H11" s="69"/>
      <c r="I11" s="69"/>
      <c r="J11" s="69">
        <v>40600</v>
      </c>
      <c r="K11" s="69"/>
      <c r="L11" s="69"/>
      <c r="M11" s="69"/>
      <c r="N11" s="69"/>
      <c r="O11" s="69"/>
      <c r="P11" s="69">
        <v>40600</v>
      </c>
      <c r="Q11" s="69"/>
      <c r="R11" s="69"/>
      <c r="S11" s="69"/>
      <c r="T11" s="69"/>
      <c r="U11" s="69"/>
    </row>
    <row r="12" spans="1:21" x14ac:dyDescent="0.3">
      <c r="A12" s="69" t="s">
        <v>66</v>
      </c>
      <c r="B12" s="69" t="s">
        <v>499</v>
      </c>
      <c r="C12" s="69">
        <v>14</v>
      </c>
      <c r="D12" s="69">
        <v>14</v>
      </c>
      <c r="E12" s="69"/>
      <c r="F12" s="69">
        <v>1</v>
      </c>
      <c r="G12" s="69"/>
      <c r="H12" s="69"/>
      <c r="I12" s="69"/>
      <c r="J12" s="69">
        <v>40900</v>
      </c>
      <c r="K12" s="69"/>
      <c r="L12" s="69"/>
      <c r="M12" s="69"/>
      <c r="N12" s="69"/>
      <c r="O12" s="69"/>
      <c r="P12" s="69">
        <v>40905</v>
      </c>
      <c r="Q12" s="69"/>
      <c r="R12" s="69"/>
      <c r="S12" s="69"/>
      <c r="T12" s="69"/>
      <c r="U12" s="69"/>
    </row>
    <row r="13" spans="1:21" x14ac:dyDescent="0.3">
      <c r="A13" s="69" t="s">
        <v>64</v>
      </c>
      <c r="B13" s="69" t="s">
        <v>499</v>
      </c>
      <c r="C13" s="69">
        <v>38</v>
      </c>
      <c r="D13" s="69">
        <v>38</v>
      </c>
      <c r="E13" s="69"/>
      <c r="F13" s="69">
        <v>1</v>
      </c>
      <c r="G13" s="69"/>
      <c r="H13" s="69"/>
      <c r="I13" s="69"/>
      <c r="J13" s="69">
        <v>40801</v>
      </c>
      <c r="K13" s="69"/>
      <c r="L13" s="69"/>
      <c r="M13" s="69"/>
      <c r="N13" s="69"/>
      <c r="O13" s="69"/>
      <c r="P13" s="69">
        <v>40806</v>
      </c>
      <c r="Q13" s="69"/>
      <c r="R13" s="69"/>
      <c r="S13" s="69"/>
      <c r="T13" s="69"/>
      <c r="U13" s="69"/>
    </row>
    <row r="14" spans="1:21" x14ac:dyDescent="0.3">
      <c r="A14" s="69" t="s">
        <v>751</v>
      </c>
      <c r="B14" s="69" t="s">
        <v>499</v>
      </c>
      <c r="C14" s="69">
        <v>22</v>
      </c>
      <c r="D14" s="69">
        <v>22</v>
      </c>
      <c r="E14" s="69"/>
      <c r="F14" s="69"/>
      <c r="G14" s="69"/>
      <c r="H14" s="69"/>
      <c r="I14" s="69"/>
      <c r="J14" s="69">
        <v>41200</v>
      </c>
      <c r="K14" s="69"/>
      <c r="L14" s="69"/>
      <c r="M14" s="69"/>
      <c r="N14" s="69"/>
      <c r="O14" s="69"/>
      <c r="P14" s="69" t="s">
        <v>934</v>
      </c>
      <c r="Q14" s="69"/>
      <c r="R14" s="69"/>
      <c r="S14" s="69"/>
      <c r="T14" s="69"/>
      <c r="U14" s="69"/>
    </row>
    <row r="15" spans="1:21" x14ac:dyDescent="0.3">
      <c r="A15" s="19" t="s">
        <v>72</v>
      </c>
      <c r="B15" s="69" t="s">
        <v>499</v>
      </c>
      <c r="C15" s="69">
        <v>22</v>
      </c>
      <c r="D15" s="69">
        <v>22</v>
      </c>
      <c r="E15" s="69"/>
      <c r="F15" s="69"/>
      <c r="G15" s="69"/>
      <c r="H15" s="69"/>
      <c r="I15" s="69"/>
      <c r="J15" s="69">
        <v>41205</v>
      </c>
      <c r="K15" s="69"/>
      <c r="L15" s="69"/>
      <c r="M15" s="69"/>
      <c r="N15" s="69"/>
      <c r="O15" s="69"/>
      <c r="P15" s="69" t="s">
        <v>934</v>
      </c>
      <c r="Q15" s="69"/>
      <c r="R15" s="69"/>
      <c r="S15" s="69"/>
      <c r="T15" s="69"/>
      <c r="U15" s="69"/>
    </row>
    <row r="16" spans="1:21" x14ac:dyDescent="0.3">
      <c r="A16" s="69" t="s">
        <v>756</v>
      </c>
      <c r="B16" s="69" t="s">
        <v>499</v>
      </c>
      <c r="C16" s="69">
        <v>10</v>
      </c>
      <c r="D16" s="69">
        <v>10</v>
      </c>
      <c r="E16" s="69"/>
      <c r="F16" s="69"/>
      <c r="G16" s="69"/>
      <c r="H16" s="69"/>
      <c r="I16" s="69"/>
      <c r="J16" s="19">
        <v>41003</v>
      </c>
      <c r="K16" s="19">
        <v>41002</v>
      </c>
      <c r="L16" s="19">
        <v>41000</v>
      </c>
      <c r="M16" s="69"/>
      <c r="N16" s="69"/>
      <c r="O16" s="69"/>
      <c r="P16" s="69"/>
      <c r="Q16" s="69"/>
      <c r="R16" s="69"/>
      <c r="S16" s="69"/>
      <c r="T16" s="69"/>
      <c r="U16" s="69"/>
    </row>
    <row r="17" spans="1:21" x14ac:dyDescent="0.3">
      <c r="A17" s="69" t="s">
        <v>757</v>
      </c>
      <c r="B17" s="69" t="s">
        <v>499</v>
      </c>
      <c r="C17" s="69">
        <v>10</v>
      </c>
      <c r="D17" s="69">
        <v>10</v>
      </c>
      <c r="E17" s="69"/>
      <c r="F17" s="69"/>
      <c r="G17" s="69"/>
      <c r="H17" s="69"/>
      <c r="I17" s="69"/>
      <c r="J17" s="19">
        <v>41003</v>
      </c>
      <c r="K17" s="19">
        <v>41001</v>
      </c>
      <c r="L17" s="19"/>
      <c r="M17" s="69"/>
      <c r="N17" s="69"/>
      <c r="O17" s="69"/>
      <c r="P17" s="69"/>
      <c r="Q17" s="69"/>
      <c r="R17" s="69"/>
      <c r="S17" s="69"/>
      <c r="T17" s="69"/>
      <c r="U17" s="69"/>
    </row>
    <row r="18" spans="1:21" x14ac:dyDescent="0.3">
      <c r="A18" s="69" t="s">
        <v>710</v>
      </c>
      <c r="B18" s="69" t="s">
        <v>499</v>
      </c>
      <c r="C18" s="69">
        <v>22</v>
      </c>
      <c r="D18" s="69">
        <v>22</v>
      </c>
      <c r="E18" s="69">
        <v>5</v>
      </c>
      <c r="F18" s="69">
        <v>1</v>
      </c>
      <c r="G18" s="69">
        <v>41100</v>
      </c>
      <c r="H18" s="69"/>
      <c r="I18" s="69"/>
      <c r="J18" s="69">
        <v>41100</v>
      </c>
      <c r="K18" s="69">
        <v>41101</v>
      </c>
      <c r="L18" s="69"/>
      <c r="M18" s="69"/>
      <c r="N18" s="69"/>
      <c r="O18" s="69"/>
      <c r="P18" s="69">
        <v>41100</v>
      </c>
      <c r="Q18" s="69">
        <v>41101</v>
      </c>
      <c r="R18" s="69"/>
      <c r="S18" s="69"/>
      <c r="T18" s="69"/>
      <c r="U18" s="69"/>
    </row>
    <row r="19" spans="1:21" x14ac:dyDescent="0.3">
      <c r="A19" s="69" t="s">
        <v>738</v>
      </c>
      <c r="B19" s="69" t="s">
        <v>499</v>
      </c>
      <c r="C19" s="69">
        <v>40</v>
      </c>
      <c r="D19" s="69">
        <v>40</v>
      </c>
      <c r="E19" s="69">
        <v>10</v>
      </c>
      <c r="F19" s="69">
        <v>1</v>
      </c>
      <c r="G19" s="69">
        <v>42002</v>
      </c>
      <c r="H19" s="69">
        <v>42001</v>
      </c>
      <c r="I19" s="69">
        <v>42003</v>
      </c>
      <c r="J19" s="69">
        <v>42000</v>
      </c>
      <c r="K19" s="69">
        <v>42002</v>
      </c>
      <c r="L19" s="69">
        <v>42001</v>
      </c>
      <c r="M19" s="69">
        <v>42003</v>
      </c>
      <c r="N19" s="69">
        <v>42004</v>
      </c>
      <c r="O19" s="69"/>
      <c r="P19" s="69">
        <v>42000</v>
      </c>
      <c r="Q19" s="69">
        <v>42002</v>
      </c>
      <c r="R19" s="69">
        <v>42001</v>
      </c>
      <c r="S19" s="69">
        <v>42003</v>
      </c>
      <c r="T19" s="69">
        <v>42004</v>
      </c>
      <c r="U19" s="69"/>
    </row>
    <row r="20" spans="1:21" x14ac:dyDescent="0.3">
      <c r="A20" s="69" t="s">
        <v>739</v>
      </c>
      <c r="B20" s="69" t="s">
        <v>499</v>
      </c>
      <c r="C20" s="69">
        <v>32</v>
      </c>
      <c r="D20" s="69">
        <v>32</v>
      </c>
      <c r="E20" s="69"/>
      <c r="F20" s="69">
        <v>1</v>
      </c>
      <c r="G20" s="69"/>
      <c r="H20" s="69"/>
      <c r="I20" s="69"/>
      <c r="J20" s="69">
        <v>42200</v>
      </c>
      <c r="K20" s="69">
        <v>42202</v>
      </c>
      <c r="L20" s="69">
        <v>42204</v>
      </c>
      <c r="M20" s="69">
        <v>42206</v>
      </c>
      <c r="N20" s="69"/>
      <c r="O20" s="69"/>
      <c r="P20" s="69">
        <v>42210</v>
      </c>
      <c r="Q20" s="69">
        <v>42212</v>
      </c>
      <c r="R20" s="69">
        <v>42214</v>
      </c>
      <c r="S20" s="69">
        <v>42216</v>
      </c>
      <c r="T20" s="69"/>
      <c r="U20" s="69"/>
    </row>
    <row r="21" spans="1:21" x14ac:dyDescent="0.3">
      <c r="A21" s="69" t="s">
        <v>74</v>
      </c>
      <c r="B21" s="69" t="s">
        <v>499</v>
      </c>
      <c r="C21" s="69">
        <v>27</v>
      </c>
      <c r="D21" s="69">
        <v>27</v>
      </c>
      <c r="E21" s="69"/>
      <c r="F21" s="69">
        <v>1</v>
      </c>
      <c r="G21" s="69"/>
      <c r="H21" s="69"/>
      <c r="I21" s="69"/>
      <c r="J21" s="69">
        <v>42100</v>
      </c>
      <c r="K21" s="69"/>
      <c r="L21" s="69"/>
      <c r="M21" s="69"/>
      <c r="N21" s="69"/>
      <c r="O21" s="69"/>
      <c r="P21" s="69">
        <v>42105</v>
      </c>
      <c r="Q21" s="69"/>
      <c r="R21" s="69"/>
      <c r="S21" s="69"/>
      <c r="T21" s="69"/>
      <c r="U21" s="69"/>
    </row>
    <row r="22" spans="1:21" x14ac:dyDescent="0.3">
      <c r="A22" s="69" t="s">
        <v>90</v>
      </c>
      <c r="B22" s="69" t="s">
        <v>499</v>
      </c>
      <c r="C22" s="69">
        <v>12</v>
      </c>
      <c r="D22" s="69">
        <v>12</v>
      </c>
      <c r="E22" s="69"/>
      <c r="F22" s="69">
        <v>1</v>
      </c>
      <c r="G22" s="69"/>
      <c r="H22" s="69"/>
      <c r="I22" s="69"/>
      <c r="J22" s="69">
        <v>43900</v>
      </c>
      <c r="K22" s="69"/>
      <c r="L22" s="69"/>
      <c r="M22" s="69"/>
      <c r="N22" s="69"/>
      <c r="O22" s="69"/>
      <c r="P22" s="69">
        <v>43905</v>
      </c>
      <c r="Q22" s="69"/>
      <c r="R22" s="69"/>
      <c r="S22" s="69"/>
      <c r="T22" s="69"/>
      <c r="U22" s="69"/>
    </row>
    <row r="23" spans="1:21" x14ac:dyDescent="0.3">
      <c r="A23" s="69" t="s">
        <v>320</v>
      </c>
      <c r="B23" s="69" t="s">
        <v>499</v>
      </c>
      <c r="C23" s="69">
        <v>19</v>
      </c>
      <c r="D23" s="69">
        <v>19</v>
      </c>
      <c r="E23" s="69"/>
      <c r="F23" s="69">
        <v>1</v>
      </c>
      <c r="G23" s="69"/>
      <c r="H23" s="69"/>
      <c r="I23" s="69"/>
      <c r="J23" s="69">
        <v>210431000</v>
      </c>
      <c r="K23" s="69"/>
      <c r="L23" s="69"/>
      <c r="M23" s="69"/>
      <c r="N23" s="69"/>
      <c r="O23" s="69"/>
      <c r="P23" s="69">
        <v>210431050</v>
      </c>
      <c r="Q23" s="69"/>
      <c r="R23" s="69"/>
      <c r="S23" s="69"/>
      <c r="T23" s="69"/>
      <c r="U23" s="69"/>
    </row>
    <row r="24" spans="1:21" x14ac:dyDescent="0.3">
      <c r="A24" s="69" t="s">
        <v>77</v>
      </c>
      <c r="B24" s="69" t="s">
        <v>499</v>
      </c>
      <c r="C24" s="69">
        <v>18</v>
      </c>
      <c r="D24" s="69">
        <v>18</v>
      </c>
      <c r="E24" s="69"/>
      <c r="F24" s="69"/>
      <c r="G24" s="69"/>
      <c r="H24" s="69"/>
      <c r="I24" s="69"/>
      <c r="J24" s="69">
        <v>43000</v>
      </c>
      <c r="K24" s="69"/>
      <c r="L24" s="69"/>
      <c r="M24" s="69"/>
      <c r="N24" s="69"/>
      <c r="O24" s="69"/>
      <c r="P24" s="69" t="s">
        <v>934</v>
      </c>
      <c r="Q24" s="69"/>
      <c r="R24" s="69"/>
      <c r="S24" s="69"/>
      <c r="T24" s="69"/>
      <c r="U24" s="69"/>
    </row>
    <row r="25" spans="1:21" x14ac:dyDescent="0.3">
      <c r="A25" s="69" t="s">
        <v>79</v>
      </c>
      <c r="B25" s="69" t="s">
        <v>499</v>
      </c>
      <c r="C25" s="69">
        <v>24</v>
      </c>
      <c r="D25" s="69">
        <v>24</v>
      </c>
      <c r="E25" s="69"/>
      <c r="F25" s="69"/>
      <c r="G25" s="69"/>
      <c r="H25" s="69"/>
      <c r="I25" s="69"/>
      <c r="J25" s="69">
        <v>43010</v>
      </c>
      <c r="K25" s="69"/>
      <c r="L25" s="69"/>
      <c r="M25" s="69"/>
      <c r="N25" s="69"/>
      <c r="O25" s="69"/>
      <c r="P25" s="69" t="s">
        <v>934</v>
      </c>
      <c r="Q25" s="69"/>
      <c r="R25" s="69"/>
      <c r="S25" s="69"/>
      <c r="T25" s="69"/>
      <c r="U25" s="69"/>
    </row>
    <row r="26" spans="1:21" x14ac:dyDescent="0.3">
      <c r="A26" s="69" t="s">
        <v>80</v>
      </c>
      <c r="B26" s="69" t="s">
        <v>499</v>
      </c>
      <c r="C26" s="69">
        <v>30</v>
      </c>
      <c r="D26" s="69">
        <v>30</v>
      </c>
      <c r="E26" s="69"/>
      <c r="F26" s="69"/>
      <c r="G26" s="69"/>
      <c r="H26" s="69"/>
      <c r="I26" s="69"/>
      <c r="J26" s="69">
        <v>43020</v>
      </c>
      <c r="K26" s="69"/>
      <c r="L26" s="69"/>
      <c r="M26" s="69"/>
      <c r="N26" s="69"/>
      <c r="O26" s="69"/>
      <c r="P26" s="69" t="s">
        <v>934</v>
      </c>
      <c r="Q26" s="69"/>
      <c r="R26" s="69"/>
      <c r="S26" s="69"/>
      <c r="T26" s="69"/>
      <c r="U26" s="69"/>
    </row>
    <row r="27" spans="1:21" x14ac:dyDescent="0.3">
      <c r="A27" s="69" t="s">
        <v>85</v>
      </c>
      <c r="B27" s="69" t="s">
        <v>499</v>
      </c>
      <c r="C27" s="69">
        <v>18</v>
      </c>
      <c r="D27" s="69">
        <v>18</v>
      </c>
      <c r="E27" s="69"/>
      <c r="F27" s="69"/>
      <c r="G27" s="69"/>
      <c r="H27" s="69"/>
      <c r="I27" s="69"/>
      <c r="J27" s="69">
        <v>43702</v>
      </c>
      <c r="K27" s="69"/>
      <c r="L27" s="69"/>
      <c r="M27" s="69"/>
      <c r="N27" s="69"/>
      <c r="O27" s="69"/>
      <c r="P27" s="69" t="s">
        <v>934</v>
      </c>
      <c r="Q27" s="69"/>
      <c r="R27" s="69"/>
      <c r="S27" s="69"/>
      <c r="T27" s="69"/>
      <c r="U27" s="69"/>
    </row>
    <row r="28" spans="1:21" x14ac:dyDescent="0.3">
      <c r="A28" s="69" t="s">
        <v>86</v>
      </c>
      <c r="B28" s="69" t="s">
        <v>499</v>
      </c>
      <c r="C28" s="69">
        <v>24</v>
      </c>
      <c r="D28" s="69">
        <v>24</v>
      </c>
      <c r="E28" s="69"/>
      <c r="F28" s="69">
        <v>1</v>
      </c>
      <c r="G28" s="69"/>
      <c r="H28" s="69"/>
      <c r="I28" s="69"/>
      <c r="J28" s="69">
        <v>43800</v>
      </c>
      <c r="K28" s="69"/>
      <c r="L28" s="69"/>
      <c r="M28" s="69"/>
      <c r="N28" s="69"/>
      <c r="O28" s="69"/>
      <c r="P28" s="69">
        <v>43805</v>
      </c>
      <c r="Q28" s="69"/>
      <c r="R28" s="69"/>
      <c r="S28" s="69"/>
      <c r="T28" s="69"/>
      <c r="U28" s="69"/>
    </row>
    <row r="29" spans="1:21" x14ac:dyDescent="0.3">
      <c r="A29" s="69" t="s">
        <v>88</v>
      </c>
      <c r="B29" s="69" t="s">
        <v>499</v>
      </c>
      <c r="C29" s="69">
        <v>39</v>
      </c>
      <c r="D29" s="69">
        <v>39</v>
      </c>
      <c r="E29" s="69"/>
      <c r="F29" s="69">
        <v>1</v>
      </c>
      <c r="G29" s="69"/>
      <c r="H29" s="69"/>
      <c r="I29" s="69"/>
      <c r="J29" s="69">
        <v>43810</v>
      </c>
      <c r="K29" s="69"/>
      <c r="L29" s="69"/>
      <c r="M29" s="69"/>
      <c r="N29" s="69"/>
      <c r="O29" s="69"/>
      <c r="P29" s="69">
        <v>43815</v>
      </c>
      <c r="Q29" s="69"/>
      <c r="R29" s="69"/>
      <c r="S29" s="69"/>
      <c r="T29" s="69"/>
      <c r="U29" s="69"/>
    </row>
    <row r="30" spans="1:21" x14ac:dyDescent="0.3">
      <c r="A30" s="69" t="s">
        <v>81</v>
      </c>
      <c r="B30" s="69" t="s">
        <v>499</v>
      </c>
      <c r="C30" s="69">
        <v>47</v>
      </c>
      <c r="D30" s="69">
        <v>47</v>
      </c>
      <c r="E30" s="69"/>
      <c r="F30" s="69"/>
      <c r="G30" s="69"/>
      <c r="H30" s="69"/>
      <c r="I30" s="69"/>
      <c r="J30" s="69">
        <v>43600</v>
      </c>
      <c r="K30" s="69"/>
      <c r="L30" s="69"/>
      <c r="M30" s="69"/>
      <c r="N30" s="69"/>
      <c r="O30" s="69"/>
      <c r="P30" s="69" t="s">
        <v>934</v>
      </c>
      <c r="Q30" s="69"/>
      <c r="R30" s="69"/>
      <c r="S30" s="69"/>
      <c r="T30" s="69"/>
      <c r="U30" s="69"/>
    </row>
    <row r="31" spans="1:21" x14ac:dyDescent="0.3">
      <c r="A31" s="69" t="s">
        <v>83</v>
      </c>
      <c r="B31" s="69" t="s">
        <v>499</v>
      </c>
      <c r="C31" s="69">
        <v>57</v>
      </c>
      <c r="D31" s="69">
        <v>57</v>
      </c>
      <c r="E31" s="69"/>
      <c r="F31" s="69"/>
      <c r="G31" s="69"/>
      <c r="H31" s="69"/>
      <c r="I31" s="69"/>
      <c r="J31" s="69">
        <v>43610</v>
      </c>
      <c r="K31" s="69"/>
      <c r="L31" s="69"/>
      <c r="M31" s="69"/>
      <c r="N31" s="69"/>
      <c r="O31" s="69"/>
      <c r="P31" s="69" t="s">
        <v>934</v>
      </c>
      <c r="Q31" s="69"/>
      <c r="R31" s="69"/>
      <c r="S31" s="69"/>
      <c r="T31" s="69"/>
      <c r="U31" s="69"/>
    </row>
    <row r="32" spans="1:21" x14ac:dyDescent="0.3">
      <c r="A32" s="69" t="s">
        <v>711</v>
      </c>
      <c r="B32" s="69" t="s">
        <v>499</v>
      </c>
      <c r="C32" s="69">
        <v>47</v>
      </c>
      <c r="D32" s="69">
        <v>47</v>
      </c>
      <c r="E32" s="69"/>
      <c r="F32" s="69"/>
      <c r="G32" s="69"/>
      <c r="H32" s="69"/>
      <c r="I32" s="69"/>
      <c r="J32" s="69">
        <v>210432000</v>
      </c>
      <c r="K32" s="69">
        <v>210432002</v>
      </c>
      <c r="L32" s="69"/>
      <c r="M32" s="69"/>
      <c r="N32" s="69"/>
      <c r="O32" s="69"/>
      <c r="P32" s="69" t="s">
        <v>934</v>
      </c>
      <c r="Q32" s="69"/>
      <c r="R32" s="69"/>
      <c r="S32" s="69"/>
      <c r="T32" s="69"/>
      <c r="U32" s="69"/>
    </row>
    <row r="33" spans="1:21" x14ac:dyDescent="0.3">
      <c r="A33" s="69" t="s">
        <v>100</v>
      </c>
      <c r="B33" s="69" t="s">
        <v>499</v>
      </c>
      <c r="C33" s="69">
        <v>4</v>
      </c>
      <c r="D33" s="69">
        <v>4</v>
      </c>
      <c r="E33" s="69"/>
      <c r="F33" s="69"/>
      <c r="G33" s="69"/>
      <c r="H33" s="69"/>
      <c r="I33" s="69"/>
      <c r="J33" s="69">
        <v>44400</v>
      </c>
      <c r="K33" s="69"/>
      <c r="L33" s="69"/>
      <c r="M33" s="69"/>
      <c r="N33" s="69"/>
      <c r="O33" s="69"/>
      <c r="P33" s="69" t="s">
        <v>934</v>
      </c>
      <c r="Q33" s="69"/>
      <c r="R33" s="69"/>
      <c r="S33" s="69"/>
      <c r="T33" s="69"/>
      <c r="U33" s="69"/>
    </row>
    <row r="34" spans="1:21" x14ac:dyDescent="0.3">
      <c r="A34" s="69" t="s">
        <v>97</v>
      </c>
      <c r="B34" s="69" t="s">
        <v>499</v>
      </c>
      <c r="C34" s="69">
        <v>12</v>
      </c>
      <c r="D34" s="69">
        <v>12</v>
      </c>
      <c r="E34" s="69"/>
      <c r="F34" s="69"/>
      <c r="G34" s="69"/>
      <c r="H34" s="69"/>
      <c r="I34" s="69"/>
      <c r="J34" s="69">
        <v>44300</v>
      </c>
      <c r="K34" s="69"/>
      <c r="L34" s="69"/>
      <c r="M34" s="69"/>
      <c r="N34" s="69"/>
      <c r="O34" s="69"/>
      <c r="P34" s="69" t="s">
        <v>934</v>
      </c>
      <c r="Q34" s="69"/>
      <c r="R34" s="69"/>
      <c r="S34" s="69"/>
      <c r="T34" s="69"/>
      <c r="U34" s="69"/>
    </row>
    <row r="35" spans="1:21" x14ac:dyDescent="0.3">
      <c r="A35" s="69" t="s">
        <v>102</v>
      </c>
      <c r="B35" s="69" t="s">
        <v>499</v>
      </c>
      <c r="C35" s="69">
        <v>17</v>
      </c>
      <c r="D35" s="69">
        <v>17</v>
      </c>
      <c r="E35" s="69"/>
      <c r="F35" s="69">
        <v>1</v>
      </c>
      <c r="G35" s="69"/>
      <c r="H35" s="69"/>
      <c r="I35" s="69"/>
      <c r="J35" s="69">
        <v>44500</v>
      </c>
      <c r="K35" s="69"/>
      <c r="L35" s="69"/>
      <c r="M35" s="69"/>
      <c r="N35" s="69"/>
      <c r="O35" s="69"/>
      <c r="P35" s="69">
        <v>44505</v>
      </c>
      <c r="Q35" s="69"/>
      <c r="R35" s="69"/>
      <c r="S35" s="69"/>
      <c r="T35" s="69"/>
      <c r="U35" s="69"/>
    </row>
    <row r="36" spans="1:21" x14ac:dyDescent="0.3">
      <c r="A36" s="69" t="s">
        <v>712</v>
      </c>
      <c r="B36" s="69" t="s">
        <v>499</v>
      </c>
      <c r="C36" s="69">
        <v>22</v>
      </c>
      <c r="D36" s="69">
        <v>22</v>
      </c>
      <c r="E36" s="69"/>
      <c r="F36" s="69"/>
      <c r="G36" s="69"/>
      <c r="H36" s="69"/>
      <c r="I36" s="69"/>
      <c r="J36" s="69">
        <v>44310</v>
      </c>
      <c r="K36" s="69">
        <v>44319</v>
      </c>
      <c r="L36" s="69"/>
      <c r="M36" s="69"/>
      <c r="N36" s="69"/>
      <c r="O36" s="69"/>
      <c r="P36" s="69" t="s">
        <v>934</v>
      </c>
      <c r="Q36" s="69"/>
      <c r="R36" s="69"/>
      <c r="S36" s="69"/>
      <c r="T36" s="69"/>
      <c r="U36" s="69"/>
    </row>
    <row r="37" spans="1:21" x14ac:dyDescent="0.3">
      <c r="A37" s="69" t="s">
        <v>113</v>
      </c>
      <c r="B37" s="69" t="s">
        <v>499</v>
      </c>
      <c r="C37" s="69">
        <v>13</v>
      </c>
      <c r="D37" s="69">
        <v>13</v>
      </c>
      <c r="E37" s="69"/>
      <c r="F37" s="69"/>
      <c r="G37" s="69"/>
      <c r="H37" s="69"/>
      <c r="I37" s="69"/>
      <c r="J37" s="69">
        <v>46000</v>
      </c>
      <c r="K37" s="69"/>
      <c r="L37" s="69"/>
      <c r="M37" s="69"/>
      <c r="N37" s="69"/>
      <c r="O37" s="69"/>
      <c r="P37" s="69" t="s">
        <v>934</v>
      </c>
      <c r="Q37" s="69"/>
      <c r="R37" s="69"/>
      <c r="S37" s="69"/>
      <c r="T37" s="69"/>
      <c r="U37" s="69"/>
    </row>
    <row r="38" spans="1:21" x14ac:dyDescent="0.3">
      <c r="A38" s="69" t="s">
        <v>114</v>
      </c>
      <c r="B38" s="69" t="s">
        <v>499</v>
      </c>
      <c r="C38" s="69">
        <v>7</v>
      </c>
      <c r="D38" s="69">
        <v>7</v>
      </c>
      <c r="E38" s="69"/>
      <c r="F38" s="69"/>
      <c r="G38" s="69"/>
      <c r="H38" s="69"/>
      <c r="I38" s="69"/>
      <c r="J38" s="69">
        <v>46100</v>
      </c>
      <c r="K38" s="69"/>
      <c r="L38" s="69"/>
      <c r="M38" s="69"/>
      <c r="N38" s="69"/>
      <c r="O38" s="69"/>
      <c r="P38" s="69" t="s">
        <v>934</v>
      </c>
      <c r="Q38" s="69"/>
      <c r="R38" s="69"/>
      <c r="S38" s="69"/>
      <c r="T38" s="69"/>
      <c r="U38" s="69"/>
    </row>
    <row r="39" spans="1:21" x14ac:dyDescent="0.3">
      <c r="A39" s="69" t="s">
        <v>116</v>
      </c>
      <c r="B39" s="69" t="s">
        <v>499</v>
      </c>
      <c r="C39" s="69">
        <v>21</v>
      </c>
      <c r="D39" s="69">
        <v>21</v>
      </c>
      <c r="E39" s="69"/>
      <c r="F39" s="69">
        <v>1</v>
      </c>
      <c r="G39" s="69"/>
      <c r="H39" s="69"/>
      <c r="I39" s="69"/>
      <c r="J39" s="69">
        <v>46200</v>
      </c>
      <c r="K39" s="69"/>
      <c r="L39" s="69"/>
      <c r="M39" s="69"/>
      <c r="N39" s="69"/>
      <c r="O39" s="69"/>
      <c r="P39" s="69">
        <v>46201</v>
      </c>
      <c r="Q39" s="69"/>
      <c r="R39" s="69"/>
      <c r="S39" s="69"/>
      <c r="T39" s="69"/>
      <c r="U39" s="69"/>
    </row>
    <row r="40" spans="1:21" x14ac:dyDescent="0.3">
      <c r="A40" s="69" t="s">
        <v>124</v>
      </c>
      <c r="B40" s="69" t="s">
        <v>499</v>
      </c>
      <c r="C40" s="69">
        <v>16</v>
      </c>
      <c r="D40" s="69">
        <v>16</v>
      </c>
      <c r="E40" s="69"/>
      <c r="F40" s="69">
        <v>1</v>
      </c>
      <c r="H40" s="69"/>
      <c r="I40" s="69"/>
      <c r="J40" s="69">
        <v>48000</v>
      </c>
      <c r="K40" s="69">
        <v>48003</v>
      </c>
      <c r="L40" s="69"/>
      <c r="M40" s="69"/>
      <c r="N40" s="69"/>
      <c r="O40" s="69"/>
      <c r="P40" s="69">
        <v>48005</v>
      </c>
      <c r="Q40" s="69">
        <v>48007</v>
      </c>
      <c r="R40" s="69"/>
      <c r="S40" s="69"/>
      <c r="T40" s="69"/>
      <c r="U40" s="69"/>
    </row>
    <row r="41" spans="1:21" x14ac:dyDescent="0.3">
      <c r="A41" s="69" t="s">
        <v>129</v>
      </c>
      <c r="B41" s="69" t="s">
        <v>499</v>
      </c>
      <c r="C41" s="69">
        <v>16</v>
      </c>
      <c r="D41" s="69">
        <v>16</v>
      </c>
      <c r="E41" s="69">
        <v>3</v>
      </c>
      <c r="F41" s="69">
        <v>1</v>
      </c>
      <c r="G41" s="69">
        <v>48100</v>
      </c>
      <c r="H41" s="69"/>
      <c r="I41" s="69"/>
      <c r="J41" s="69">
        <v>48108</v>
      </c>
      <c r="K41" s="69">
        <v>48100</v>
      </c>
      <c r="L41" s="69"/>
      <c r="M41" s="69"/>
      <c r="N41" s="69"/>
      <c r="O41" s="69"/>
      <c r="P41" s="69">
        <v>48108</v>
      </c>
      <c r="Q41" s="69">
        <v>48100</v>
      </c>
      <c r="R41" s="69"/>
      <c r="S41" s="69"/>
      <c r="T41" s="69"/>
      <c r="U41" s="69"/>
    </row>
    <row r="42" spans="1:21" x14ac:dyDescent="0.3">
      <c r="A42" s="69" t="s">
        <v>772</v>
      </c>
      <c r="B42" s="69" t="s">
        <v>499</v>
      </c>
      <c r="C42" s="69">
        <v>28</v>
      </c>
      <c r="D42" s="69">
        <v>28</v>
      </c>
      <c r="E42" s="69"/>
      <c r="F42" s="69">
        <v>1</v>
      </c>
      <c r="G42" s="69"/>
      <c r="H42" s="69"/>
      <c r="I42" s="69"/>
      <c r="J42" s="19">
        <v>48200</v>
      </c>
      <c r="K42" s="69"/>
      <c r="L42" s="69"/>
      <c r="M42" s="69"/>
      <c r="N42" s="69"/>
      <c r="O42" s="69"/>
      <c r="P42" s="69">
        <v>48210</v>
      </c>
      <c r="Q42" s="69"/>
      <c r="R42" s="69"/>
      <c r="S42" s="69"/>
      <c r="T42" s="69"/>
      <c r="U42" s="69"/>
    </row>
    <row r="43" spans="1:21" x14ac:dyDescent="0.3">
      <c r="A43" s="69" t="s">
        <v>771</v>
      </c>
      <c r="B43" s="69" t="s">
        <v>499</v>
      </c>
      <c r="C43" s="69">
        <v>28</v>
      </c>
      <c r="D43" s="69">
        <v>28</v>
      </c>
      <c r="E43" s="69"/>
      <c r="F43" s="69"/>
      <c r="G43" s="69"/>
      <c r="H43" s="69"/>
      <c r="I43" s="69"/>
      <c r="J43" s="69">
        <v>48204</v>
      </c>
      <c r="K43" s="69">
        <v>48206</v>
      </c>
      <c r="L43" s="69"/>
      <c r="M43" s="69"/>
      <c r="N43" s="69"/>
      <c r="O43" s="69"/>
      <c r="P43" s="69">
        <v>48214</v>
      </c>
      <c r="Q43" s="69">
        <v>48216</v>
      </c>
      <c r="R43" s="69"/>
      <c r="S43" s="69"/>
      <c r="T43" s="69"/>
      <c r="U43" s="69"/>
    </row>
    <row r="44" spans="1:21" x14ac:dyDescent="0.3">
      <c r="A44" s="69" t="s">
        <v>134</v>
      </c>
      <c r="B44" s="69" t="s">
        <v>499</v>
      </c>
      <c r="C44" s="69">
        <v>23</v>
      </c>
      <c r="D44" s="69">
        <v>23</v>
      </c>
      <c r="E44" s="69"/>
      <c r="F44" s="69"/>
      <c r="G44" s="69"/>
      <c r="H44" s="69"/>
      <c r="I44" s="69"/>
      <c r="J44" s="69">
        <v>48300</v>
      </c>
      <c r="K44" s="69"/>
      <c r="L44" s="69"/>
      <c r="M44" s="69"/>
      <c r="N44" s="69"/>
      <c r="O44" s="69"/>
      <c r="P44" s="69" t="s">
        <v>934</v>
      </c>
      <c r="Q44" s="69"/>
      <c r="R44" s="69"/>
      <c r="S44" s="69"/>
      <c r="T44" s="69"/>
      <c r="U44" s="69"/>
    </row>
    <row r="45" spans="1:21" x14ac:dyDescent="0.3">
      <c r="A45" s="69" t="s">
        <v>92</v>
      </c>
      <c r="B45" s="69" t="s">
        <v>499</v>
      </c>
      <c r="C45" s="69">
        <v>12</v>
      </c>
      <c r="D45" s="69">
        <v>12</v>
      </c>
      <c r="E45" s="69"/>
      <c r="F45" s="69"/>
      <c r="G45" s="69"/>
      <c r="H45" s="69"/>
      <c r="I45" s="69"/>
      <c r="J45" s="69">
        <v>44000</v>
      </c>
      <c r="K45" s="69"/>
      <c r="L45" s="69"/>
      <c r="M45" s="69"/>
      <c r="N45" s="69"/>
      <c r="O45" s="69"/>
      <c r="P45" s="69" t="s">
        <v>934</v>
      </c>
      <c r="Q45" s="69"/>
      <c r="R45" s="69"/>
      <c r="S45" s="69"/>
      <c r="T45" s="69"/>
      <c r="U45" s="69"/>
    </row>
    <row r="46" spans="1:21" x14ac:dyDescent="0.3">
      <c r="A46" s="69" t="s">
        <v>731</v>
      </c>
      <c r="B46" s="69" t="s">
        <v>499</v>
      </c>
      <c r="C46" s="69">
        <v>17</v>
      </c>
      <c r="D46" s="69">
        <v>17</v>
      </c>
      <c r="E46" s="69"/>
      <c r="F46" s="69">
        <v>1</v>
      </c>
      <c r="G46" s="69"/>
      <c r="H46" s="69"/>
      <c r="I46" s="69"/>
      <c r="J46" s="69">
        <v>44100</v>
      </c>
      <c r="K46" s="69">
        <v>44101</v>
      </c>
      <c r="L46" s="69"/>
      <c r="M46" s="69"/>
      <c r="N46" s="69"/>
      <c r="O46" s="69"/>
      <c r="P46" s="69">
        <v>44105</v>
      </c>
      <c r="Q46" s="69">
        <v>44106</v>
      </c>
      <c r="R46" s="69"/>
      <c r="S46" s="69"/>
      <c r="T46" s="69"/>
      <c r="U46" s="69"/>
    </row>
    <row r="47" spans="1:21" x14ac:dyDescent="0.3">
      <c r="A47" s="69" t="s">
        <v>732</v>
      </c>
      <c r="B47" s="69" t="s">
        <v>499</v>
      </c>
      <c r="C47" s="69">
        <v>21</v>
      </c>
      <c r="D47" s="69">
        <v>21</v>
      </c>
      <c r="E47" s="69"/>
      <c r="F47" s="69">
        <v>1</v>
      </c>
      <c r="G47" s="69"/>
      <c r="H47" s="69"/>
      <c r="I47" s="69"/>
      <c r="J47" s="69">
        <v>45000</v>
      </c>
      <c r="K47" s="69"/>
      <c r="L47" s="69"/>
      <c r="M47" s="69"/>
      <c r="N47" s="69"/>
      <c r="O47" s="69"/>
      <c r="P47" s="69">
        <v>45005</v>
      </c>
      <c r="Q47" s="69"/>
      <c r="R47" s="69"/>
      <c r="S47" s="69"/>
      <c r="T47" s="69"/>
      <c r="U47" s="69"/>
    </row>
    <row r="48" spans="1:21" x14ac:dyDescent="0.3">
      <c r="A48" s="69" t="s">
        <v>112</v>
      </c>
      <c r="B48" s="69" t="s">
        <v>499</v>
      </c>
      <c r="C48" s="69">
        <v>20</v>
      </c>
      <c r="D48" s="69">
        <v>20</v>
      </c>
      <c r="E48" s="69">
        <v>5</v>
      </c>
      <c r="F48" s="69"/>
      <c r="G48" s="69"/>
      <c r="H48" s="69"/>
      <c r="I48" s="69"/>
      <c r="J48" s="69">
        <v>45200</v>
      </c>
      <c r="K48" s="69"/>
      <c r="L48" s="69"/>
      <c r="M48" s="69"/>
      <c r="N48" s="69"/>
      <c r="O48" s="69"/>
      <c r="P48" s="69" t="s">
        <v>934</v>
      </c>
      <c r="Q48" s="69"/>
      <c r="R48" s="69"/>
      <c r="S48" s="69"/>
      <c r="T48" s="69"/>
      <c r="U48" s="69"/>
    </row>
    <row r="49" spans="1:21" x14ac:dyDescent="0.3">
      <c r="A49" s="69" t="s">
        <v>111</v>
      </c>
      <c r="B49" s="69" t="s">
        <v>499</v>
      </c>
      <c r="C49" s="69">
        <v>34</v>
      </c>
      <c r="D49" s="69">
        <v>34</v>
      </c>
      <c r="E49" s="69"/>
      <c r="F49" s="69"/>
      <c r="G49" s="69"/>
      <c r="H49" s="69"/>
      <c r="I49" s="69"/>
      <c r="J49" s="69">
        <v>45101</v>
      </c>
      <c r="K49" s="69">
        <v>45100</v>
      </c>
      <c r="L49" s="69"/>
      <c r="M49" s="69"/>
      <c r="N49" s="69"/>
      <c r="O49" s="69"/>
      <c r="P49" s="69" t="s">
        <v>934</v>
      </c>
      <c r="Q49" s="69"/>
      <c r="R49" s="69"/>
      <c r="S49" s="69"/>
      <c r="T49" s="69"/>
      <c r="U49" s="69"/>
    </row>
    <row r="50" spans="1:21" x14ac:dyDescent="0.3">
      <c r="A50" s="69" t="s">
        <v>120</v>
      </c>
      <c r="B50" s="69" t="s">
        <v>499</v>
      </c>
      <c r="C50" s="69">
        <v>12</v>
      </c>
      <c r="D50" s="69">
        <v>12</v>
      </c>
      <c r="E50" s="69"/>
      <c r="F50" s="69">
        <v>1</v>
      </c>
      <c r="G50" s="69"/>
      <c r="H50" s="69"/>
      <c r="I50" s="69"/>
      <c r="J50" s="69">
        <v>47200</v>
      </c>
      <c r="K50" s="69"/>
      <c r="L50" s="69"/>
      <c r="M50" s="69"/>
      <c r="N50" s="69"/>
      <c r="O50" s="69"/>
      <c r="P50" s="69">
        <v>47205</v>
      </c>
      <c r="Q50" s="69"/>
      <c r="R50" s="69"/>
      <c r="S50" s="69"/>
      <c r="T50" s="69"/>
      <c r="U50" s="69"/>
    </row>
    <row r="51" spans="1:21" x14ac:dyDescent="0.3">
      <c r="A51" s="69" t="s">
        <v>122</v>
      </c>
      <c r="B51" s="69" t="s">
        <v>499</v>
      </c>
      <c r="C51" s="69">
        <v>18</v>
      </c>
      <c r="D51" s="69">
        <v>18</v>
      </c>
      <c r="E51" s="69"/>
      <c r="F51" s="69">
        <v>1</v>
      </c>
      <c r="G51" s="69"/>
      <c r="H51" s="69"/>
      <c r="I51" s="69"/>
      <c r="J51" s="69">
        <v>47210</v>
      </c>
      <c r="K51" s="69"/>
      <c r="L51" s="69"/>
      <c r="M51" s="69"/>
      <c r="N51" s="69"/>
      <c r="O51" s="69"/>
      <c r="P51" s="69">
        <v>47215</v>
      </c>
      <c r="Q51" s="69"/>
      <c r="R51" s="69"/>
      <c r="S51" s="69"/>
      <c r="T51" s="69"/>
      <c r="U51" s="69"/>
    </row>
    <row r="52" spans="1:21" x14ac:dyDescent="0.3">
      <c r="A52" s="69" t="s">
        <v>713</v>
      </c>
      <c r="B52" s="69" t="s">
        <v>499</v>
      </c>
      <c r="C52" s="69">
        <v>18</v>
      </c>
      <c r="D52" s="69">
        <v>18</v>
      </c>
      <c r="E52" s="69"/>
      <c r="F52" s="69">
        <v>1</v>
      </c>
      <c r="G52" s="69"/>
      <c r="H52" s="69"/>
      <c r="I52" s="69"/>
      <c r="J52" s="69">
        <v>210471001</v>
      </c>
      <c r="K52" s="69">
        <v>210471002</v>
      </c>
      <c r="L52" s="69"/>
      <c r="M52" s="69"/>
      <c r="N52" s="69"/>
      <c r="O52" s="69"/>
      <c r="P52" s="69">
        <v>210471051</v>
      </c>
      <c r="Q52" s="69">
        <v>210471052</v>
      </c>
      <c r="R52" s="69"/>
      <c r="S52" s="69"/>
      <c r="T52" s="69"/>
      <c r="U52" s="69"/>
    </row>
    <row r="53" spans="1:21" x14ac:dyDescent="0.3">
      <c r="A53" s="69" t="s">
        <v>782</v>
      </c>
      <c r="B53" s="69" t="s">
        <v>499</v>
      </c>
      <c r="C53" s="69">
        <v>18</v>
      </c>
      <c r="D53" s="69">
        <v>18</v>
      </c>
      <c r="E53" s="69"/>
      <c r="F53" s="69">
        <v>1</v>
      </c>
      <c r="G53" s="69"/>
      <c r="H53" s="69"/>
      <c r="I53" s="69"/>
      <c r="J53" s="69">
        <v>210471002</v>
      </c>
      <c r="K53" s="69"/>
      <c r="L53" s="69"/>
      <c r="M53" s="69"/>
      <c r="N53" s="69"/>
      <c r="O53" s="69"/>
      <c r="P53" s="69">
        <v>210471052</v>
      </c>
      <c r="Q53" s="69"/>
      <c r="R53" s="69"/>
      <c r="S53" s="69"/>
      <c r="T53" s="69"/>
      <c r="U53" s="69"/>
    </row>
    <row r="54" spans="1:21" x14ac:dyDescent="0.3">
      <c r="A54" s="69" t="s">
        <v>119</v>
      </c>
      <c r="B54" s="69" t="s">
        <v>499</v>
      </c>
      <c r="C54" s="69">
        <v>18</v>
      </c>
      <c r="D54" s="69">
        <v>18</v>
      </c>
      <c r="E54" s="69"/>
      <c r="F54" s="69"/>
      <c r="G54" s="69"/>
      <c r="H54" s="69"/>
      <c r="I54" s="69"/>
      <c r="J54" s="69">
        <v>47100</v>
      </c>
      <c r="K54" s="69"/>
      <c r="L54" s="69"/>
      <c r="M54" s="69"/>
      <c r="N54" s="69"/>
      <c r="O54" s="69"/>
      <c r="P54" s="69" t="s">
        <v>934</v>
      </c>
      <c r="Q54" s="69"/>
      <c r="R54" s="69"/>
      <c r="S54" s="69"/>
      <c r="T54" s="69"/>
      <c r="U54" s="69"/>
    </row>
    <row r="55" spans="1:21" x14ac:dyDescent="0.3">
      <c r="A55" s="69" t="s">
        <v>328</v>
      </c>
      <c r="B55" s="69" t="s">
        <v>499</v>
      </c>
      <c r="C55" s="69">
        <v>18</v>
      </c>
      <c r="D55" s="69">
        <v>18</v>
      </c>
      <c r="E55" s="69"/>
      <c r="F55" s="69">
        <v>1</v>
      </c>
      <c r="G55" s="69"/>
      <c r="H55" s="69"/>
      <c r="I55" s="69"/>
      <c r="J55" s="69">
        <v>210470000</v>
      </c>
      <c r="K55" s="69"/>
      <c r="L55" s="69"/>
      <c r="M55" s="69"/>
      <c r="N55" s="69"/>
      <c r="O55" s="69"/>
      <c r="P55" s="69">
        <v>210470050</v>
      </c>
      <c r="Q55" s="69">
        <v>210470051</v>
      </c>
      <c r="R55" s="69"/>
      <c r="S55" s="69"/>
      <c r="T55" s="69"/>
      <c r="U55" s="69"/>
    </row>
    <row r="56" spans="1:21" x14ac:dyDescent="0.3">
      <c r="A56" s="69" t="s">
        <v>735</v>
      </c>
      <c r="B56" s="69" t="s">
        <v>499</v>
      </c>
      <c r="C56" s="69">
        <v>30</v>
      </c>
      <c r="D56" s="69">
        <v>30</v>
      </c>
      <c r="E56" s="69">
        <v>30</v>
      </c>
      <c r="F56" s="69">
        <v>1</v>
      </c>
      <c r="G56" s="69">
        <v>47000</v>
      </c>
      <c r="H56" s="69"/>
      <c r="I56" s="69"/>
      <c r="J56" s="69">
        <v>47000</v>
      </c>
      <c r="K56" s="69"/>
      <c r="L56" s="69"/>
      <c r="M56" s="69"/>
      <c r="N56" s="69"/>
      <c r="O56" s="69"/>
      <c r="P56" s="69">
        <v>47000</v>
      </c>
      <c r="Q56" s="69"/>
      <c r="R56" s="69"/>
      <c r="S56" s="69"/>
      <c r="T56" s="69"/>
      <c r="U56" s="69"/>
    </row>
    <row r="57" spans="1:21" x14ac:dyDescent="0.3">
      <c r="A57" s="69" t="s">
        <v>609</v>
      </c>
      <c r="B57" s="69" t="s">
        <v>499</v>
      </c>
      <c r="C57" s="69">
        <v>60</v>
      </c>
      <c r="D57" s="69">
        <v>60</v>
      </c>
      <c r="E57" s="69">
        <v>60</v>
      </c>
      <c r="F57" s="69">
        <v>1</v>
      </c>
      <c r="G57" s="69">
        <v>47010</v>
      </c>
      <c r="H57" s="69"/>
      <c r="I57" s="69"/>
      <c r="J57" s="69">
        <v>47010</v>
      </c>
      <c r="K57" s="69"/>
      <c r="L57" s="69"/>
      <c r="M57" s="69"/>
      <c r="N57" s="69"/>
      <c r="O57" s="69"/>
      <c r="P57" s="69">
        <v>47010</v>
      </c>
      <c r="Q57" s="69"/>
      <c r="R57" s="69"/>
      <c r="S57" s="69"/>
      <c r="T57" s="69"/>
      <c r="U57" s="69"/>
    </row>
    <row r="58" spans="1:21" x14ac:dyDescent="0.3">
      <c r="A58" s="69" t="s">
        <v>332</v>
      </c>
      <c r="B58" s="69" t="s">
        <v>499</v>
      </c>
      <c r="C58" s="69">
        <v>10</v>
      </c>
      <c r="D58" s="69">
        <v>10</v>
      </c>
      <c r="E58" s="69"/>
      <c r="F58" s="69">
        <v>1</v>
      </c>
      <c r="G58" s="69"/>
      <c r="H58" s="69"/>
      <c r="I58" s="69"/>
      <c r="J58" s="69">
        <v>210450000</v>
      </c>
      <c r="K58" s="69"/>
      <c r="L58" s="69"/>
      <c r="M58" s="69"/>
      <c r="N58" s="69"/>
      <c r="O58" s="69"/>
      <c r="P58" s="69">
        <v>210450050</v>
      </c>
      <c r="Q58" s="69"/>
      <c r="R58" s="69"/>
      <c r="S58" s="69"/>
      <c r="T58" s="69"/>
      <c r="U58" s="69"/>
    </row>
    <row r="59" spans="1:21" x14ac:dyDescent="0.3">
      <c r="A59" s="69" t="s">
        <v>334</v>
      </c>
      <c r="B59" s="69" t="s">
        <v>499</v>
      </c>
      <c r="C59" s="69">
        <v>23</v>
      </c>
      <c r="D59" s="69">
        <v>23</v>
      </c>
      <c r="E59" s="69"/>
      <c r="F59" s="69">
        <v>1</v>
      </c>
      <c r="G59" s="69"/>
      <c r="H59" s="69"/>
      <c r="I59" s="69"/>
      <c r="J59" s="69">
        <v>210451000</v>
      </c>
      <c r="K59" s="69"/>
      <c r="L59" s="69"/>
      <c r="M59" s="69"/>
      <c r="N59" s="69"/>
      <c r="O59" s="69"/>
      <c r="P59" s="69">
        <v>210451050</v>
      </c>
      <c r="Q59" s="69"/>
      <c r="R59" s="69"/>
      <c r="S59" s="69"/>
      <c r="T59" s="69"/>
      <c r="U59" s="69"/>
    </row>
    <row r="60" spans="1:21" x14ac:dyDescent="0.3">
      <c r="A60" s="69" t="s">
        <v>714</v>
      </c>
      <c r="B60" s="69" t="s">
        <v>499</v>
      </c>
      <c r="C60" s="69">
        <v>26</v>
      </c>
      <c r="D60" s="69">
        <v>26</v>
      </c>
      <c r="E60" s="69"/>
      <c r="F60" s="69">
        <v>1</v>
      </c>
      <c r="G60" s="69"/>
      <c r="H60" s="69"/>
      <c r="I60" s="69"/>
      <c r="J60" s="69">
        <v>210741000</v>
      </c>
      <c r="K60" s="69">
        <v>210741001</v>
      </c>
      <c r="L60" s="69"/>
      <c r="M60" s="69"/>
      <c r="N60" s="69"/>
      <c r="O60" s="69"/>
      <c r="P60" s="69">
        <v>210741050</v>
      </c>
      <c r="Q60" s="69">
        <v>210741051</v>
      </c>
      <c r="R60" s="69"/>
      <c r="S60" s="69"/>
      <c r="T60" s="69"/>
      <c r="U60" s="69"/>
    </row>
    <row r="61" spans="1:21" x14ac:dyDescent="0.3">
      <c r="A61" s="69" t="s">
        <v>340</v>
      </c>
      <c r="B61" s="69" t="s">
        <v>499</v>
      </c>
      <c r="C61" s="69">
        <v>20</v>
      </c>
      <c r="D61" s="69">
        <v>20</v>
      </c>
      <c r="E61" s="69"/>
      <c r="F61" s="69">
        <v>1</v>
      </c>
      <c r="G61" s="69"/>
      <c r="H61" s="69"/>
      <c r="I61" s="69"/>
      <c r="J61" s="69">
        <v>210742000</v>
      </c>
      <c r="K61" s="69"/>
      <c r="L61" s="69"/>
      <c r="M61" s="69"/>
      <c r="N61" s="69"/>
      <c r="O61" s="69"/>
      <c r="P61" s="69">
        <v>210742050</v>
      </c>
      <c r="Q61" s="69"/>
      <c r="R61" s="69"/>
      <c r="S61" s="69"/>
      <c r="T61" s="69"/>
      <c r="U61" s="69"/>
    </row>
    <row r="62" spans="1:21" x14ac:dyDescent="0.3">
      <c r="A62" s="69" t="s">
        <v>145</v>
      </c>
      <c r="B62" s="69" t="s">
        <v>499</v>
      </c>
      <c r="C62" s="69">
        <v>12</v>
      </c>
      <c r="D62" s="69">
        <v>12</v>
      </c>
      <c r="E62" s="69"/>
      <c r="F62" s="69">
        <v>1</v>
      </c>
      <c r="G62" s="69"/>
      <c r="H62" s="69"/>
      <c r="I62" s="69"/>
      <c r="J62" s="69">
        <v>51000</v>
      </c>
      <c r="K62" s="69"/>
      <c r="L62" s="69"/>
      <c r="M62" s="69"/>
      <c r="N62" s="69"/>
      <c r="O62" s="69"/>
      <c r="P62" s="69">
        <v>51005</v>
      </c>
      <c r="Q62" s="69"/>
      <c r="R62" s="69"/>
      <c r="S62" s="69"/>
      <c r="T62" s="69"/>
      <c r="U62" s="69"/>
    </row>
    <row r="63" spans="1:21" x14ac:dyDescent="0.3">
      <c r="A63" s="69" t="s">
        <v>147</v>
      </c>
      <c r="B63" s="69" t="s">
        <v>499</v>
      </c>
      <c r="C63" s="69">
        <v>16</v>
      </c>
      <c r="D63" s="69">
        <v>16</v>
      </c>
      <c r="E63" s="69"/>
      <c r="F63" s="69">
        <v>1</v>
      </c>
      <c r="G63" s="69"/>
      <c r="H63" s="69"/>
      <c r="I63" s="69"/>
      <c r="J63" s="69">
        <v>51010</v>
      </c>
      <c r="K63" s="69"/>
      <c r="L63" s="69"/>
      <c r="M63" s="69"/>
      <c r="N63" s="69"/>
      <c r="O63" s="69"/>
      <c r="P63" s="69">
        <v>51015</v>
      </c>
      <c r="Q63" s="69"/>
      <c r="R63" s="69"/>
      <c r="S63" s="69"/>
      <c r="T63" s="69"/>
      <c r="U63" s="69"/>
    </row>
    <row r="64" spans="1:21" x14ac:dyDescent="0.3">
      <c r="A64" s="69" t="s">
        <v>773</v>
      </c>
      <c r="B64" s="69" t="s">
        <v>499</v>
      </c>
      <c r="C64" s="69">
        <v>6</v>
      </c>
      <c r="D64" s="69">
        <v>6</v>
      </c>
      <c r="E64" s="69"/>
      <c r="F64" s="69"/>
      <c r="G64" s="69"/>
      <c r="H64" s="69"/>
      <c r="I64" s="69"/>
      <c r="J64" s="69">
        <v>49000</v>
      </c>
      <c r="K64" s="69"/>
      <c r="L64" s="69"/>
      <c r="M64" s="69"/>
      <c r="N64" s="69"/>
      <c r="O64" s="69"/>
      <c r="P64" s="69" t="s">
        <v>934</v>
      </c>
      <c r="Q64" s="69"/>
      <c r="R64" s="69"/>
      <c r="S64" s="69"/>
      <c r="T64" s="69"/>
      <c r="U64" s="69"/>
    </row>
    <row r="65" spans="1:21" x14ac:dyDescent="0.3">
      <c r="A65" s="69" t="s">
        <v>776</v>
      </c>
      <c r="B65" s="69" t="s">
        <v>499</v>
      </c>
      <c r="C65" s="69">
        <v>6</v>
      </c>
      <c r="D65" s="69">
        <v>6</v>
      </c>
      <c r="E65" s="69"/>
      <c r="F65" s="69"/>
      <c r="G65" s="69"/>
      <c r="H65" s="69"/>
      <c r="I65" s="69"/>
      <c r="J65" s="69">
        <v>49001</v>
      </c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</row>
    <row r="66" spans="1:21" x14ac:dyDescent="0.3">
      <c r="A66" s="69" t="s">
        <v>777</v>
      </c>
      <c r="B66" s="69" t="s">
        <v>499</v>
      </c>
      <c r="C66" s="69">
        <v>6</v>
      </c>
      <c r="D66" s="69">
        <v>6</v>
      </c>
      <c r="E66" s="69"/>
      <c r="F66" s="69"/>
      <c r="G66" s="69"/>
      <c r="H66" s="69"/>
      <c r="I66" s="69"/>
      <c r="J66" s="69">
        <v>49002</v>
      </c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</row>
    <row r="67" spans="1:21" x14ac:dyDescent="0.3">
      <c r="A67" s="69" t="s">
        <v>136</v>
      </c>
      <c r="B67" s="69" t="s">
        <v>499</v>
      </c>
      <c r="C67" s="69">
        <v>9</v>
      </c>
      <c r="D67" s="69">
        <v>9</v>
      </c>
      <c r="E67" s="69"/>
      <c r="F67" s="69"/>
      <c r="G67" s="69"/>
      <c r="H67" s="69"/>
      <c r="I67" s="69"/>
      <c r="J67" s="69">
        <v>49100</v>
      </c>
      <c r="K67" s="69"/>
      <c r="L67" s="69"/>
      <c r="M67" s="69"/>
      <c r="N67" s="69"/>
      <c r="O67" s="69"/>
      <c r="P67" s="69" t="s">
        <v>934</v>
      </c>
      <c r="Q67" s="69"/>
      <c r="R67" s="69"/>
      <c r="S67" s="69"/>
      <c r="T67" s="69"/>
      <c r="U67" s="69"/>
    </row>
    <row r="68" spans="1:21" x14ac:dyDescent="0.3">
      <c r="A68" s="69" t="s">
        <v>309</v>
      </c>
      <c r="B68" s="69" t="s">
        <v>499</v>
      </c>
      <c r="C68" s="69">
        <v>15</v>
      </c>
      <c r="D68" s="69">
        <v>15</v>
      </c>
      <c r="E68" s="69"/>
      <c r="F68" s="69"/>
      <c r="G68" s="69"/>
      <c r="H68" s="69"/>
      <c r="I68" s="69"/>
      <c r="J68" s="69">
        <v>210491000</v>
      </c>
      <c r="K68" s="69"/>
      <c r="L68" s="69"/>
      <c r="M68" s="69"/>
      <c r="N68" s="69"/>
      <c r="O68" s="69"/>
      <c r="P68" s="69" t="s">
        <v>934</v>
      </c>
      <c r="Q68" s="69"/>
      <c r="R68" s="69"/>
      <c r="S68" s="69"/>
      <c r="T68" s="69"/>
      <c r="U68" s="69"/>
    </row>
    <row r="69" spans="1:21" x14ac:dyDescent="0.3">
      <c r="A69" s="69" t="s">
        <v>137</v>
      </c>
      <c r="B69" s="69" t="s">
        <v>499</v>
      </c>
      <c r="C69" s="69">
        <v>12</v>
      </c>
      <c r="D69" s="69">
        <v>12</v>
      </c>
      <c r="E69" s="69"/>
      <c r="F69" s="69">
        <v>1</v>
      </c>
      <c r="G69" s="69"/>
      <c r="H69" s="69"/>
      <c r="I69" s="69"/>
      <c r="J69" s="69">
        <v>50000</v>
      </c>
      <c r="K69" s="69"/>
      <c r="L69" s="69"/>
      <c r="M69" s="69"/>
      <c r="N69" s="69"/>
      <c r="O69" s="69"/>
      <c r="P69" s="69">
        <v>50005</v>
      </c>
      <c r="Q69" s="69"/>
      <c r="R69" s="69"/>
      <c r="S69" s="69"/>
      <c r="T69" s="69"/>
      <c r="U69" s="69"/>
    </row>
    <row r="70" spans="1:21" x14ac:dyDescent="0.3">
      <c r="A70" s="69" t="s">
        <v>140</v>
      </c>
      <c r="B70" s="69" t="s">
        <v>499</v>
      </c>
      <c r="C70" s="69">
        <v>21</v>
      </c>
      <c r="D70" s="69">
        <v>21</v>
      </c>
      <c r="E70" s="69"/>
      <c r="F70" s="69">
        <v>1</v>
      </c>
      <c r="G70" s="69"/>
      <c r="H70" s="69"/>
      <c r="I70" s="69"/>
      <c r="J70" s="69">
        <v>50010</v>
      </c>
      <c r="K70" s="69"/>
      <c r="L70" s="69"/>
      <c r="M70" s="69"/>
      <c r="N70" s="69"/>
      <c r="O70" s="69"/>
      <c r="P70" s="69">
        <v>50015</v>
      </c>
      <c r="Q70" s="69"/>
      <c r="R70" s="69"/>
      <c r="S70" s="69"/>
      <c r="T70" s="69"/>
      <c r="U70" s="69"/>
    </row>
    <row r="71" spans="1:21" x14ac:dyDescent="0.3">
      <c r="A71" s="69" t="s">
        <v>342</v>
      </c>
      <c r="B71" s="69" t="s">
        <v>499</v>
      </c>
      <c r="C71" s="69">
        <v>14</v>
      </c>
      <c r="D71" s="69">
        <v>14</v>
      </c>
      <c r="E71" s="69"/>
      <c r="F71" s="69">
        <v>1</v>
      </c>
      <c r="G71" s="69"/>
      <c r="H71" s="69"/>
      <c r="I71" s="69"/>
      <c r="J71" s="69">
        <v>210500000</v>
      </c>
      <c r="K71" s="69"/>
      <c r="L71" s="69"/>
      <c r="M71" s="69"/>
      <c r="N71" s="69"/>
      <c r="O71" s="69"/>
      <c r="P71" s="69">
        <v>210500050</v>
      </c>
      <c r="Q71" s="69"/>
      <c r="R71" s="69"/>
      <c r="S71" s="69"/>
      <c r="T71" s="69"/>
      <c r="U71" s="69"/>
    </row>
    <row r="72" spans="1:21" x14ac:dyDescent="0.3">
      <c r="A72" s="69" t="s">
        <v>715</v>
      </c>
      <c r="B72" s="69" t="s">
        <v>499</v>
      </c>
      <c r="C72" s="69">
        <v>29</v>
      </c>
      <c r="D72" s="69">
        <v>29</v>
      </c>
      <c r="E72" s="69"/>
      <c r="F72" s="69"/>
      <c r="G72" s="69"/>
      <c r="H72" s="69"/>
      <c r="I72" s="69"/>
      <c r="J72" s="69">
        <v>50100</v>
      </c>
      <c r="K72" s="69">
        <v>50101</v>
      </c>
      <c r="L72" s="69"/>
      <c r="M72" s="69"/>
      <c r="N72" s="69"/>
      <c r="O72" s="69"/>
      <c r="P72" s="69" t="s">
        <v>934</v>
      </c>
      <c r="Q72" s="69"/>
      <c r="R72" s="69"/>
      <c r="S72" s="69"/>
      <c r="T72" s="69"/>
      <c r="U72" s="69"/>
    </row>
    <row r="73" spans="1:21" x14ac:dyDescent="0.3">
      <c r="A73" s="69" t="s">
        <v>144</v>
      </c>
      <c r="B73" s="69" t="s">
        <v>499</v>
      </c>
      <c r="C73" s="69">
        <v>17</v>
      </c>
      <c r="D73" s="69">
        <v>17</v>
      </c>
      <c r="E73" s="69"/>
      <c r="F73" s="69"/>
      <c r="G73" s="69"/>
      <c r="H73" s="69"/>
      <c r="I73" s="69"/>
      <c r="J73" s="69">
        <v>50300</v>
      </c>
      <c r="K73" s="69"/>
      <c r="L73" s="69"/>
      <c r="M73" s="69"/>
      <c r="N73" s="69"/>
      <c r="O73" s="69"/>
      <c r="P73" s="69" t="s">
        <v>934</v>
      </c>
      <c r="Q73" s="69"/>
      <c r="R73" s="69"/>
      <c r="S73" s="69"/>
      <c r="T73" s="69"/>
      <c r="U73" s="69"/>
    </row>
    <row r="74" spans="1:21" x14ac:dyDescent="0.3">
      <c r="A74" s="69" t="s">
        <v>716</v>
      </c>
      <c r="B74" s="69" t="s">
        <v>499</v>
      </c>
      <c r="C74" s="69">
        <v>41</v>
      </c>
      <c r="D74" s="69">
        <v>41</v>
      </c>
      <c r="E74" s="69"/>
      <c r="F74" s="69">
        <v>1</v>
      </c>
      <c r="G74" s="69"/>
      <c r="H74" s="69"/>
      <c r="I74" s="69"/>
      <c r="J74" s="69">
        <v>210621000</v>
      </c>
      <c r="K74" s="69">
        <v>210621001</v>
      </c>
      <c r="L74" s="69"/>
      <c r="M74" s="69"/>
      <c r="N74" s="69"/>
      <c r="O74" s="69"/>
      <c r="P74" s="69">
        <v>210621050</v>
      </c>
      <c r="Q74" s="69">
        <v>210621051</v>
      </c>
      <c r="R74" s="69"/>
      <c r="S74" s="69"/>
      <c r="T74" s="69"/>
      <c r="U74" s="69"/>
    </row>
    <row r="75" spans="1:21" x14ac:dyDescent="0.3">
      <c r="A75" s="69" t="s">
        <v>315</v>
      </c>
      <c r="B75" s="69" t="s">
        <v>499</v>
      </c>
      <c r="C75" s="69">
        <v>29</v>
      </c>
      <c r="D75" s="69">
        <v>29</v>
      </c>
      <c r="E75" s="69"/>
      <c r="F75" s="69"/>
      <c r="G75" s="69"/>
      <c r="H75" s="69"/>
      <c r="I75" s="69"/>
      <c r="J75" s="69">
        <v>210620000</v>
      </c>
      <c r="K75" s="69"/>
      <c r="L75" s="69"/>
      <c r="M75" s="69"/>
      <c r="N75" s="69"/>
      <c r="O75" s="69"/>
      <c r="P75" s="69" t="s">
        <v>934</v>
      </c>
      <c r="Q75" s="69"/>
      <c r="R75" s="69"/>
      <c r="S75" s="69"/>
      <c r="T75" s="69"/>
      <c r="U75" s="69"/>
    </row>
    <row r="76" spans="1:21" x14ac:dyDescent="0.3">
      <c r="A76" s="69" t="s">
        <v>172</v>
      </c>
      <c r="B76" s="69" t="s">
        <v>500</v>
      </c>
      <c r="C76" s="69">
        <v>40</v>
      </c>
      <c r="D76" s="69">
        <v>40</v>
      </c>
      <c r="E76" s="69"/>
      <c r="F76" s="69">
        <v>1</v>
      </c>
      <c r="G76" s="69"/>
      <c r="H76" s="69"/>
      <c r="I76" s="69"/>
      <c r="J76" s="69">
        <v>64100</v>
      </c>
      <c r="K76" s="69"/>
      <c r="L76" s="69"/>
      <c r="M76" s="69"/>
      <c r="N76" s="69"/>
      <c r="O76" s="69"/>
      <c r="P76" s="69">
        <v>64105</v>
      </c>
      <c r="Q76" s="69"/>
      <c r="R76" s="69"/>
      <c r="S76" s="69"/>
      <c r="T76" s="69"/>
      <c r="U76" s="69"/>
    </row>
    <row r="77" spans="1:21" x14ac:dyDescent="0.3">
      <c r="A77" s="69" t="s">
        <v>344</v>
      </c>
      <c r="B77" s="69" t="s">
        <v>500</v>
      </c>
      <c r="C77" s="69">
        <v>18</v>
      </c>
      <c r="D77" s="69">
        <v>18</v>
      </c>
      <c r="E77" s="69"/>
      <c r="F77" s="69">
        <v>1</v>
      </c>
      <c r="G77" s="69"/>
      <c r="H77" s="69"/>
      <c r="I77" s="69"/>
      <c r="J77" s="69">
        <v>210669000</v>
      </c>
      <c r="K77" s="69"/>
      <c r="L77" s="69"/>
      <c r="M77" s="69"/>
      <c r="N77" s="69"/>
      <c r="O77" s="69"/>
      <c r="P77" s="69">
        <v>210669050</v>
      </c>
      <c r="Q77" s="69"/>
      <c r="R77" s="69"/>
      <c r="S77" s="69"/>
      <c r="T77" s="69"/>
      <c r="U77" s="69"/>
    </row>
    <row r="78" spans="1:21" x14ac:dyDescent="0.3">
      <c r="A78" s="69" t="s">
        <v>238</v>
      </c>
      <c r="B78" s="69" t="s">
        <v>500</v>
      </c>
      <c r="C78" s="69">
        <v>28</v>
      </c>
      <c r="D78" s="69">
        <v>72</v>
      </c>
      <c r="E78" s="69"/>
      <c r="F78" s="69">
        <v>1</v>
      </c>
      <c r="G78" s="69"/>
      <c r="H78" s="69"/>
      <c r="I78" s="69"/>
      <c r="J78" s="69">
        <v>75200</v>
      </c>
      <c r="K78" s="69"/>
      <c r="L78" s="69"/>
      <c r="M78" s="69"/>
      <c r="N78" s="69"/>
      <c r="O78" s="69"/>
      <c r="P78" s="69">
        <v>75200</v>
      </c>
      <c r="Q78" s="69">
        <v>75200</v>
      </c>
      <c r="R78" s="69">
        <v>75200</v>
      </c>
      <c r="S78" s="69"/>
      <c r="T78" s="69"/>
      <c r="U78" s="69"/>
    </row>
    <row r="79" spans="1:21" x14ac:dyDescent="0.3">
      <c r="A79" s="69" t="s">
        <v>233</v>
      </c>
      <c r="B79" s="69" t="s">
        <v>500</v>
      </c>
      <c r="C79" s="69">
        <v>20</v>
      </c>
      <c r="D79" s="69">
        <v>20</v>
      </c>
      <c r="E79" s="69"/>
      <c r="F79" s="69">
        <v>1</v>
      </c>
      <c r="G79" s="69"/>
      <c r="H79" s="69"/>
      <c r="I79" s="69"/>
      <c r="J79" s="69">
        <v>75000</v>
      </c>
      <c r="K79" s="69"/>
      <c r="L79" s="69"/>
      <c r="M79" s="69"/>
      <c r="N79" s="69"/>
      <c r="O79" s="69"/>
      <c r="P79" s="69">
        <v>75000</v>
      </c>
      <c r="Q79" s="69">
        <v>75005</v>
      </c>
      <c r="R79" s="69"/>
      <c r="S79" s="69"/>
      <c r="T79" s="69"/>
      <c r="U79" s="69"/>
    </row>
    <row r="80" spans="1:21" x14ac:dyDescent="0.3">
      <c r="A80" s="69" t="s">
        <v>236</v>
      </c>
      <c r="B80" s="69" t="s">
        <v>500</v>
      </c>
      <c r="C80" s="69">
        <v>18</v>
      </c>
      <c r="D80" s="69">
        <v>18</v>
      </c>
      <c r="E80" s="69"/>
      <c r="F80" s="69">
        <v>1</v>
      </c>
      <c r="G80" s="69"/>
      <c r="H80" s="69"/>
      <c r="I80" s="69"/>
      <c r="J80" s="69">
        <v>75100</v>
      </c>
      <c r="K80" s="69"/>
      <c r="L80" s="69"/>
      <c r="M80" s="69"/>
      <c r="N80" s="69"/>
      <c r="O80" s="69"/>
      <c r="P80" s="69">
        <v>75105</v>
      </c>
      <c r="Q80" s="69"/>
      <c r="R80" s="69"/>
      <c r="S80" s="69"/>
      <c r="T80" s="69"/>
      <c r="U80" s="69"/>
    </row>
    <row r="81" spans="1:21" x14ac:dyDescent="0.3">
      <c r="A81" s="69" t="s">
        <v>717</v>
      </c>
      <c r="B81" s="69" t="s">
        <v>500</v>
      </c>
      <c r="C81" s="69">
        <v>14</v>
      </c>
      <c r="D81" s="69">
        <v>14</v>
      </c>
      <c r="E81" s="69"/>
      <c r="F81" s="69">
        <v>1</v>
      </c>
      <c r="G81" s="69"/>
      <c r="H81" s="69"/>
      <c r="I81" s="69"/>
      <c r="J81" s="69">
        <v>210665001</v>
      </c>
      <c r="K81" s="69">
        <v>210665000</v>
      </c>
      <c r="L81" s="69"/>
      <c r="M81" s="69"/>
      <c r="N81" s="69"/>
      <c r="O81" s="69"/>
      <c r="P81" s="69">
        <v>210665001</v>
      </c>
      <c r="Q81" s="69">
        <v>210665000</v>
      </c>
      <c r="R81" s="69">
        <v>210665001</v>
      </c>
      <c r="S81" s="69">
        <v>210665000</v>
      </c>
      <c r="T81" s="69">
        <v>210665001</v>
      </c>
      <c r="U81" s="69"/>
    </row>
    <row r="82" spans="1:21" x14ac:dyDescent="0.3">
      <c r="A82" s="69" t="s">
        <v>348</v>
      </c>
      <c r="B82" s="69" t="s">
        <v>500</v>
      </c>
      <c r="C82" s="69">
        <v>23</v>
      </c>
      <c r="D82" s="69">
        <v>23</v>
      </c>
      <c r="E82" s="69"/>
      <c r="F82" s="69">
        <v>1</v>
      </c>
      <c r="G82" s="69"/>
      <c r="H82" s="69"/>
      <c r="I82" s="69"/>
      <c r="J82" s="69">
        <v>210666000</v>
      </c>
      <c r="K82" s="69"/>
      <c r="L82" s="69"/>
      <c r="M82" s="69"/>
      <c r="N82" s="69"/>
      <c r="O82" s="69"/>
      <c r="P82" s="69">
        <v>210666050</v>
      </c>
      <c r="Q82" s="69"/>
      <c r="R82" s="69"/>
      <c r="S82" s="69"/>
      <c r="T82" s="69"/>
      <c r="U82" s="69"/>
    </row>
    <row r="83" spans="1:21" x14ac:dyDescent="0.3">
      <c r="A83" s="69" t="s">
        <v>718</v>
      </c>
      <c r="B83" s="69" t="s">
        <v>500</v>
      </c>
      <c r="C83" s="69">
        <v>40</v>
      </c>
      <c r="D83" s="69">
        <v>40</v>
      </c>
      <c r="E83" s="69"/>
      <c r="F83" s="69"/>
      <c r="G83" s="69"/>
      <c r="H83" s="69"/>
      <c r="I83" s="69"/>
      <c r="J83" s="69">
        <v>210668000</v>
      </c>
      <c r="K83" s="69">
        <v>210668001</v>
      </c>
      <c r="L83" s="69"/>
      <c r="M83" s="69"/>
      <c r="N83" s="69"/>
      <c r="O83" s="69"/>
      <c r="P83" s="69" t="s">
        <v>934</v>
      </c>
      <c r="Q83" s="69"/>
      <c r="R83" s="69"/>
      <c r="S83" s="69"/>
      <c r="T83" s="69"/>
      <c r="U83" s="69"/>
    </row>
    <row r="84" spans="1:21" x14ac:dyDescent="0.3">
      <c r="A84" s="69" t="s">
        <v>719</v>
      </c>
      <c r="B84" s="69" t="s">
        <v>500</v>
      </c>
      <c r="C84" s="69">
        <v>41</v>
      </c>
      <c r="D84" s="69">
        <v>41</v>
      </c>
      <c r="E84" s="69"/>
      <c r="F84" s="69"/>
      <c r="G84" s="69"/>
      <c r="H84" s="69"/>
      <c r="I84" s="69"/>
      <c r="J84" s="69">
        <v>67201</v>
      </c>
      <c r="K84" s="69">
        <v>67200</v>
      </c>
      <c r="L84" s="69">
        <v>67202</v>
      </c>
      <c r="M84" s="69"/>
      <c r="N84" s="69"/>
      <c r="O84" s="69"/>
      <c r="P84" s="69" t="s">
        <v>934</v>
      </c>
      <c r="Q84" s="69"/>
      <c r="R84" s="69"/>
      <c r="S84" s="69"/>
      <c r="T84" s="69"/>
      <c r="U84" s="69"/>
    </row>
    <row r="85" spans="1:21" x14ac:dyDescent="0.3">
      <c r="A85" s="69" t="s">
        <v>783</v>
      </c>
      <c r="B85" s="69" t="s">
        <v>500</v>
      </c>
      <c r="C85" s="69">
        <v>26</v>
      </c>
      <c r="D85" s="69">
        <v>26</v>
      </c>
      <c r="E85" s="69"/>
      <c r="F85" s="69"/>
      <c r="G85" s="69"/>
      <c r="H85" s="69"/>
      <c r="I85" s="69"/>
      <c r="J85" s="69">
        <v>75300</v>
      </c>
      <c r="K85" s="69">
        <v>75301</v>
      </c>
      <c r="L85" s="69"/>
      <c r="M85" s="69"/>
      <c r="N85" s="69"/>
      <c r="O85" s="69"/>
      <c r="P85" s="69" t="s">
        <v>934</v>
      </c>
      <c r="Q85" s="69"/>
      <c r="R85" s="69"/>
      <c r="S85" s="69"/>
      <c r="T85" s="69"/>
      <c r="U85" s="69"/>
    </row>
    <row r="86" spans="1:21" x14ac:dyDescent="0.3">
      <c r="A86" s="69" t="s">
        <v>784</v>
      </c>
      <c r="B86" s="69" t="s">
        <v>500</v>
      </c>
      <c r="C86" s="69">
        <v>26</v>
      </c>
      <c r="D86" s="69">
        <v>26</v>
      </c>
      <c r="E86" s="69"/>
      <c r="F86" s="69"/>
      <c r="G86" s="69"/>
      <c r="H86" s="69"/>
      <c r="I86" s="69"/>
      <c r="J86" s="69">
        <v>75302</v>
      </c>
      <c r="K86" s="69">
        <v>75303</v>
      </c>
      <c r="L86" s="69"/>
      <c r="M86" s="69"/>
      <c r="N86" s="69"/>
      <c r="O86" s="69"/>
      <c r="P86" s="69"/>
      <c r="Q86" s="69"/>
      <c r="R86" s="69"/>
      <c r="S86" s="69"/>
      <c r="T86" s="69"/>
      <c r="U86" s="69"/>
    </row>
    <row r="87" spans="1:21" x14ac:dyDescent="0.3">
      <c r="A87" s="69" t="s">
        <v>174</v>
      </c>
      <c r="B87" s="69" t="s">
        <v>500</v>
      </c>
      <c r="C87" s="69">
        <v>3</v>
      </c>
      <c r="D87" s="69">
        <v>3</v>
      </c>
      <c r="E87" s="69"/>
      <c r="F87" s="69"/>
      <c r="G87" s="69"/>
      <c r="H87" s="69"/>
      <c r="I87" s="69"/>
      <c r="J87" s="19">
        <v>67000</v>
      </c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</row>
    <row r="88" spans="1:21" x14ac:dyDescent="0.3">
      <c r="A88" s="69" t="s">
        <v>176</v>
      </c>
      <c r="B88" s="69" t="s">
        <v>500</v>
      </c>
      <c r="C88" s="69">
        <v>23</v>
      </c>
      <c r="D88" s="69">
        <v>23</v>
      </c>
      <c r="E88" s="69"/>
      <c r="F88" s="69"/>
      <c r="G88" s="69"/>
      <c r="H88" s="69"/>
      <c r="I88" s="69"/>
      <c r="J88" s="69">
        <v>67010</v>
      </c>
      <c r="K88" s="69"/>
      <c r="L88" s="69"/>
      <c r="M88" s="69"/>
      <c r="N88" s="69"/>
      <c r="O88" s="69"/>
      <c r="P88" s="69" t="s">
        <v>934</v>
      </c>
      <c r="Q88" s="69"/>
      <c r="R88" s="69"/>
      <c r="S88" s="69"/>
      <c r="T88" s="69"/>
      <c r="U88" s="69"/>
    </row>
    <row r="89" spans="1:21" x14ac:dyDescent="0.3">
      <c r="A89" s="69" t="s">
        <v>177</v>
      </c>
      <c r="B89" s="69" t="s">
        <v>500</v>
      </c>
      <c r="C89" s="69">
        <v>21</v>
      </c>
      <c r="D89" s="69">
        <v>21</v>
      </c>
      <c r="E89" s="69"/>
      <c r="F89" s="69">
        <v>1</v>
      </c>
      <c r="G89" s="69"/>
      <c r="H89" s="69"/>
      <c r="I89" s="69"/>
      <c r="J89" s="69">
        <v>67100</v>
      </c>
      <c r="K89" s="69"/>
      <c r="L89" s="69"/>
      <c r="M89" s="69"/>
      <c r="N89" s="69"/>
      <c r="O89" s="69"/>
      <c r="P89" s="69">
        <v>67105</v>
      </c>
      <c r="Q89" s="69"/>
      <c r="R89" s="69"/>
      <c r="S89" s="69"/>
      <c r="T89" s="69"/>
      <c r="U89" s="69"/>
    </row>
    <row r="90" spans="1:21" x14ac:dyDescent="0.3">
      <c r="A90" s="69" t="s">
        <v>720</v>
      </c>
      <c r="B90" s="69" t="s">
        <v>500</v>
      </c>
      <c r="C90" s="69">
        <v>23</v>
      </c>
      <c r="D90" s="69">
        <v>23</v>
      </c>
      <c r="E90" s="69"/>
      <c r="F90" s="69">
        <v>1</v>
      </c>
      <c r="G90" s="69"/>
      <c r="H90" s="69"/>
      <c r="I90" s="69"/>
      <c r="J90" s="69">
        <v>210671000</v>
      </c>
      <c r="K90" s="69">
        <v>210671001</v>
      </c>
      <c r="L90" s="69"/>
      <c r="M90" s="69"/>
      <c r="N90" s="69"/>
      <c r="O90" s="69"/>
      <c r="P90" s="69">
        <v>210671050</v>
      </c>
      <c r="Q90" s="69">
        <v>210671051</v>
      </c>
      <c r="R90" s="69"/>
      <c r="S90" s="69"/>
      <c r="T90" s="69"/>
      <c r="U90" s="69"/>
    </row>
    <row r="91" spans="1:21" x14ac:dyDescent="0.3">
      <c r="A91" s="69" t="s">
        <v>182</v>
      </c>
      <c r="B91" s="69" t="s">
        <v>500</v>
      </c>
      <c r="C91" s="69">
        <v>17</v>
      </c>
      <c r="D91" s="69">
        <v>17</v>
      </c>
      <c r="E91" s="69"/>
      <c r="F91" s="69"/>
      <c r="G91" s="69"/>
      <c r="H91" s="69"/>
      <c r="I91" s="69"/>
      <c r="J91" s="69">
        <v>67500</v>
      </c>
      <c r="K91" s="69"/>
      <c r="L91" s="69"/>
      <c r="M91" s="69"/>
      <c r="N91" s="69"/>
      <c r="O91" s="69"/>
      <c r="P91" s="69" t="s">
        <v>934</v>
      </c>
      <c r="Q91" s="69"/>
      <c r="R91" s="69"/>
      <c r="S91" s="69"/>
      <c r="T91" s="69"/>
      <c r="U91" s="69"/>
    </row>
    <row r="92" spans="1:21" x14ac:dyDescent="0.3">
      <c r="A92" s="69" t="s">
        <v>721</v>
      </c>
      <c r="B92" s="69" t="s">
        <v>500</v>
      </c>
      <c r="C92" s="69">
        <v>48</v>
      </c>
      <c r="D92" s="69">
        <v>48</v>
      </c>
      <c r="E92" s="69"/>
      <c r="F92" s="69"/>
      <c r="G92" s="69"/>
      <c r="H92" s="69"/>
      <c r="I92" s="69"/>
      <c r="J92" s="69">
        <v>210670000</v>
      </c>
      <c r="K92" s="69">
        <v>210670001</v>
      </c>
      <c r="L92" s="69"/>
      <c r="M92" s="69"/>
      <c r="N92" s="69"/>
      <c r="O92" s="69"/>
      <c r="P92" s="69" t="s">
        <v>934</v>
      </c>
      <c r="Q92" s="69"/>
      <c r="R92" s="69"/>
      <c r="S92" s="69"/>
      <c r="T92" s="69"/>
      <c r="U92" s="69"/>
    </row>
    <row r="93" spans="1:21" x14ac:dyDescent="0.3">
      <c r="A93" s="69" t="s">
        <v>189</v>
      </c>
      <c r="B93" s="69" t="s">
        <v>500</v>
      </c>
      <c r="C93" s="69">
        <v>18</v>
      </c>
      <c r="D93" s="69">
        <v>18</v>
      </c>
      <c r="E93" s="69"/>
      <c r="F93" s="69">
        <v>1</v>
      </c>
      <c r="G93" s="69"/>
      <c r="H93" s="69"/>
      <c r="I93" s="69"/>
      <c r="J93" s="69">
        <v>69000</v>
      </c>
      <c r="K93" s="69"/>
      <c r="L93" s="69"/>
      <c r="M93" s="69"/>
      <c r="N93" s="69"/>
      <c r="O93" s="69"/>
      <c r="P93" s="69">
        <v>69005</v>
      </c>
      <c r="Q93" s="69"/>
      <c r="R93" s="69"/>
      <c r="S93" s="69"/>
      <c r="T93" s="69"/>
      <c r="U93" s="69"/>
    </row>
    <row r="94" spans="1:21" x14ac:dyDescent="0.3">
      <c r="A94" s="69" t="s">
        <v>358</v>
      </c>
      <c r="B94" s="69" t="s">
        <v>500</v>
      </c>
      <c r="C94" s="69">
        <v>29</v>
      </c>
      <c r="D94" s="69">
        <v>29</v>
      </c>
      <c r="E94" s="69"/>
      <c r="F94" s="69">
        <v>1</v>
      </c>
      <c r="G94" s="69"/>
      <c r="H94" s="69"/>
      <c r="I94" s="69"/>
      <c r="J94" s="69">
        <v>210690000</v>
      </c>
      <c r="K94" s="69"/>
      <c r="L94" s="69"/>
      <c r="M94" s="69"/>
      <c r="N94" s="69"/>
      <c r="O94" s="69"/>
      <c r="P94" s="69">
        <v>210690050</v>
      </c>
      <c r="Q94" s="69"/>
      <c r="R94" s="69"/>
      <c r="S94" s="69"/>
      <c r="T94" s="69"/>
      <c r="U94" s="69"/>
    </row>
    <row r="95" spans="1:21" x14ac:dyDescent="0.3">
      <c r="A95" s="69" t="s">
        <v>194</v>
      </c>
      <c r="B95" s="69" t="s">
        <v>500</v>
      </c>
      <c r="C95" s="69">
        <v>19</v>
      </c>
      <c r="D95" s="69">
        <v>19</v>
      </c>
      <c r="E95" s="69"/>
      <c r="F95" s="69"/>
      <c r="G95" s="69"/>
      <c r="H95" s="69"/>
      <c r="I95" s="69"/>
      <c r="J95" s="69">
        <v>69200</v>
      </c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</row>
    <row r="96" spans="1:21" x14ac:dyDescent="0.3">
      <c r="A96" s="69" t="s">
        <v>197</v>
      </c>
      <c r="B96" s="69" t="s">
        <v>500</v>
      </c>
      <c r="C96" s="69">
        <v>12</v>
      </c>
      <c r="D96" s="69">
        <v>12</v>
      </c>
      <c r="E96" s="69"/>
      <c r="F96" s="69"/>
      <c r="G96" s="69"/>
      <c r="H96" s="69"/>
      <c r="I96" s="69"/>
      <c r="J96" s="69">
        <v>69300</v>
      </c>
      <c r="K96" s="69"/>
      <c r="L96" s="69"/>
      <c r="M96" s="69"/>
      <c r="N96" s="69"/>
      <c r="O96" s="69"/>
      <c r="P96" s="69" t="s">
        <v>934</v>
      </c>
      <c r="Q96" s="69"/>
      <c r="R96" s="69"/>
      <c r="S96" s="69"/>
      <c r="T96" s="69"/>
      <c r="U96" s="69"/>
    </row>
    <row r="97" spans="1:21" x14ac:dyDescent="0.3">
      <c r="A97" s="69" t="s">
        <v>917</v>
      </c>
      <c r="B97" s="69" t="s">
        <v>500</v>
      </c>
      <c r="C97" s="69">
        <v>25</v>
      </c>
      <c r="D97" s="69">
        <v>25</v>
      </c>
      <c r="E97" s="69"/>
      <c r="F97" s="69"/>
      <c r="G97" s="69"/>
      <c r="H97" s="69"/>
      <c r="I97" s="69"/>
      <c r="J97" s="69">
        <v>69400</v>
      </c>
      <c r="K97" s="69"/>
      <c r="L97" s="69"/>
      <c r="M97" s="69"/>
      <c r="N97" s="69"/>
      <c r="O97" s="69"/>
      <c r="P97" s="69" t="s">
        <v>934</v>
      </c>
      <c r="Q97" s="69"/>
      <c r="R97" s="69"/>
      <c r="S97" s="69"/>
      <c r="T97" s="69"/>
      <c r="U97" s="69"/>
    </row>
    <row r="98" spans="1:21" x14ac:dyDescent="0.3">
      <c r="A98" s="69" t="s">
        <v>918</v>
      </c>
      <c r="B98" s="69" t="s">
        <v>500</v>
      </c>
      <c r="C98" s="69">
        <v>25</v>
      </c>
      <c r="D98" s="69">
        <v>25</v>
      </c>
      <c r="E98" s="69"/>
      <c r="F98" s="69"/>
      <c r="G98" s="69"/>
      <c r="H98" s="69"/>
      <c r="I98" s="69"/>
      <c r="J98" s="69">
        <v>69402</v>
      </c>
      <c r="K98" s="69">
        <v>69401</v>
      </c>
      <c r="L98" s="69"/>
      <c r="M98" s="69"/>
      <c r="N98" s="69"/>
      <c r="O98" s="69"/>
      <c r="P98" s="69"/>
      <c r="Q98" s="69"/>
      <c r="R98" s="69"/>
      <c r="S98" s="69"/>
      <c r="T98" s="69"/>
      <c r="U98" s="69"/>
    </row>
    <row r="99" spans="1:21" x14ac:dyDescent="0.3">
      <c r="A99" s="69" t="s">
        <v>192</v>
      </c>
      <c r="B99" s="69" t="s">
        <v>500</v>
      </c>
      <c r="C99" s="69">
        <v>36</v>
      </c>
      <c r="D99" s="69">
        <v>36</v>
      </c>
      <c r="E99" s="69"/>
      <c r="F99" s="69">
        <v>1</v>
      </c>
      <c r="G99" s="69"/>
      <c r="H99" s="69"/>
      <c r="I99" s="69"/>
      <c r="J99" s="69">
        <v>69100</v>
      </c>
      <c r="K99" s="69"/>
      <c r="L99" s="69"/>
      <c r="M99" s="69"/>
      <c r="N99" s="69"/>
      <c r="O99" s="69"/>
      <c r="P99" s="69">
        <v>69105</v>
      </c>
      <c r="Q99" s="69"/>
      <c r="R99" s="69"/>
      <c r="S99" s="69"/>
      <c r="T99" s="69"/>
      <c r="U99" s="69"/>
    </row>
    <row r="100" spans="1:21" x14ac:dyDescent="0.3">
      <c r="A100" s="69" t="s">
        <v>789</v>
      </c>
      <c r="B100" s="69" t="s">
        <v>500</v>
      </c>
      <c r="C100" s="69">
        <v>22</v>
      </c>
      <c r="D100" s="69">
        <v>22</v>
      </c>
      <c r="E100" s="69"/>
      <c r="F100" s="69"/>
      <c r="G100" s="69"/>
      <c r="H100" s="69"/>
      <c r="I100" s="69"/>
      <c r="J100" s="69">
        <v>69500</v>
      </c>
      <c r="K100" s="69"/>
      <c r="L100" s="69"/>
      <c r="M100" s="69"/>
      <c r="N100" s="69"/>
      <c r="O100" s="69"/>
      <c r="P100" s="69" t="s">
        <v>934</v>
      </c>
      <c r="Q100" s="69"/>
      <c r="R100" s="69"/>
      <c r="S100" s="69"/>
      <c r="T100" s="69"/>
      <c r="U100" s="69"/>
    </row>
    <row r="101" spans="1:21" x14ac:dyDescent="0.3">
      <c r="A101" s="19" t="s">
        <v>202</v>
      </c>
      <c r="B101" s="69" t="s">
        <v>500</v>
      </c>
      <c r="C101" s="69">
        <v>22</v>
      </c>
      <c r="D101" s="69">
        <v>22</v>
      </c>
      <c r="E101" s="69"/>
      <c r="F101" s="69"/>
      <c r="G101" s="69"/>
      <c r="H101" s="69"/>
      <c r="I101" s="69"/>
      <c r="J101" s="69">
        <v>69502</v>
      </c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</row>
    <row r="102" spans="1:21" x14ac:dyDescent="0.3">
      <c r="A102" s="69" t="s">
        <v>790</v>
      </c>
      <c r="B102" s="69" t="s">
        <v>500</v>
      </c>
      <c r="C102" s="69">
        <v>35</v>
      </c>
      <c r="D102" s="69">
        <v>35</v>
      </c>
      <c r="E102" s="69"/>
      <c r="F102" s="69"/>
      <c r="G102" s="69"/>
      <c r="H102" s="69"/>
      <c r="I102" s="69"/>
      <c r="J102" s="69">
        <v>69410</v>
      </c>
      <c r="K102" s="69">
        <v>69415</v>
      </c>
      <c r="L102" s="69">
        <v>69416</v>
      </c>
      <c r="M102" s="69"/>
      <c r="N102" s="69"/>
      <c r="O102" s="69"/>
      <c r="P102" s="69" t="s">
        <v>934</v>
      </c>
      <c r="Q102" s="69"/>
      <c r="R102" s="69"/>
      <c r="S102" s="69"/>
      <c r="T102" s="69"/>
      <c r="U102" s="69"/>
    </row>
    <row r="103" spans="1:21" x14ac:dyDescent="0.3">
      <c r="A103" s="69" t="s">
        <v>792</v>
      </c>
      <c r="B103" s="69" t="s">
        <v>500</v>
      </c>
      <c r="C103" s="69">
        <v>35</v>
      </c>
      <c r="D103" s="69">
        <v>35</v>
      </c>
      <c r="E103" s="69"/>
      <c r="F103" s="69"/>
      <c r="G103" s="69"/>
      <c r="H103" s="69"/>
      <c r="I103" s="69"/>
      <c r="J103" s="69">
        <v>69412</v>
      </c>
      <c r="K103" s="69">
        <v>69411</v>
      </c>
      <c r="L103" s="69">
        <v>69417</v>
      </c>
      <c r="M103" s="69">
        <v>69416</v>
      </c>
      <c r="N103" s="69"/>
      <c r="O103" s="69"/>
      <c r="P103" s="69"/>
      <c r="Q103" s="69"/>
      <c r="R103" s="69"/>
      <c r="S103" s="69"/>
      <c r="T103" s="69"/>
      <c r="U103" s="69"/>
    </row>
    <row r="104" spans="1:21" x14ac:dyDescent="0.3">
      <c r="A104" s="69" t="s">
        <v>791</v>
      </c>
      <c r="B104" s="69" t="s">
        <v>500</v>
      </c>
      <c r="C104" s="69">
        <v>29</v>
      </c>
      <c r="D104" s="69">
        <v>29</v>
      </c>
      <c r="E104" s="69"/>
      <c r="F104" s="69"/>
      <c r="G104" s="69"/>
      <c r="H104" s="69"/>
      <c r="I104" s="69"/>
      <c r="J104" s="69">
        <v>69210</v>
      </c>
      <c r="K104" s="69">
        <v>69211</v>
      </c>
      <c r="L104" s="69"/>
      <c r="M104" s="69"/>
      <c r="N104" s="69"/>
      <c r="O104" s="69"/>
      <c r="P104" s="69" t="s">
        <v>934</v>
      </c>
      <c r="Q104" s="69"/>
      <c r="R104" s="69"/>
      <c r="S104" s="69"/>
      <c r="T104" s="69"/>
      <c r="U104" s="69"/>
    </row>
    <row r="105" spans="1:21" x14ac:dyDescent="0.3">
      <c r="A105" s="69" t="s">
        <v>793</v>
      </c>
      <c r="B105" s="69" t="s">
        <v>500</v>
      </c>
      <c r="C105" s="69">
        <v>29</v>
      </c>
      <c r="D105" s="69">
        <v>29</v>
      </c>
      <c r="E105" s="69"/>
      <c r="F105" s="69"/>
      <c r="G105" s="69"/>
      <c r="H105" s="69"/>
      <c r="I105" s="69"/>
      <c r="J105" s="69">
        <v>69211</v>
      </c>
      <c r="K105" s="69">
        <v>69211</v>
      </c>
      <c r="L105" s="69"/>
      <c r="M105" s="69"/>
      <c r="N105" s="69"/>
      <c r="O105" s="69"/>
      <c r="P105" s="69"/>
      <c r="Q105" s="69"/>
      <c r="R105" s="69"/>
      <c r="S105" s="69"/>
      <c r="T105" s="69"/>
      <c r="U105" s="69"/>
    </row>
    <row r="106" spans="1:21" x14ac:dyDescent="0.3">
      <c r="A106" s="69" t="s">
        <v>36</v>
      </c>
      <c r="B106" s="69" t="s">
        <v>500</v>
      </c>
      <c r="C106" s="69">
        <v>28</v>
      </c>
      <c r="D106" s="69">
        <v>28</v>
      </c>
      <c r="E106" s="69"/>
      <c r="F106" s="69">
        <v>1</v>
      </c>
      <c r="G106" s="69"/>
      <c r="H106" s="69"/>
      <c r="I106" s="69"/>
      <c r="J106" s="69">
        <v>50400</v>
      </c>
      <c r="K106" s="69"/>
      <c r="L106" s="69"/>
      <c r="M106" s="69"/>
      <c r="N106" s="69"/>
      <c r="O106" s="69"/>
      <c r="P106" s="69">
        <v>50405</v>
      </c>
      <c r="Q106" s="69"/>
      <c r="R106" s="69"/>
      <c r="S106" s="69"/>
      <c r="T106" s="69"/>
      <c r="U106" s="69"/>
    </row>
    <row r="107" spans="1:21" x14ac:dyDescent="0.3">
      <c r="A107" s="69" t="s">
        <v>722</v>
      </c>
      <c r="B107" s="69" t="s">
        <v>500</v>
      </c>
      <c r="C107" s="69">
        <v>26</v>
      </c>
      <c r="D107" s="69">
        <v>26</v>
      </c>
      <c r="E107" s="69"/>
      <c r="F107" s="69">
        <v>1</v>
      </c>
      <c r="G107" s="69"/>
      <c r="H107" s="69"/>
      <c r="I107" s="69"/>
      <c r="J107" s="69">
        <v>210692001</v>
      </c>
      <c r="K107" s="69"/>
      <c r="L107" s="69"/>
      <c r="M107" s="69"/>
      <c r="N107" s="69"/>
      <c r="O107" s="69"/>
      <c r="P107" s="69">
        <v>210692051</v>
      </c>
      <c r="Q107" s="69"/>
      <c r="R107" s="69"/>
      <c r="S107" s="69"/>
      <c r="T107" s="69"/>
      <c r="U107" s="69"/>
    </row>
    <row r="108" spans="1:21" x14ac:dyDescent="0.3">
      <c r="A108" s="69" t="s">
        <v>365</v>
      </c>
      <c r="B108" s="69" t="s">
        <v>500</v>
      </c>
      <c r="C108" s="69">
        <v>12</v>
      </c>
      <c r="D108" s="69">
        <v>12</v>
      </c>
      <c r="E108" s="69"/>
      <c r="F108" s="69">
        <v>1</v>
      </c>
      <c r="G108" s="69"/>
      <c r="H108" s="69"/>
      <c r="I108" s="69"/>
      <c r="J108" s="69">
        <v>210770000</v>
      </c>
      <c r="K108" s="69"/>
      <c r="L108" s="69"/>
      <c r="M108" s="69"/>
      <c r="N108" s="69"/>
      <c r="O108" s="69"/>
      <c r="P108" s="69">
        <v>210770050</v>
      </c>
      <c r="Q108" s="69"/>
      <c r="R108" s="69"/>
      <c r="S108" s="69"/>
      <c r="T108" s="69"/>
      <c r="U108" s="69"/>
    </row>
    <row r="109" spans="1:21" x14ac:dyDescent="0.3">
      <c r="A109" s="69" t="s">
        <v>367</v>
      </c>
      <c r="B109" s="69" t="s">
        <v>500</v>
      </c>
      <c r="C109" s="69">
        <v>24</v>
      </c>
      <c r="D109" s="69">
        <v>24</v>
      </c>
      <c r="E109" s="69"/>
      <c r="F109" s="69">
        <v>1</v>
      </c>
      <c r="G109" s="69"/>
      <c r="H109" s="69"/>
      <c r="I109" s="69"/>
      <c r="J109" s="69">
        <v>210771000</v>
      </c>
      <c r="K109" s="69"/>
      <c r="L109" s="69"/>
      <c r="M109" s="69"/>
      <c r="N109" s="69"/>
      <c r="O109" s="69"/>
      <c r="P109" s="69">
        <v>210771050</v>
      </c>
      <c r="Q109" s="69"/>
      <c r="R109" s="69"/>
      <c r="S109" s="69"/>
      <c r="T109" s="69"/>
      <c r="U109" s="69"/>
    </row>
    <row r="110" spans="1:21" x14ac:dyDescent="0.3">
      <c r="A110" s="69" t="s">
        <v>369</v>
      </c>
      <c r="B110" s="69" t="s">
        <v>500</v>
      </c>
      <c r="C110" s="69">
        <v>10</v>
      </c>
      <c r="D110" s="69">
        <v>10</v>
      </c>
      <c r="E110" s="69"/>
      <c r="F110" s="69">
        <v>1</v>
      </c>
      <c r="G110" s="69">
        <v>210772000</v>
      </c>
      <c r="H110" s="69"/>
      <c r="I110" s="69"/>
      <c r="J110" s="69">
        <v>210772000</v>
      </c>
      <c r="K110" s="69"/>
      <c r="L110" s="69"/>
      <c r="M110" s="69"/>
      <c r="N110" s="69"/>
      <c r="O110" s="69"/>
      <c r="P110" s="69">
        <v>210772000</v>
      </c>
      <c r="Q110" s="69"/>
      <c r="R110" s="69"/>
      <c r="S110" s="69"/>
      <c r="T110" s="69"/>
      <c r="U110" s="69"/>
    </row>
    <row r="111" spans="1:21" x14ac:dyDescent="0.3">
      <c r="A111" s="69" t="s">
        <v>370</v>
      </c>
      <c r="B111" s="69" t="s">
        <v>500</v>
      </c>
      <c r="C111" s="69">
        <v>12</v>
      </c>
      <c r="D111" s="69">
        <v>12</v>
      </c>
      <c r="E111" s="69"/>
      <c r="F111" s="69"/>
      <c r="G111" s="69"/>
      <c r="H111" s="69"/>
      <c r="I111" s="69"/>
      <c r="J111" s="69">
        <v>210760000</v>
      </c>
      <c r="K111" s="69"/>
      <c r="L111" s="69"/>
      <c r="M111" s="69"/>
      <c r="N111" s="69"/>
      <c r="O111" s="69"/>
      <c r="P111" s="69" t="s">
        <v>934</v>
      </c>
      <c r="Q111" s="69"/>
      <c r="R111" s="69"/>
      <c r="S111" s="69"/>
      <c r="T111" s="69"/>
      <c r="U111" s="69"/>
    </row>
    <row r="112" spans="1:21" x14ac:dyDescent="0.3">
      <c r="A112" s="69" t="s">
        <v>371</v>
      </c>
      <c r="B112" s="69" t="s">
        <v>500</v>
      </c>
      <c r="C112" s="69">
        <v>3</v>
      </c>
      <c r="D112" s="69">
        <v>3</v>
      </c>
      <c r="E112" s="69"/>
      <c r="F112" s="69">
        <v>1</v>
      </c>
      <c r="G112" s="69">
        <v>210774000</v>
      </c>
      <c r="H112" s="69"/>
      <c r="I112" s="69"/>
      <c r="J112" s="69">
        <v>210774000</v>
      </c>
      <c r="K112" s="69"/>
      <c r="L112" s="69"/>
      <c r="M112" s="69"/>
      <c r="N112" s="69"/>
      <c r="O112" s="69"/>
      <c r="P112" s="69">
        <v>210774000</v>
      </c>
      <c r="Q112" s="69"/>
      <c r="R112" s="69"/>
      <c r="S112" s="69"/>
      <c r="T112" s="69"/>
      <c r="U112" s="69"/>
    </row>
    <row r="113" spans="1:21" x14ac:dyDescent="0.3">
      <c r="A113" s="69" t="s">
        <v>372</v>
      </c>
      <c r="B113" s="69" t="s">
        <v>500</v>
      </c>
      <c r="C113" s="69">
        <v>24</v>
      </c>
      <c r="D113" s="69">
        <v>24</v>
      </c>
      <c r="E113" s="69"/>
      <c r="F113" s="69">
        <v>1</v>
      </c>
      <c r="G113" s="69"/>
      <c r="H113" s="69"/>
      <c r="I113" s="69"/>
      <c r="J113" s="69">
        <v>210773000</v>
      </c>
      <c r="K113" s="69"/>
      <c r="L113" s="69"/>
      <c r="M113" s="69"/>
      <c r="N113" s="69"/>
      <c r="O113" s="69"/>
      <c r="P113" s="69">
        <v>210773050</v>
      </c>
      <c r="Q113" s="69"/>
      <c r="R113" s="69"/>
      <c r="S113" s="69"/>
      <c r="T113" s="69"/>
      <c r="U113" s="69"/>
    </row>
    <row r="114" spans="1:21" x14ac:dyDescent="0.3">
      <c r="A114" s="69" t="s">
        <v>39</v>
      </c>
      <c r="B114" s="69" t="s">
        <v>500</v>
      </c>
      <c r="C114" s="69">
        <v>10</v>
      </c>
      <c r="D114" s="69">
        <v>10</v>
      </c>
      <c r="E114" s="69"/>
      <c r="F114" s="69"/>
      <c r="G114" s="69"/>
      <c r="H114" s="69"/>
      <c r="I114" s="69"/>
      <c r="J114" s="69">
        <v>60001</v>
      </c>
      <c r="K114" s="69"/>
      <c r="L114" s="69"/>
      <c r="M114" s="69"/>
      <c r="N114" s="69"/>
      <c r="O114" s="69"/>
      <c r="P114" s="69" t="s">
        <v>934</v>
      </c>
      <c r="Q114" s="69"/>
      <c r="R114" s="69"/>
      <c r="S114" s="69"/>
      <c r="T114" s="69"/>
      <c r="U114" s="69"/>
    </row>
    <row r="115" spans="1:21" x14ac:dyDescent="0.3">
      <c r="A115" s="69" t="s">
        <v>40</v>
      </c>
      <c r="B115" s="69" t="s">
        <v>500</v>
      </c>
      <c r="C115" s="69">
        <v>16</v>
      </c>
      <c r="D115" s="69">
        <v>16</v>
      </c>
      <c r="E115" s="69"/>
      <c r="F115" s="69">
        <v>1</v>
      </c>
      <c r="G115" s="69"/>
      <c r="H115" s="69"/>
      <c r="I115" s="69"/>
      <c r="J115" s="69">
        <v>60011</v>
      </c>
      <c r="K115" s="69"/>
      <c r="L115" s="69"/>
      <c r="M115" s="69"/>
      <c r="N115" s="69"/>
      <c r="O115" s="69"/>
      <c r="P115" s="69">
        <v>60016</v>
      </c>
      <c r="Q115" s="69"/>
      <c r="R115" s="69"/>
      <c r="S115" s="69"/>
      <c r="T115" s="69"/>
      <c r="U115" s="69"/>
    </row>
    <row r="116" spans="1:21" x14ac:dyDescent="0.3">
      <c r="A116" s="69" t="s">
        <v>42</v>
      </c>
      <c r="B116" s="69" t="s">
        <v>500</v>
      </c>
      <c r="C116" s="69">
        <v>11</v>
      </c>
      <c r="D116" s="69">
        <v>11</v>
      </c>
      <c r="E116" s="69"/>
      <c r="F116" s="69">
        <v>1</v>
      </c>
      <c r="G116" s="69"/>
      <c r="H116" s="69"/>
      <c r="I116" s="69"/>
      <c r="J116" s="69">
        <v>60100</v>
      </c>
      <c r="K116" s="69"/>
      <c r="L116" s="69"/>
      <c r="M116" s="69"/>
      <c r="N116" s="69"/>
      <c r="O116" s="69"/>
      <c r="P116" s="69">
        <v>60102</v>
      </c>
      <c r="Q116" s="69"/>
      <c r="R116" s="69"/>
      <c r="S116" s="69"/>
      <c r="T116" s="69"/>
      <c r="U116" s="69"/>
    </row>
    <row r="117" spans="1:21" x14ac:dyDescent="0.3">
      <c r="A117" s="69" t="s">
        <v>153</v>
      </c>
      <c r="B117" s="69" t="s">
        <v>500</v>
      </c>
      <c r="C117" s="69">
        <v>30</v>
      </c>
      <c r="D117" s="69">
        <v>30</v>
      </c>
      <c r="E117" s="69"/>
      <c r="F117" s="69">
        <v>1</v>
      </c>
      <c r="G117" s="69"/>
      <c r="H117" s="69"/>
      <c r="I117" s="69"/>
      <c r="J117" s="69">
        <v>61000</v>
      </c>
      <c r="K117" s="69"/>
      <c r="L117" s="69"/>
      <c r="M117" s="69"/>
      <c r="N117" s="69"/>
      <c r="O117" s="69"/>
      <c r="P117" s="69">
        <v>61005</v>
      </c>
      <c r="Q117" s="69"/>
      <c r="R117" s="69"/>
      <c r="S117" s="69"/>
      <c r="T117" s="69"/>
      <c r="U117" s="69"/>
    </row>
    <row r="118" spans="1:21" x14ac:dyDescent="0.3">
      <c r="A118" s="69" t="s">
        <v>44</v>
      </c>
      <c r="B118" s="69" t="s">
        <v>500</v>
      </c>
      <c r="C118" s="69">
        <v>16</v>
      </c>
      <c r="D118" s="69">
        <v>16</v>
      </c>
      <c r="E118" s="69"/>
      <c r="F118" s="69">
        <v>1</v>
      </c>
      <c r="G118" s="69"/>
      <c r="H118" s="69"/>
      <c r="I118" s="69"/>
      <c r="J118" s="69">
        <v>60200</v>
      </c>
      <c r="K118" s="69"/>
      <c r="L118" s="69"/>
      <c r="M118" s="69"/>
      <c r="N118" s="69"/>
      <c r="O118" s="69"/>
      <c r="P118" s="69">
        <v>60205</v>
      </c>
      <c r="Q118" s="69"/>
      <c r="R118" s="69"/>
      <c r="S118" s="69"/>
      <c r="T118" s="69"/>
      <c r="U118" s="69"/>
    </row>
    <row r="119" spans="1:21" x14ac:dyDescent="0.3">
      <c r="A119" s="69" t="s">
        <v>155</v>
      </c>
      <c r="B119" s="69" t="s">
        <v>500</v>
      </c>
      <c r="C119" s="69">
        <v>34</v>
      </c>
      <c r="D119" s="69">
        <v>34</v>
      </c>
      <c r="E119" s="69"/>
      <c r="F119" s="69"/>
      <c r="G119" s="69"/>
      <c r="H119" s="69"/>
      <c r="I119" s="69"/>
      <c r="J119" s="69">
        <v>61100</v>
      </c>
      <c r="K119" s="69">
        <v>61101</v>
      </c>
      <c r="L119" s="69"/>
      <c r="M119" s="69"/>
      <c r="N119" s="69"/>
      <c r="O119" s="69"/>
      <c r="P119" s="69" t="s">
        <v>934</v>
      </c>
      <c r="Q119" s="69"/>
      <c r="R119" s="69"/>
      <c r="S119" s="69"/>
      <c r="T119" s="69"/>
      <c r="U119" s="69"/>
    </row>
    <row r="120" spans="1:21" x14ac:dyDescent="0.3">
      <c r="A120" s="69" t="s">
        <v>161</v>
      </c>
      <c r="B120" s="69" t="s">
        <v>500</v>
      </c>
      <c r="C120" s="69">
        <v>10</v>
      </c>
      <c r="D120" s="69">
        <v>10</v>
      </c>
      <c r="E120" s="69">
        <v>5</v>
      </c>
      <c r="F120" s="69"/>
      <c r="G120" s="69"/>
      <c r="H120" s="69"/>
      <c r="I120" s="69"/>
      <c r="J120" s="69">
        <v>62200</v>
      </c>
      <c r="K120" s="69"/>
      <c r="L120" s="69"/>
      <c r="M120" s="69"/>
      <c r="N120" s="69"/>
      <c r="O120" s="69"/>
      <c r="P120" s="69" t="s">
        <v>934</v>
      </c>
      <c r="Q120" s="69"/>
      <c r="R120" s="69"/>
      <c r="S120" s="69"/>
      <c r="T120" s="69"/>
      <c r="U120" s="69"/>
    </row>
    <row r="121" spans="1:21" x14ac:dyDescent="0.3">
      <c r="A121" s="69" t="s">
        <v>151</v>
      </c>
      <c r="B121" s="69" t="s">
        <v>500</v>
      </c>
      <c r="C121" s="69">
        <v>19</v>
      </c>
      <c r="D121" s="69">
        <v>19</v>
      </c>
      <c r="E121" s="69"/>
      <c r="F121" s="69">
        <v>1</v>
      </c>
      <c r="G121" s="69"/>
      <c r="H121" s="69"/>
      <c r="I121" s="69"/>
      <c r="J121" s="69">
        <v>60300</v>
      </c>
      <c r="K121" s="69"/>
      <c r="L121" s="69"/>
      <c r="M121" s="69"/>
      <c r="N121" s="69"/>
      <c r="O121" s="69"/>
      <c r="P121" s="69">
        <v>60305</v>
      </c>
      <c r="Q121" s="69"/>
      <c r="R121" s="69"/>
      <c r="S121" s="69"/>
      <c r="T121" s="69"/>
      <c r="U121" s="69"/>
    </row>
    <row r="122" spans="1:21" x14ac:dyDescent="0.3">
      <c r="A122" s="69" t="s">
        <v>157</v>
      </c>
      <c r="B122" s="69" t="s">
        <v>500</v>
      </c>
      <c r="C122" s="69">
        <v>26</v>
      </c>
      <c r="D122" s="69">
        <v>26</v>
      </c>
      <c r="E122" s="69"/>
      <c r="F122" s="69">
        <v>1</v>
      </c>
      <c r="G122" s="69"/>
      <c r="H122" s="69"/>
      <c r="I122" s="69"/>
      <c r="J122" s="69">
        <v>61203</v>
      </c>
      <c r="K122" s="69"/>
      <c r="L122" s="69"/>
      <c r="M122" s="69"/>
      <c r="N122" s="69"/>
      <c r="O122" s="69"/>
      <c r="P122" s="69">
        <v>61203</v>
      </c>
      <c r="Q122" s="69"/>
      <c r="R122" s="69"/>
      <c r="S122" s="69"/>
      <c r="T122" s="69"/>
      <c r="U122" s="69"/>
    </row>
    <row r="123" spans="1:21" x14ac:dyDescent="0.3">
      <c r="A123" s="69" t="s">
        <v>723</v>
      </c>
      <c r="B123" s="69" t="s">
        <v>500</v>
      </c>
      <c r="C123" s="69">
        <v>26</v>
      </c>
      <c r="D123" s="69">
        <v>26</v>
      </c>
      <c r="E123" s="69"/>
      <c r="F123" s="69">
        <v>1</v>
      </c>
      <c r="G123" s="69"/>
      <c r="H123" s="69"/>
      <c r="I123" s="69"/>
      <c r="J123" s="69">
        <v>79001</v>
      </c>
      <c r="K123" s="69">
        <v>79000</v>
      </c>
      <c r="L123" s="69"/>
      <c r="M123" s="69"/>
      <c r="N123" s="69"/>
      <c r="O123" s="69"/>
      <c r="P123" s="69">
        <v>79006</v>
      </c>
      <c r="Q123" s="69">
        <v>79005</v>
      </c>
      <c r="R123" s="69"/>
      <c r="S123" s="69"/>
      <c r="T123" s="69"/>
      <c r="U123" s="69"/>
    </row>
    <row r="124" spans="1:21" x14ac:dyDescent="0.3">
      <c r="A124" s="69" t="s">
        <v>378</v>
      </c>
      <c r="B124" s="69" t="s">
        <v>500</v>
      </c>
      <c r="C124" s="69">
        <v>11</v>
      </c>
      <c r="D124" s="69">
        <v>11</v>
      </c>
      <c r="E124" s="69"/>
      <c r="F124" s="69">
        <v>1</v>
      </c>
      <c r="G124" s="69"/>
      <c r="H124" s="69"/>
      <c r="I124" s="69"/>
      <c r="J124" s="69">
        <v>210780000</v>
      </c>
      <c r="K124" s="69"/>
      <c r="L124" s="69"/>
      <c r="M124" s="69"/>
      <c r="N124" s="69"/>
      <c r="O124" s="69"/>
      <c r="P124" s="69">
        <v>210780050</v>
      </c>
      <c r="Q124" s="69"/>
      <c r="R124" s="69"/>
      <c r="S124" s="69"/>
      <c r="T124" s="69"/>
      <c r="U124" s="69"/>
    </row>
    <row r="125" spans="1:21" x14ac:dyDescent="0.3">
      <c r="A125" s="69" t="s">
        <v>733</v>
      </c>
      <c r="B125" s="69" t="s">
        <v>500</v>
      </c>
      <c r="C125" s="69">
        <v>27</v>
      </c>
      <c r="D125" s="69">
        <v>27</v>
      </c>
      <c r="E125" s="69"/>
      <c r="F125" s="69">
        <v>1</v>
      </c>
      <c r="G125" s="69"/>
      <c r="H125" s="69"/>
      <c r="I125" s="69"/>
      <c r="J125" s="69">
        <v>210781000</v>
      </c>
      <c r="K125" s="69"/>
      <c r="L125" s="69"/>
      <c r="M125" s="69"/>
      <c r="N125" s="69"/>
      <c r="O125" s="69"/>
      <c r="P125" s="69">
        <v>210781050</v>
      </c>
      <c r="Q125" s="69"/>
      <c r="R125" s="69"/>
      <c r="S125" s="69"/>
      <c r="T125" s="69"/>
      <c r="U125" s="69"/>
    </row>
    <row r="126" spans="1:21" x14ac:dyDescent="0.3">
      <c r="A126" s="69" t="s">
        <v>724</v>
      </c>
      <c r="B126" s="69" t="s">
        <v>500</v>
      </c>
      <c r="C126" s="69">
        <v>31</v>
      </c>
      <c r="D126" s="69">
        <v>31</v>
      </c>
      <c r="E126" s="69"/>
      <c r="F126" s="69">
        <v>1</v>
      </c>
      <c r="G126" s="69"/>
      <c r="H126" s="69"/>
      <c r="I126" s="69"/>
      <c r="J126" s="69">
        <v>210782000</v>
      </c>
      <c r="K126" s="69">
        <v>210782003</v>
      </c>
      <c r="L126" s="69"/>
      <c r="M126" s="69"/>
      <c r="N126" s="69"/>
      <c r="O126" s="69"/>
      <c r="P126" s="69">
        <v>210782050</v>
      </c>
      <c r="Q126" s="69">
        <v>210782053</v>
      </c>
      <c r="R126" s="69"/>
      <c r="S126" s="69"/>
      <c r="T126" s="69"/>
      <c r="U126" s="69"/>
    </row>
    <row r="127" spans="1:21" x14ac:dyDescent="0.3">
      <c r="A127" s="69" t="s">
        <v>158</v>
      </c>
      <c r="B127" s="69" t="s">
        <v>500</v>
      </c>
      <c r="C127" s="69">
        <v>18</v>
      </c>
      <c r="D127" s="69">
        <v>18</v>
      </c>
      <c r="E127" s="69"/>
      <c r="F127" s="69">
        <v>1</v>
      </c>
      <c r="G127" s="69"/>
      <c r="H127" s="69"/>
      <c r="I127" s="69"/>
      <c r="J127" s="69">
        <v>62100</v>
      </c>
      <c r="K127" s="69"/>
      <c r="L127" s="69"/>
      <c r="M127" s="69"/>
      <c r="N127" s="69"/>
      <c r="O127" s="69"/>
      <c r="P127" s="69">
        <v>62105</v>
      </c>
      <c r="Q127" s="69"/>
      <c r="R127" s="69"/>
      <c r="S127" s="69"/>
      <c r="T127" s="69"/>
      <c r="U127" s="69"/>
    </row>
    <row r="128" spans="1:21" x14ac:dyDescent="0.3">
      <c r="A128" s="69" t="s">
        <v>162</v>
      </c>
      <c r="B128" s="69" t="s">
        <v>500</v>
      </c>
      <c r="C128" s="69">
        <v>21</v>
      </c>
      <c r="D128" s="69">
        <v>21</v>
      </c>
      <c r="E128" s="69"/>
      <c r="F128" s="69">
        <v>1</v>
      </c>
      <c r="G128" s="69"/>
      <c r="H128" s="69"/>
      <c r="I128" s="69"/>
      <c r="J128" s="69">
        <v>62300</v>
      </c>
      <c r="K128" s="69"/>
      <c r="L128" s="69"/>
      <c r="M128" s="69"/>
      <c r="N128" s="69"/>
      <c r="O128" s="69"/>
      <c r="P128" s="69">
        <v>62305</v>
      </c>
      <c r="Q128" s="69"/>
      <c r="R128" s="69"/>
      <c r="S128" s="69"/>
      <c r="T128" s="69"/>
      <c r="U128" s="69"/>
    </row>
    <row r="129" spans="1:21" x14ac:dyDescent="0.3">
      <c r="A129" s="69" t="s">
        <v>164</v>
      </c>
      <c r="B129" s="69" t="s">
        <v>500</v>
      </c>
      <c r="C129" s="69">
        <v>30</v>
      </c>
      <c r="D129" s="69">
        <v>30</v>
      </c>
      <c r="E129" s="69"/>
      <c r="F129" s="69">
        <v>1</v>
      </c>
      <c r="G129" s="69"/>
      <c r="H129" s="69"/>
      <c r="I129" s="69"/>
      <c r="J129" s="69">
        <v>62500</v>
      </c>
      <c r="K129" s="69"/>
      <c r="L129" s="69"/>
      <c r="M129" s="69"/>
      <c r="N129" s="69"/>
      <c r="O129" s="69"/>
      <c r="P129" s="69">
        <v>62505</v>
      </c>
      <c r="Q129" s="69"/>
      <c r="R129" s="69"/>
      <c r="S129" s="69"/>
      <c r="T129" s="69"/>
      <c r="U129" s="69"/>
    </row>
    <row r="130" spans="1:21" x14ac:dyDescent="0.3">
      <c r="A130" s="69" t="s">
        <v>166</v>
      </c>
      <c r="B130" s="69" t="s">
        <v>500</v>
      </c>
      <c r="C130" s="69">
        <v>20</v>
      </c>
      <c r="D130" s="69">
        <v>20</v>
      </c>
      <c r="E130" s="69"/>
      <c r="F130" s="69">
        <v>1</v>
      </c>
      <c r="G130" s="69"/>
      <c r="H130" s="69"/>
      <c r="I130" s="69"/>
      <c r="J130" s="69">
        <v>62400</v>
      </c>
      <c r="K130" s="69"/>
      <c r="L130" s="69"/>
      <c r="M130" s="69"/>
      <c r="N130" s="69"/>
      <c r="O130" s="69"/>
      <c r="P130" s="69">
        <v>62405</v>
      </c>
      <c r="Q130" s="69"/>
      <c r="R130" s="69"/>
      <c r="S130" s="69"/>
      <c r="T130" s="69"/>
      <c r="U130" s="69"/>
    </row>
    <row r="131" spans="1:21" x14ac:dyDescent="0.3">
      <c r="A131" s="69" t="s">
        <v>186</v>
      </c>
      <c r="B131" s="69" t="s">
        <v>500</v>
      </c>
      <c r="C131" s="69">
        <v>10</v>
      </c>
      <c r="D131" s="69">
        <v>10</v>
      </c>
      <c r="E131" s="69"/>
      <c r="F131" s="69">
        <v>1</v>
      </c>
      <c r="G131" s="69"/>
      <c r="H131" s="69"/>
      <c r="I131" s="69"/>
      <c r="J131" s="69">
        <v>68200</v>
      </c>
      <c r="K131" s="69"/>
      <c r="L131" s="69"/>
      <c r="M131" s="69"/>
      <c r="N131" s="69"/>
      <c r="O131" s="69"/>
      <c r="P131" s="69">
        <v>68205</v>
      </c>
      <c r="Q131" s="69"/>
      <c r="R131" s="69"/>
      <c r="S131" s="69"/>
      <c r="T131" s="69"/>
      <c r="U131" s="69"/>
    </row>
    <row r="132" spans="1:21" x14ac:dyDescent="0.3">
      <c r="A132" s="69" t="s">
        <v>725</v>
      </c>
      <c r="B132" s="69" t="s">
        <v>500</v>
      </c>
      <c r="C132" s="69">
        <v>21</v>
      </c>
      <c r="D132" s="69">
        <v>21</v>
      </c>
      <c r="E132" s="69"/>
      <c r="F132" s="69"/>
      <c r="G132" s="69"/>
      <c r="H132" s="69"/>
      <c r="I132" s="69"/>
      <c r="J132" s="69">
        <v>68301</v>
      </c>
      <c r="K132" s="69">
        <v>68300</v>
      </c>
      <c r="L132" s="69"/>
      <c r="M132" s="69"/>
      <c r="N132" s="69"/>
      <c r="O132" s="69"/>
      <c r="P132" s="69" t="s">
        <v>934</v>
      </c>
      <c r="Q132" s="69"/>
      <c r="R132" s="69"/>
      <c r="S132" s="69"/>
      <c r="T132" s="69"/>
      <c r="U132" s="69"/>
    </row>
    <row r="133" spans="1:21" x14ac:dyDescent="0.3">
      <c r="A133" s="69" t="s">
        <v>183</v>
      </c>
      <c r="B133" s="69" t="s">
        <v>500</v>
      </c>
      <c r="C133" s="69">
        <v>7</v>
      </c>
      <c r="D133" s="69">
        <v>7</v>
      </c>
      <c r="E133" s="69"/>
      <c r="F133" s="69"/>
      <c r="G133" s="69"/>
      <c r="H133" s="69"/>
      <c r="I133" s="69"/>
      <c r="J133" s="69">
        <v>68000</v>
      </c>
      <c r="K133" s="69"/>
      <c r="L133" s="69"/>
      <c r="M133" s="69"/>
      <c r="N133" s="69"/>
      <c r="O133" s="69"/>
      <c r="P133" s="69" t="s">
        <v>934</v>
      </c>
      <c r="Q133" s="69"/>
      <c r="R133" s="69"/>
      <c r="S133" s="69"/>
      <c r="T133" s="69"/>
      <c r="U133" s="69"/>
    </row>
    <row r="134" spans="1:21" x14ac:dyDescent="0.3">
      <c r="A134" s="69" t="s">
        <v>185</v>
      </c>
      <c r="B134" s="69" t="s">
        <v>500</v>
      </c>
      <c r="C134" s="69">
        <v>15</v>
      </c>
      <c r="D134" s="69">
        <v>15</v>
      </c>
      <c r="E134" s="69"/>
      <c r="F134" s="69"/>
      <c r="G134" s="69"/>
      <c r="H134" s="69"/>
      <c r="I134" s="69"/>
      <c r="J134" s="69">
        <v>68100</v>
      </c>
      <c r="K134" s="69"/>
      <c r="L134" s="69"/>
      <c r="M134" s="69"/>
      <c r="N134" s="69"/>
      <c r="O134" s="69"/>
      <c r="P134" s="69" t="s">
        <v>934</v>
      </c>
      <c r="Q134" s="69"/>
      <c r="R134" s="69"/>
      <c r="S134" s="69"/>
      <c r="T134" s="69"/>
      <c r="U134" s="69"/>
    </row>
    <row r="135" spans="1:21" x14ac:dyDescent="0.3">
      <c r="A135" s="69" t="s">
        <v>734</v>
      </c>
      <c r="B135" s="69" t="s">
        <v>500</v>
      </c>
      <c r="C135" s="69">
        <v>17</v>
      </c>
      <c r="D135" s="69">
        <v>17</v>
      </c>
      <c r="E135" s="69"/>
      <c r="F135" s="69">
        <v>1</v>
      </c>
      <c r="G135" s="69"/>
      <c r="H135" s="69"/>
      <c r="I135" s="69"/>
      <c r="J135" s="69">
        <v>210680000</v>
      </c>
      <c r="K135" s="69"/>
      <c r="L135" s="69"/>
      <c r="M135" s="69"/>
      <c r="N135" s="69"/>
      <c r="O135" s="69"/>
      <c r="P135" s="69">
        <v>210680050</v>
      </c>
      <c r="Q135" s="69">
        <v>210680051</v>
      </c>
      <c r="R135" s="69">
        <v>210680052</v>
      </c>
      <c r="S135" s="69">
        <v>210680053</v>
      </c>
      <c r="T135" s="69"/>
      <c r="U135" s="69"/>
    </row>
    <row r="136" spans="1:21" x14ac:dyDescent="0.3">
      <c r="A136" s="69" t="s">
        <v>222</v>
      </c>
      <c r="B136" s="69" t="s">
        <v>500</v>
      </c>
      <c r="C136" s="69">
        <v>14</v>
      </c>
      <c r="D136" s="69">
        <v>14</v>
      </c>
      <c r="E136" s="69"/>
      <c r="F136" s="69"/>
      <c r="G136" s="69"/>
      <c r="H136" s="69"/>
      <c r="I136" s="69"/>
      <c r="J136" s="69">
        <v>72100</v>
      </c>
      <c r="K136" s="69">
        <v>72101</v>
      </c>
      <c r="L136" s="69"/>
      <c r="M136" s="69"/>
      <c r="N136" s="69"/>
      <c r="O136" s="69"/>
      <c r="P136" s="69" t="s">
        <v>934</v>
      </c>
      <c r="Q136" s="69"/>
      <c r="R136" s="69"/>
      <c r="S136" s="69"/>
      <c r="T136" s="69"/>
      <c r="U136" s="69"/>
    </row>
    <row r="137" spans="1:21" x14ac:dyDescent="0.3">
      <c r="A137" s="69" t="s">
        <v>726</v>
      </c>
      <c r="B137" s="69" t="s">
        <v>500</v>
      </c>
      <c r="C137" s="69">
        <v>18</v>
      </c>
      <c r="D137" s="69">
        <v>18</v>
      </c>
      <c r="E137" s="69"/>
      <c r="F137" s="69">
        <v>1</v>
      </c>
      <c r="G137" s="69"/>
      <c r="H137" s="69"/>
      <c r="I137" s="69"/>
      <c r="J137" s="69">
        <v>210630000</v>
      </c>
      <c r="K137" s="69">
        <v>210630010</v>
      </c>
      <c r="L137" s="69"/>
      <c r="M137" s="69"/>
      <c r="N137" s="69"/>
      <c r="O137" s="69"/>
      <c r="P137" s="69">
        <v>210630050</v>
      </c>
      <c r="Q137" s="69">
        <v>210630060</v>
      </c>
      <c r="R137" s="69"/>
      <c r="S137" s="69"/>
      <c r="T137" s="69"/>
      <c r="U137" s="69"/>
    </row>
    <row r="138" spans="1:21" x14ac:dyDescent="0.3">
      <c r="A138" s="69" t="s">
        <v>169</v>
      </c>
      <c r="B138" s="69" t="s">
        <v>500</v>
      </c>
      <c r="C138" s="69">
        <v>12</v>
      </c>
      <c r="D138" s="69">
        <v>12</v>
      </c>
      <c r="E138" s="69"/>
      <c r="F138" s="69"/>
      <c r="G138" s="69"/>
      <c r="H138" s="69"/>
      <c r="I138" s="69"/>
      <c r="J138" s="69">
        <v>63000</v>
      </c>
      <c r="K138" s="69"/>
      <c r="L138" s="69"/>
      <c r="M138" s="69"/>
      <c r="N138" s="69"/>
      <c r="O138" s="69"/>
      <c r="P138" s="69" t="s">
        <v>934</v>
      </c>
      <c r="Q138" s="69"/>
      <c r="R138" s="69"/>
      <c r="S138" s="69"/>
      <c r="T138" s="69"/>
      <c r="U138" s="69"/>
    </row>
    <row r="139" spans="1:21" x14ac:dyDescent="0.3">
      <c r="A139" s="69" t="s">
        <v>170</v>
      </c>
      <c r="B139" s="69" t="s">
        <v>500</v>
      </c>
      <c r="C139" s="69">
        <v>13</v>
      </c>
      <c r="D139" s="69">
        <v>13</v>
      </c>
      <c r="E139" s="69"/>
      <c r="F139" s="69"/>
      <c r="G139" s="69"/>
      <c r="H139" s="69"/>
      <c r="I139" s="69"/>
      <c r="J139" s="69">
        <v>63100</v>
      </c>
      <c r="K139" s="69">
        <v>63101</v>
      </c>
      <c r="L139" s="69"/>
      <c r="M139" s="69"/>
      <c r="N139" s="69"/>
      <c r="O139" s="69"/>
      <c r="P139" s="69" t="s">
        <v>934</v>
      </c>
      <c r="Q139" s="69"/>
      <c r="R139" s="69"/>
      <c r="S139" s="69"/>
      <c r="T139" s="69"/>
      <c r="U139" s="69"/>
    </row>
    <row r="140" spans="1:21" x14ac:dyDescent="0.3">
      <c r="A140" s="69" t="s">
        <v>221</v>
      </c>
      <c r="B140" s="69" t="s">
        <v>500</v>
      </c>
      <c r="C140" s="69">
        <v>19</v>
      </c>
      <c r="D140" s="69">
        <v>19</v>
      </c>
      <c r="E140" s="69"/>
      <c r="F140" s="69">
        <v>1</v>
      </c>
      <c r="G140" s="69"/>
      <c r="H140" s="69"/>
      <c r="I140" s="69"/>
      <c r="J140" s="69">
        <v>72000</v>
      </c>
      <c r="K140" s="69"/>
      <c r="L140" s="69"/>
      <c r="M140" s="69"/>
      <c r="N140" s="69"/>
      <c r="O140" s="69"/>
      <c r="P140" s="69">
        <v>210721050</v>
      </c>
      <c r="Q140" s="69"/>
      <c r="R140" s="69"/>
      <c r="S140" s="69"/>
      <c r="T140" s="69"/>
      <c r="U140" s="69"/>
    </row>
    <row r="141" spans="1:21" x14ac:dyDescent="0.3">
      <c r="A141" s="69" t="s">
        <v>389</v>
      </c>
      <c r="B141" s="69" t="s">
        <v>500</v>
      </c>
      <c r="C141" s="69">
        <v>28</v>
      </c>
      <c r="D141" s="69">
        <v>28</v>
      </c>
      <c r="E141" s="69"/>
      <c r="F141" s="69">
        <v>1</v>
      </c>
      <c r="G141" s="69"/>
      <c r="H141" s="69"/>
      <c r="I141" s="69"/>
      <c r="J141" s="69">
        <v>210721000</v>
      </c>
      <c r="K141" s="69"/>
      <c r="L141" s="69"/>
      <c r="M141" s="69"/>
      <c r="N141" s="69"/>
      <c r="O141" s="69"/>
      <c r="P141" s="69">
        <v>210721050</v>
      </c>
      <c r="Q141" s="69"/>
      <c r="R141" s="69"/>
      <c r="S141" s="69"/>
      <c r="T141" s="69"/>
      <c r="U141" s="69"/>
    </row>
    <row r="142" spans="1:21" x14ac:dyDescent="0.3">
      <c r="A142" s="69" t="s">
        <v>727</v>
      </c>
      <c r="B142" s="69" t="s">
        <v>500</v>
      </c>
      <c r="C142" s="69">
        <v>48</v>
      </c>
      <c r="D142" s="69">
        <v>48</v>
      </c>
      <c r="E142" s="69"/>
      <c r="F142" s="69"/>
      <c r="G142" s="69"/>
      <c r="H142" s="69"/>
      <c r="I142" s="69"/>
      <c r="J142" s="69">
        <v>72400</v>
      </c>
      <c r="K142" s="69">
        <v>72401</v>
      </c>
      <c r="L142" s="69">
        <v>72402</v>
      </c>
      <c r="M142" s="69"/>
      <c r="N142" s="69"/>
      <c r="O142" s="69"/>
      <c r="P142" s="69" t="s">
        <v>934</v>
      </c>
      <c r="Q142" s="69"/>
      <c r="R142" s="69"/>
      <c r="S142" s="69"/>
      <c r="T142" s="69"/>
      <c r="U142" s="69"/>
    </row>
    <row r="143" spans="1:21" x14ac:dyDescent="0.3">
      <c r="A143" s="69" t="s">
        <v>728</v>
      </c>
      <c r="B143" s="69" t="s">
        <v>500</v>
      </c>
      <c r="C143" s="69">
        <v>48</v>
      </c>
      <c r="D143" s="69">
        <v>48</v>
      </c>
      <c r="E143" s="69"/>
      <c r="F143" s="69"/>
      <c r="G143" s="69"/>
      <c r="H143" s="69"/>
      <c r="I143" s="69"/>
      <c r="J143" s="69">
        <v>210720000</v>
      </c>
      <c r="K143" s="69">
        <v>210720001</v>
      </c>
      <c r="L143" s="69"/>
      <c r="M143" s="69"/>
      <c r="N143" s="69"/>
      <c r="O143" s="69"/>
      <c r="P143" s="69" t="s">
        <v>934</v>
      </c>
      <c r="Q143" s="69"/>
      <c r="R143" s="69"/>
      <c r="S143" s="69"/>
      <c r="T143" s="69"/>
      <c r="U143" s="69"/>
    </row>
    <row r="144" spans="1:21" x14ac:dyDescent="0.3">
      <c r="A144" s="69" t="s">
        <v>227</v>
      </c>
      <c r="B144" s="69" t="s">
        <v>500</v>
      </c>
      <c r="C144" s="69">
        <v>16</v>
      </c>
      <c r="D144" s="69">
        <v>16</v>
      </c>
      <c r="E144" s="69"/>
      <c r="F144" s="69">
        <v>1</v>
      </c>
      <c r="G144" s="69"/>
      <c r="H144" s="69"/>
      <c r="I144" s="69"/>
      <c r="J144" s="69">
        <v>73100</v>
      </c>
      <c r="K144" s="69"/>
      <c r="L144" s="69"/>
      <c r="M144" s="69"/>
      <c r="N144" s="69"/>
      <c r="O144" s="69"/>
      <c r="P144" s="69">
        <v>73105</v>
      </c>
      <c r="Q144" s="69"/>
      <c r="R144" s="69"/>
      <c r="S144" s="69"/>
      <c r="T144" s="69"/>
      <c r="U144" s="69"/>
    </row>
    <row r="145" spans="1:21" x14ac:dyDescent="0.3">
      <c r="A145" s="69" t="s">
        <v>229</v>
      </c>
      <c r="B145" s="69" t="s">
        <v>500</v>
      </c>
      <c r="C145" s="69">
        <v>22</v>
      </c>
      <c r="D145" s="69">
        <v>22</v>
      </c>
      <c r="E145" s="69">
        <v>6</v>
      </c>
      <c r="F145" s="69">
        <v>1</v>
      </c>
      <c r="G145" s="69">
        <v>73110</v>
      </c>
      <c r="H145" s="69"/>
      <c r="I145" s="69"/>
      <c r="J145" s="69">
        <v>73110</v>
      </c>
      <c r="K145" s="69"/>
      <c r="L145" s="69"/>
      <c r="M145" s="69"/>
      <c r="N145" s="69"/>
      <c r="O145" s="69"/>
      <c r="P145" s="69">
        <v>73110</v>
      </c>
      <c r="Q145" s="69"/>
      <c r="R145" s="69"/>
      <c r="S145" s="69"/>
      <c r="T145" s="69"/>
      <c r="U145" s="69"/>
    </row>
    <row r="146" spans="1:21" x14ac:dyDescent="0.3">
      <c r="A146" s="69" t="s">
        <v>391</v>
      </c>
      <c r="B146" s="69" t="s">
        <v>500</v>
      </c>
      <c r="C146" s="69">
        <v>22</v>
      </c>
      <c r="D146" s="69">
        <v>22</v>
      </c>
      <c r="E146" s="69">
        <v>5</v>
      </c>
      <c r="F146" s="69">
        <v>1</v>
      </c>
      <c r="G146" s="69">
        <v>210730000</v>
      </c>
      <c r="H146" s="69"/>
      <c r="I146" s="69"/>
      <c r="J146" s="69">
        <v>210730000</v>
      </c>
      <c r="K146" s="69"/>
      <c r="L146" s="69"/>
      <c r="M146" s="69"/>
      <c r="N146" s="69"/>
      <c r="O146" s="69"/>
      <c r="P146" s="69">
        <v>210730000</v>
      </c>
      <c r="Q146" s="69"/>
      <c r="R146" s="69"/>
      <c r="S146" s="69"/>
      <c r="T146" s="69"/>
      <c r="U146" s="69"/>
    </row>
    <row r="147" spans="1:21" x14ac:dyDescent="0.3">
      <c r="A147" s="69" t="s">
        <v>230</v>
      </c>
      <c r="B147" s="69" t="s">
        <v>500</v>
      </c>
      <c r="C147" s="69">
        <v>24</v>
      </c>
      <c r="D147" s="69">
        <v>24</v>
      </c>
      <c r="E147" s="69"/>
      <c r="F147" s="69">
        <v>1</v>
      </c>
      <c r="G147" s="69"/>
      <c r="H147" s="69"/>
      <c r="I147" s="69"/>
      <c r="J147" s="69">
        <v>73200</v>
      </c>
      <c r="K147" s="69"/>
      <c r="L147" s="69"/>
      <c r="M147" s="69"/>
      <c r="N147" s="69"/>
      <c r="O147" s="69"/>
      <c r="P147" s="69">
        <v>73205</v>
      </c>
      <c r="Q147" s="69"/>
      <c r="R147" s="69"/>
      <c r="S147" s="69"/>
      <c r="T147" s="69"/>
      <c r="U147" s="69"/>
    </row>
    <row r="148" spans="1:21" x14ac:dyDescent="0.3">
      <c r="A148" s="69" t="s">
        <v>203</v>
      </c>
      <c r="B148" s="69" t="s">
        <v>500</v>
      </c>
      <c r="C148" s="69">
        <v>28</v>
      </c>
      <c r="D148" s="69">
        <v>96</v>
      </c>
      <c r="E148" s="69"/>
      <c r="F148" s="69">
        <v>1</v>
      </c>
      <c r="G148" s="69"/>
      <c r="H148" s="69"/>
      <c r="I148" s="69"/>
      <c r="J148" s="69">
        <v>70000</v>
      </c>
      <c r="K148" s="69"/>
      <c r="L148" s="69"/>
      <c r="M148" s="69"/>
      <c r="N148" s="69"/>
      <c r="O148" s="69"/>
      <c r="P148" s="69">
        <v>70000</v>
      </c>
      <c r="Q148" s="69">
        <v>70000</v>
      </c>
      <c r="R148" s="69">
        <v>70000</v>
      </c>
      <c r="S148" s="69"/>
      <c r="T148" s="69"/>
      <c r="U148" s="69"/>
    </row>
    <row r="149" spans="1:21" x14ac:dyDescent="0.3">
      <c r="A149" s="69" t="s">
        <v>205</v>
      </c>
      <c r="B149" s="69" t="s">
        <v>500</v>
      </c>
      <c r="C149" s="69">
        <v>36</v>
      </c>
      <c r="D149" s="69">
        <v>144</v>
      </c>
      <c r="E149" s="69"/>
      <c r="F149" s="69">
        <v>1</v>
      </c>
      <c r="G149" s="69"/>
      <c r="H149" s="69"/>
      <c r="I149" s="69"/>
      <c r="J149" s="69">
        <v>70010</v>
      </c>
      <c r="K149" s="69"/>
      <c r="L149" s="69"/>
      <c r="M149" s="69"/>
      <c r="N149" s="69"/>
      <c r="O149" s="69"/>
      <c r="P149" s="69">
        <v>70010</v>
      </c>
      <c r="Q149" s="69">
        <v>70010</v>
      </c>
      <c r="R149" s="69">
        <v>70010</v>
      </c>
      <c r="S149" s="69"/>
      <c r="T149" s="69"/>
      <c r="U149" s="69"/>
    </row>
    <row r="150" spans="1:21" x14ac:dyDescent="0.3">
      <c r="A150" s="69" t="s">
        <v>206</v>
      </c>
      <c r="B150" s="69" t="s">
        <v>500</v>
      </c>
      <c r="C150" s="69">
        <v>30</v>
      </c>
      <c r="D150" s="69">
        <v>30</v>
      </c>
      <c r="E150" s="69"/>
      <c r="F150" s="69"/>
      <c r="G150" s="69"/>
      <c r="H150" s="69"/>
      <c r="I150" s="69"/>
      <c r="J150" s="69">
        <v>70100</v>
      </c>
      <c r="K150" s="69">
        <v>70101</v>
      </c>
      <c r="L150" s="69"/>
      <c r="M150" s="69"/>
      <c r="N150" s="69"/>
      <c r="O150" s="69"/>
      <c r="P150" s="69"/>
      <c r="Q150" s="69"/>
      <c r="R150" s="69"/>
      <c r="S150" s="69"/>
      <c r="T150" s="69"/>
      <c r="U150" s="69"/>
    </row>
    <row r="151" spans="1:21" x14ac:dyDescent="0.3">
      <c r="A151" s="69" t="s">
        <v>208</v>
      </c>
      <c r="B151" s="69" t="s">
        <v>500</v>
      </c>
      <c r="C151" s="69">
        <v>45</v>
      </c>
      <c r="D151" s="69">
        <v>45</v>
      </c>
      <c r="E151" s="69"/>
      <c r="F151" s="69"/>
      <c r="G151" s="69"/>
      <c r="H151" s="69"/>
      <c r="I151" s="69"/>
      <c r="J151" s="69">
        <v>70110</v>
      </c>
      <c r="K151" s="69">
        <v>70111</v>
      </c>
      <c r="L151" s="69"/>
      <c r="M151" s="69"/>
      <c r="N151" s="69"/>
      <c r="O151" s="69"/>
      <c r="P151" s="69"/>
      <c r="Q151" s="69"/>
      <c r="R151" s="69"/>
      <c r="S151" s="69"/>
      <c r="T151" s="69"/>
      <c r="U151" s="69"/>
    </row>
    <row r="152" spans="1:21" x14ac:dyDescent="0.3">
      <c r="A152" s="69" t="s">
        <v>214</v>
      </c>
      <c r="B152" s="69" t="s">
        <v>500</v>
      </c>
      <c r="C152" s="69">
        <v>28</v>
      </c>
      <c r="D152" s="69">
        <v>96</v>
      </c>
      <c r="E152" s="69"/>
      <c r="F152" s="69">
        <v>1</v>
      </c>
      <c r="G152" s="69"/>
      <c r="H152" s="69"/>
      <c r="I152" s="69"/>
      <c r="J152" s="69">
        <v>70400</v>
      </c>
      <c r="K152" s="69"/>
      <c r="L152" s="69"/>
      <c r="M152" s="69"/>
      <c r="N152" s="69"/>
      <c r="O152" s="69"/>
      <c r="P152" s="69">
        <v>70400</v>
      </c>
      <c r="Q152" s="69">
        <v>70400</v>
      </c>
      <c r="R152" s="69">
        <v>70400</v>
      </c>
      <c r="S152" s="69"/>
      <c r="T152" s="69"/>
      <c r="U152" s="69"/>
    </row>
    <row r="153" spans="1:21" x14ac:dyDescent="0.3">
      <c r="A153" s="69" t="s">
        <v>215</v>
      </c>
      <c r="B153" s="69" t="s">
        <v>500</v>
      </c>
      <c r="C153" s="69">
        <v>36</v>
      </c>
      <c r="D153" s="69">
        <v>144</v>
      </c>
      <c r="E153" s="69"/>
      <c r="F153" s="69">
        <v>1</v>
      </c>
      <c r="G153" s="69"/>
      <c r="H153" s="69"/>
      <c r="I153" s="69"/>
      <c r="J153" s="69">
        <v>70410</v>
      </c>
      <c r="K153" s="69"/>
      <c r="L153" s="69"/>
      <c r="M153" s="69"/>
      <c r="N153" s="69"/>
      <c r="O153" s="69"/>
      <c r="P153" s="69">
        <v>70410</v>
      </c>
      <c r="Q153" s="69">
        <v>70410</v>
      </c>
      <c r="R153" s="69">
        <v>70410</v>
      </c>
      <c r="S153" s="69"/>
      <c r="T153" s="69"/>
      <c r="U153" s="69"/>
    </row>
    <row r="154" spans="1:21" x14ac:dyDescent="0.3">
      <c r="A154" s="69" t="s">
        <v>212</v>
      </c>
      <c r="B154" s="69" t="s">
        <v>500</v>
      </c>
      <c r="C154" s="69">
        <v>36</v>
      </c>
      <c r="D154" s="69">
        <v>104</v>
      </c>
      <c r="E154" s="69"/>
      <c r="F154" s="69">
        <v>1</v>
      </c>
      <c r="G154" s="69"/>
      <c r="H154" s="69"/>
      <c r="I154" s="69"/>
      <c r="J154" s="69">
        <v>70300</v>
      </c>
      <c r="K154" s="69"/>
      <c r="L154" s="69"/>
      <c r="M154" s="69"/>
      <c r="N154" s="69"/>
      <c r="O154" s="69"/>
      <c r="P154" s="69">
        <v>70300</v>
      </c>
      <c r="Q154" s="69">
        <v>70300</v>
      </c>
      <c r="R154" s="69">
        <v>70300</v>
      </c>
      <c r="S154" s="69"/>
      <c r="T154" s="69"/>
      <c r="U154" s="69"/>
    </row>
    <row r="155" spans="1:21" x14ac:dyDescent="0.3">
      <c r="A155" s="69" t="s">
        <v>213</v>
      </c>
      <c r="B155" s="69" t="s">
        <v>500</v>
      </c>
      <c r="C155" s="69">
        <v>48</v>
      </c>
      <c r="D155" s="69">
        <v>156</v>
      </c>
      <c r="E155" s="69"/>
      <c r="F155" s="69">
        <v>1</v>
      </c>
      <c r="G155" s="69"/>
      <c r="H155" s="69"/>
      <c r="I155" s="69"/>
      <c r="J155" s="69">
        <v>70310</v>
      </c>
      <c r="K155" s="69"/>
      <c r="L155" s="69"/>
      <c r="M155" s="69"/>
      <c r="N155" s="69"/>
      <c r="O155" s="69"/>
      <c r="P155" s="69">
        <v>70310</v>
      </c>
      <c r="Q155" s="69">
        <v>70310</v>
      </c>
      <c r="R155" s="69">
        <v>70310</v>
      </c>
      <c r="S155" s="69"/>
      <c r="T155" s="69"/>
      <c r="U155" s="69"/>
    </row>
    <row r="156" spans="1:21" x14ac:dyDescent="0.3">
      <c r="A156" s="69" t="s">
        <v>210</v>
      </c>
      <c r="B156" s="69" t="s">
        <v>500</v>
      </c>
      <c r="C156" s="69">
        <v>36</v>
      </c>
      <c r="D156" s="69">
        <v>104</v>
      </c>
      <c r="E156" s="69"/>
      <c r="F156" s="69">
        <v>1</v>
      </c>
      <c r="G156" s="69"/>
      <c r="H156" s="69"/>
      <c r="I156" s="69"/>
      <c r="J156" s="69">
        <v>70200</v>
      </c>
      <c r="K156" s="69"/>
      <c r="L156" s="69"/>
      <c r="M156" s="69"/>
      <c r="N156" s="69"/>
      <c r="O156" s="69"/>
      <c r="P156" s="69">
        <v>70200</v>
      </c>
      <c r="Q156" s="69">
        <v>70200</v>
      </c>
      <c r="R156" s="69">
        <v>70200</v>
      </c>
      <c r="S156" s="69"/>
      <c r="T156" s="69"/>
      <c r="U156" s="69"/>
    </row>
    <row r="157" spans="1:21" x14ac:dyDescent="0.3">
      <c r="A157" s="69" t="s">
        <v>211</v>
      </c>
      <c r="B157" s="69" t="s">
        <v>500</v>
      </c>
      <c r="C157" s="69">
        <v>48</v>
      </c>
      <c r="D157" s="69">
        <v>156</v>
      </c>
      <c r="E157" s="69"/>
      <c r="F157" s="69">
        <v>1</v>
      </c>
      <c r="G157" s="69"/>
      <c r="H157" s="69"/>
      <c r="I157" s="69"/>
      <c r="J157" s="69">
        <v>70210</v>
      </c>
      <c r="K157" s="69"/>
      <c r="L157" s="69"/>
      <c r="M157" s="69"/>
      <c r="N157" s="69"/>
      <c r="O157" s="69"/>
      <c r="P157" s="69">
        <v>70210</v>
      </c>
      <c r="Q157" s="69">
        <v>70210</v>
      </c>
      <c r="R157" s="69">
        <v>70210</v>
      </c>
      <c r="S157" s="69"/>
      <c r="T157" s="69"/>
      <c r="U157" s="69"/>
    </row>
    <row r="158" spans="1:21" x14ac:dyDescent="0.3">
      <c r="A158" s="69" t="s">
        <v>392</v>
      </c>
      <c r="B158" s="69" t="s">
        <v>500</v>
      </c>
      <c r="C158" s="69">
        <v>36</v>
      </c>
      <c r="D158" s="69">
        <v>144</v>
      </c>
      <c r="E158" s="69"/>
      <c r="F158" s="69">
        <v>1</v>
      </c>
      <c r="G158" s="69"/>
      <c r="H158" s="69"/>
      <c r="I158" s="69"/>
      <c r="J158" s="69">
        <v>210702000</v>
      </c>
      <c r="K158" s="69"/>
      <c r="L158" s="69"/>
      <c r="M158" s="69"/>
      <c r="N158" s="69"/>
      <c r="O158" s="69"/>
      <c r="P158" s="69">
        <v>210702000</v>
      </c>
      <c r="Q158" s="69">
        <v>210702000</v>
      </c>
      <c r="R158" s="69">
        <v>210702000</v>
      </c>
      <c r="S158" s="69"/>
      <c r="T158" s="69"/>
      <c r="U158" s="69"/>
    </row>
    <row r="159" spans="1:21" x14ac:dyDescent="0.3">
      <c r="A159" s="69" t="s">
        <v>729</v>
      </c>
      <c r="B159" s="69" t="s">
        <v>500</v>
      </c>
      <c r="C159" s="69">
        <v>62</v>
      </c>
      <c r="D159" s="69">
        <v>62</v>
      </c>
      <c r="E159" s="69"/>
      <c r="F159" s="69"/>
      <c r="G159" s="69"/>
      <c r="H159" s="69"/>
      <c r="I159" s="69"/>
      <c r="J159" s="69">
        <v>70502</v>
      </c>
      <c r="K159" s="69">
        <v>70500</v>
      </c>
      <c r="L159" s="69"/>
      <c r="M159" s="69"/>
      <c r="N159" s="69"/>
      <c r="O159" s="69"/>
      <c r="P159" s="69" t="s">
        <v>934</v>
      </c>
      <c r="Q159" s="69"/>
      <c r="R159" s="69"/>
      <c r="S159" s="69"/>
      <c r="T159" s="69"/>
      <c r="U159" s="69"/>
    </row>
    <row r="160" spans="1:21" x14ac:dyDescent="0.3">
      <c r="A160" s="69" t="s">
        <v>807</v>
      </c>
      <c r="B160" s="69" t="s">
        <v>500</v>
      </c>
      <c r="C160" s="69">
        <v>24</v>
      </c>
      <c r="D160" s="69">
        <v>24</v>
      </c>
      <c r="E160" s="69"/>
      <c r="F160" s="69"/>
      <c r="G160" s="69"/>
      <c r="H160" s="69"/>
      <c r="I160" s="69"/>
      <c r="J160" s="69">
        <v>70600</v>
      </c>
      <c r="L160" s="69"/>
      <c r="M160" s="69"/>
      <c r="N160" s="69"/>
      <c r="O160" s="69"/>
      <c r="P160" s="69" t="s">
        <v>934</v>
      </c>
      <c r="Q160" s="69"/>
      <c r="R160" s="69"/>
      <c r="S160" s="69"/>
      <c r="T160" s="69"/>
      <c r="U160" s="69"/>
    </row>
    <row r="161" spans="1:21" x14ac:dyDescent="0.3">
      <c r="A161" s="69" t="s">
        <v>811</v>
      </c>
      <c r="B161" s="69" t="s">
        <v>500</v>
      </c>
      <c r="C161" s="69">
        <v>24</v>
      </c>
      <c r="D161" s="69">
        <v>24</v>
      </c>
      <c r="E161" s="69"/>
      <c r="F161" s="69"/>
      <c r="G161" s="69"/>
      <c r="H161" s="69"/>
      <c r="I161" s="69"/>
      <c r="J161" s="69">
        <v>70605</v>
      </c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</row>
    <row r="162" spans="1:21" x14ac:dyDescent="0.3">
      <c r="A162" s="69" t="s">
        <v>808</v>
      </c>
      <c r="B162" s="69" t="s">
        <v>500</v>
      </c>
      <c r="C162" s="69">
        <v>24</v>
      </c>
      <c r="D162" s="69">
        <v>24</v>
      </c>
      <c r="E162" s="69"/>
      <c r="F162" s="69"/>
      <c r="G162" s="69"/>
      <c r="H162" s="69"/>
      <c r="I162" s="69"/>
      <c r="J162" s="69">
        <v>70601</v>
      </c>
      <c r="L162" s="69"/>
      <c r="M162" s="69"/>
      <c r="N162" s="69"/>
      <c r="O162" s="69"/>
      <c r="P162" s="69"/>
      <c r="Q162" s="69"/>
      <c r="R162" s="69"/>
      <c r="S162" s="69"/>
      <c r="T162" s="69"/>
      <c r="U162" s="69"/>
    </row>
    <row r="163" spans="1:21" x14ac:dyDescent="0.3">
      <c r="A163" s="69" t="s">
        <v>812</v>
      </c>
      <c r="B163" s="69" t="s">
        <v>500</v>
      </c>
      <c r="C163" s="69">
        <v>24</v>
      </c>
      <c r="D163" s="69">
        <v>24</v>
      </c>
      <c r="E163" s="69"/>
      <c r="F163" s="69"/>
      <c r="G163" s="69"/>
      <c r="H163" s="69"/>
      <c r="I163" s="69"/>
      <c r="J163" s="69">
        <v>70606</v>
      </c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</row>
    <row r="164" spans="1:21" x14ac:dyDescent="0.3">
      <c r="A164" s="69" t="s">
        <v>219</v>
      </c>
      <c r="B164" s="69" t="s">
        <v>500</v>
      </c>
      <c r="C164" s="69">
        <v>34</v>
      </c>
      <c r="D164" s="69">
        <v>34</v>
      </c>
      <c r="E164" s="69"/>
      <c r="F164" s="69"/>
      <c r="G164" s="69"/>
      <c r="H164" s="69"/>
      <c r="I164" s="69"/>
      <c r="J164" s="69">
        <v>70800</v>
      </c>
      <c r="K164" s="69"/>
      <c r="L164" s="69"/>
      <c r="M164" s="69"/>
      <c r="N164" s="69"/>
      <c r="O164" s="69"/>
      <c r="P164" s="69" t="s">
        <v>934</v>
      </c>
      <c r="Q164" s="69"/>
      <c r="R164" s="69"/>
      <c r="S164" s="69"/>
      <c r="T164" s="69"/>
      <c r="U164" s="69"/>
    </row>
    <row r="165" spans="1:21" x14ac:dyDescent="0.3">
      <c r="A165" s="69" t="s">
        <v>220</v>
      </c>
      <c r="B165" s="69" t="s">
        <v>500</v>
      </c>
      <c r="C165" s="69">
        <v>50</v>
      </c>
      <c r="D165" s="69">
        <v>50</v>
      </c>
      <c r="E165" s="69"/>
      <c r="F165" s="69"/>
      <c r="G165" s="69"/>
      <c r="H165" s="69"/>
      <c r="I165" s="69"/>
      <c r="J165" s="69">
        <v>70900</v>
      </c>
      <c r="K165" s="69"/>
      <c r="L165" s="69"/>
      <c r="M165" s="69"/>
      <c r="N165" s="69"/>
      <c r="O165" s="69"/>
      <c r="P165" s="69" t="s">
        <v>934</v>
      </c>
      <c r="Q165" s="69"/>
      <c r="R165" s="69"/>
      <c r="S165" s="69"/>
      <c r="T165" s="69"/>
      <c r="U165" s="69"/>
    </row>
    <row r="166" spans="1:21" x14ac:dyDescent="0.3">
      <c r="A166" s="69" t="s">
        <v>730</v>
      </c>
      <c r="B166" s="69" t="s">
        <v>500</v>
      </c>
      <c r="C166" s="69">
        <v>43</v>
      </c>
      <c r="D166" s="69">
        <v>43</v>
      </c>
      <c r="E166" s="69"/>
      <c r="F166" s="69"/>
      <c r="G166" s="69"/>
      <c r="H166" s="69"/>
      <c r="I166" s="69"/>
      <c r="J166" s="69">
        <v>210700000</v>
      </c>
      <c r="K166" s="69">
        <v>210700001</v>
      </c>
      <c r="L166" s="69"/>
      <c r="M166" s="69"/>
      <c r="N166" s="69"/>
      <c r="O166" s="69"/>
      <c r="P166" s="69" t="s">
        <v>934</v>
      </c>
      <c r="Q166" s="69"/>
      <c r="R166" s="69"/>
      <c r="S166" s="69"/>
      <c r="T166" s="69"/>
      <c r="U166" s="69"/>
    </row>
    <row r="167" spans="1:21" x14ac:dyDescent="0.3">
      <c r="A167" s="69" t="s">
        <v>606</v>
      </c>
      <c r="B167" s="69" t="s">
        <v>500</v>
      </c>
      <c r="C167" s="69">
        <v>46</v>
      </c>
      <c r="D167" s="69">
        <v>46</v>
      </c>
      <c r="E167" s="69"/>
      <c r="F167" s="69"/>
      <c r="G167" s="69"/>
      <c r="H167" s="69"/>
      <c r="I167" s="69"/>
      <c r="J167" s="69">
        <v>210701000</v>
      </c>
      <c r="K167" s="69"/>
      <c r="L167" s="69"/>
      <c r="M167" s="69"/>
      <c r="N167" s="69"/>
      <c r="O167" s="69"/>
      <c r="P167" s="69" t="s">
        <v>934</v>
      </c>
      <c r="Q167" s="69"/>
      <c r="R167" s="69"/>
      <c r="S167" s="69"/>
      <c r="T167" s="69"/>
      <c r="U167" s="69"/>
    </row>
  </sheetData>
  <mergeCells count="3">
    <mergeCell ref="P1:U1"/>
    <mergeCell ref="G1:I1"/>
    <mergeCell ref="J1:O1"/>
  </mergeCells>
  <phoneticPr fontId="11" type="noConversion"/>
  <conditionalFormatting sqref="J42">
    <cfRule type="duplicateValues" dxfId="1" priority="3"/>
  </conditionalFormatting>
  <conditionalFormatting sqref="J87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87E13-9AFC-49DD-B176-DC5211570D63}">
  <sheetPr codeName="Sheet10"/>
  <dimension ref="A1:Z185"/>
  <sheetViews>
    <sheetView workbookViewId="0">
      <pane xSplit="1" ySplit="1" topLeftCell="B17" activePane="bottomRight" state="frozen"/>
      <selection pane="topRight"/>
      <selection pane="bottomLeft"/>
      <selection pane="bottomRight" activeCell="G44" sqref="G44"/>
    </sheetView>
  </sheetViews>
  <sheetFormatPr defaultColWidth="9.765625" defaultRowHeight="14.15" x14ac:dyDescent="0.3"/>
  <cols>
    <col min="1" max="16384" width="9.765625" style="40"/>
  </cols>
  <sheetData>
    <row r="1" spans="1:26" x14ac:dyDescent="0.3">
      <c r="A1" s="39" t="s">
        <v>553</v>
      </c>
      <c r="B1" s="39" t="s">
        <v>566</v>
      </c>
      <c r="C1" s="39" t="s">
        <v>567</v>
      </c>
      <c r="D1" s="39" t="s">
        <v>568</v>
      </c>
      <c r="E1" s="39" t="s">
        <v>569</v>
      </c>
      <c r="F1" s="39" t="s">
        <v>570</v>
      </c>
      <c r="G1" s="39" t="s">
        <v>571</v>
      </c>
      <c r="H1" s="39" t="s">
        <v>572</v>
      </c>
      <c r="I1" s="39" t="s">
        <v>573</v>
      </c>
      <c r="J1" s="39" t="s">
        <v>574</v>
      </c>
      <c r="K1" s="39" t="s">
        <v>575</v>
      </c>
      <c r="L1" s="39" t="s">
        <v>576</v>
      </c>
      <c r="M1" s="39" t="s">
        <v>577</v>
      </c>
      <c r="N1" s="39" t="s">
        <v>578</v>
      </c>
      <c r="O1" s="39" t="s">
        <v>579</v>
      </c>
      <c r="P1" s="39" t="s">
        <v>580</v>
      </c>
      <c r="Q1" s="39" t="s">
        <v>581</v>
      </c>
      <c r="R1" s="39" t="s">
        <v>582</v>
      </c>
      <c r="S1" s="39" t="s">
        <v>583</v>
      </c>
      <c r="T1" s="39" t="s">
        <v>584</v>
      </c>
      <c r="U1" s="39" t="s">
        <v>585</v>
      </c>
      <c r="V1" s="39" t="s">
        <v>586</v>
      </c>
      <c r="W1" s="39" t="s">
        <v>587</v>
      </c>
      <c r="X1" s="39" t="s">
        <v>588</v>
      </c>
      <c r="Y1" s="39" t="s">
        <v>589</v>
      </c>
      <c r="Z1" s="39" t="s">
        <v>590</v>
      </c>
    </row>
    <row r="2" spans="1:26" x14ac:dyDescent="0.3">
      <c r="A2" s="39">
        <v>0</v>
      </c>
      <c r="B2" s="39">
        <v>0</v>
      </c>
      <c r="C2" s="39">
        <v>0</v>
      </c>
      <c r="D2" s="39">
        <v>0</v>
      </c>
      <c r="E2" s="39">
        <v>0</v>
      </c>
      <c r="F2" s="39">
        <v>0</v>
      </c>
      <c r="G2" s="39">
        <v>0</v>
      </c>
      <c r="H2" s="39">
        <v>0</v>
      </c>
      <c r="I2" s="39">
        <v>0</v>
      </c>
      <c r="J2" s="39">
        <v>0</v>
      </c>
      <c r="K2" s="39">
        <v>0</v>
      </c>
      <c r="L2" s="39">
        <v>0</v>
      </c>
      <c r="M2" s="39">
        <v>0</v>
      </c>
      <c r="N2" s="39">
        <v>0</v>
      </c>
      <c r="O2" s="39">
        <v>0</v>
      </c>
      <c r="P2" s="39">
        <v>0</v>
      </c>
      <c r="Q2" s="39">
        <v>0</v>
      </c>
      <c r="R2" s="39">
        <v>0</v>
      </c>
      <c r="S2" s="39">
        <v>0</v>
      </c>
      <c r="T2" s="39">
        <v>0</v>
      </c>
      <c r="U2" s="39">
        <v>0</v>
      </c>
      <c r="V2" s="39">
        <v>0</v>
      </c>
      <c r="W2" s="39">
        <v>0</v>
      </c>
      <c r="X2" s="39">
        <v>0</v>
      </c>
      <c r="Y2" s="39">
        <v>0</v>
      </c>
      <c r="Z2" s="39">
        <v>0</v>
      </c>
    </row>
    <row r="3" spans="1:26" x14ac:dyDescent="0.3">
      <c r="A3" s="39">
        <v>10</v>
      </c>
      <c r="B3" s="39">
        <v>0</v>
      </c>
      <c r="C3" s="39">
        <v>0</v>
      </c>
      <c r="D3" s="39">
        <v>0</v>
      </c>
      <c r="E3" s="39">
        <v>0</v>
      </c>
      <c r="F3" s="39">
        <v>0</v>
      </c>
      <c r="G3" s="39">
        <v>0</v>
      </c>
      <c r="H3" s="39">
        <v>0</v>
      </c>
      <c r="I3" s="39">
        <v>0</v>
      </c>
      <c r="J3" s="39">
        <v>0</v>
      </c>
      <c r="K3" s="39">
        <v>0</v>
      </c>
      <c r="L3" s="39">
        <v>0</v>
      </c>
      <c r="M3" s="39">
        <v>0</v>
      </c>
      <c r="N3" s="39">
        <v>0</v>
      </c>
      <c r="O3" s="39">
        <v>0</v>
      </c>
      <c r="P3" s="39">
        <v>0</v>
      </c>
      <c r="Q3" s="39">
        <v>1</v>
      </c>
      <c r="R3" s="39">
        <v>1</v>
      </c>
      <c r="S3" s="39">
        <v>0</v>
      </c>
      <c r="T3" s="39">
        <v>0</v>
      </c>
      <c r="U3" s="39">
        <v>0</v>
      </c>
      <c r="V3" s="39">
        <v>0</v>
      </c>
      <c r="W3" s="39">
        <v>0</v>
      </c>
      <c r="X3" s="39">
        <v>0</v>
      </c>
      <c r="Y3" s="39">
        <v>0</v>
      </c>
      <c r="Z3" s="39">
        <v>0</v>
      </c>
    </row>
    <row r="4" spans="1:26" x14ac:dyDescent="0.3">
      <c r="A4" s="39">
        <v>1000</v>
      </c>
      <c r="B4" s="39">
        <v>0</v>
      </c>
      <c r="C4" s="39">
        <v>0</v>
      </c>
      <c r="D4" s="39">
        <v>0</v>
      </c>
      <c r="E4" s="39">
        <v>0</v>
      </c>
      <c r="F4" s="39">
        <v>0</v>
      </c>
      <c r="G4" s="39">
        <v>0</v>
      </c>
      <c r="H4" s="39">
        <v>0</v>
      </c>
      <c r="I4" s="39">
        <v>0</v>
      </c>
      <c r="J4" s="39">
        <v>0</v>
      </c>
      <c r="K4" s="39">
        <v>0</v>
      </c>
      <c r="L4" s="39">
        <v>1</v>
      </c>
      <c r="M4" s="39">
        <v>1</v>
      </c>
      <c r="N4" s="39">
        <v>1</v>
      </c>
      <c r="O4" s="39">
        <v>0</v>
      </c>
      <c r="P4" s="39">
        <v>0</v>
      </c>
      <c r="Q4" s="39">
        <v>0</v>
      </c>
      <c r="R4" s="39">
        <v>0</v>
      </c>
      <c r="S4" s="39">
        <v>0</v>
      </c>
      <c r="T4" s="39">
        <v>0</v>
      </c>
      <c r="U4" s="39">
        <v>0</v>
      </c>
      <c r="V4" s="39">
        <v>0</v>
      </c>
      <c r="W4" s="39">
        <v>0</v>
      </c>
      <c r="X4" s="39">
        <v>0</v>
      </c>
      <c r="Y4" s="39">
        <v>0</v>
      </c>
      <c r="Z4" s="39">
        <v>0</v>
      </c>
    </row>
    <row r="5" spans="1:26" x14ac:dyDescent="0.3">
      <c r="A5" s="39">
        <v>1001</v>
      </c>
      <c r="B5" s="39">
        <v>0</v>
      </c>
      <c r="C5" s="39">
        <v>0</v>
      </c>
      <c r="D5" s="39">
        <v>0</v>
      </c>
      <c r="E5" s="39">
        <v>0</v>
      </c>
      <c r="F5" s="39">
        <v>0</v>
      </c>
      <c r="G5" s="39">
        <v>0</v>
      </c>
      <c r="H5" s="39">
        <v>0</v>
      </c>
      <c r="I5" s="39">
        <v>0</v>
      </c>
      <c r="J5" s="39">
        <v>0</v>
      </c>
      <c r="K5" s="39">
        <v>0</v>
      </c>
      <c r="L5" s="39">
        <v>0</v>
      </c>
      <c r="M5" s="39">
        <v>0</v>
      </c>
      <c r="N5" s="39">
        <v>0</v>
      </c>
      <c r="O5" s="39">
        <v>0</v>
      </c>
      <c r="P5" s="39">
        <v>0</v>
      </c>
      <c r="Q5" s="39">
        <v>0</v>
      </c>
      <c r="R5" s="39">
        <v>0</v>
      </c>
      <c r="S5" s="39">
        <v>1</v>
      </c>
      <c r="T5" s="39">
        <v>1</v>
      </c>
      <c r="U5" s="39">
        <v>0</v>
      </c>
      <c r="V5" s="39">
        <v>0</v>
      </c>
      <c r="W5" s="39">
        <v>0</v>
      </c>
      <c r="X5" s="39">
        <v>0</v>
      </c>
      <c r="Y5" s="39">
        <v>0</v>
      </c>
      <c r="Z5" s="39">
        <v>0</v>
      </c>
    </row>
    <row r="6" spans="1:26" x14ac:dyDescent="0.3">
      <c r="A6" s="39">
        <v>1002</v>
      </c>
      <c r="B6" s="39">
        <v>0</v>
      </c>
      <c r="C6" s="39">
        <v>0</v>
      </c>
      <c r="D6" s="39">
        <v>0</v>
      </c>
      <c r="E6" s="39">
        <v>0</v>
      </c>
      <c r="F6" s="39">
        <v>0</v>
      </c>
      <c r="G6" s="39">
        <v>0</v>
      </c>
      <c r="H6" s="39">
        <v>0</v>
      </c>
      <c r="I6" s="39">
        <v>0</v>
      </c>
      <c r="J6" s="39">
        <v>0</v>
      </c>
      <c r="K6" s="39">
        <v>0</v>
      </c>
      <c r="L6" s="39">
        <v>0</v>
      </c>
      <c r="M6" s="39">
        <v>0</v>
      </c>
      <c r="N6" s="39">
        <v>0</v>
      </c>
      <c r="O6" s="39">
        <v>0</v>
      </c>
      <c r="P6" s="39">
        <v>0</v>
      </c>
      <c r="Q6" s="39">
        <v>0</v>
      </c>
      <c r="R6" s="39">
        <v>0</v>
      </c>
      <c r="S6" s="39">
        <v>0</v>
      </c>
      <c r="T6" s="39">
        <v>0</v>
      </c>
      <c r="U6" s="39">
        <v>0</v>
      </c>
      <c r="V6" s="39">
        <v>0</v>
      </c>
      <c r="W6" s="39">
        <v>0</v>
      </c>
      <c r="X6" s="39">
        <v>0</v>
      </c>
      <c r="Y6" s="39">
        <v>1</v>
      </c>
      <c r="Z6" s="39">
        <v>0</v>
      </c>
    </row>
    <row r="7" spans="1:26" x14ac:dyDescent="0.3">
      <c r="A7" s="39">
        <v>1010</v>
      </c>
      <c r="B7" s="39">
        <v>1</v>
      </c>
      <c r="C7" s="39">
        <v>1</v>
      </c>
      <c r="D7" s="39">
        <v>0</v>
      </c>
      <c r="E7" s="39">
        <v>0</v>
      </c>
      <c r="F7" s="39">
        <v>0</v>
      </c>
      <c r="G7" s="39">
        <v>0</v>
      </c>
      <c r="H7" s="39">
        <v>0</v>
      </c>
      <c r="I7" s="39">
        <v>0</v>
      </c>
      <c r="J7" s="39">
        <v>0</v>
      </c>
      <c r="K7" s="39">
        <v>0</v>
      </c>
      <c r="L7" s="39">
        <v>0</v>
      </c>
      <c r="M7" s="39">
        <v>0</v>
      </c>
      <c r="N7" s="39">
        <v>0</v>
      </c>
      <c r="O7" s="39">
        <v>0</v>
      </c>
      <c r="P7" s="39">
        <v>0</v>
      </c>
      <c r="Q7" s="39">
        <v>0</v>
      </c>
      <c r="R7" s="39">
        <v>0</v>
      </c>
      <c r="S7" s="39">
        <v>0</v>
      </c>
      <c r="T7" s="39">
        <v>0</v>
      </c>
      <c r="U7" s="39">
        <v>0</v>
      </c>
      <c r="V7" s="39">
        <v>0</v>
      </c>
      <c r="W7" s="39">
        <v>0</v>
      </c>
      <c r="X7" s="39">
        <v>0</v>
      </c>
      <c r="Y7" s="39">
        <v>0</v>
      </c>
      <c r="Z7" s="39">
        <v>0</v>
      </c>
    </row>
    <row r="8" spans="1:26" x14ac:dyDescent="0.3">
      <c r="A8" s="39">
        <v>1011</v>
      </c>
      <c r="B8" s="39">
        <v>1</v>
      </c>
      <c r="C8" s="39">
        <v>1</v>
      </c>
      <c r="D8" s="39">
        <v>0</v>
      </c>
      <c r="E8" s="39">
        <v>0</v>
      </c>
      <c r="F8" s="39">
        <v>0</v>
      </c>
      <c r="G8" s="39">
        <v>0</v>
      </c>
      <c r="H8" s="39">
        <v>0</v>
      </c>
      <c r="I8" s="39">
        <v>0</v>
      </c>
      <c r="J8" s="39">
        <v>0</v>
      </c>
      <c r="K8" s="39">
        <v>0</v>
      </c>
      <c r="L8" s="39">
        <v>0</v>
      </c>
      <c r="M8" s="39">
        <v>0</v>
      </c>
      <c r="N8" s="39">
        <v>0</v>
      </c>
      <c r="O8" s="39">
        <v>0</v>
      </c>
      <c r="P8" s="39">
        <v>0</v>
      </c>
      <c r="Q8" s="39">
        <v>0</v>
      </c>
      <c r="R8" s="39">
        <v>0</v>
      </c>
      <c r="S8" s="39">
        <v>0</v>
      </c>
      <c r="T8" s="39">
        <v>0</v>
      </c>
      <c r="U8" s="39">
        <v>0</v>
      </c>
      <c r="V8" s="39">
        <v>0</v>
      </c>
      <c r="W8" s="39">
        <v>0</v>
      </c>
      <c r="X8" s="39">
        <v>0</v>
      </c>
      <c r="Y8" s="39">
        <v>0</v>
      </c>
      <c r="Z8" s="39">
        <v>0</v>
      </c>
    </row>
    <row r="9" spans="1:26" x14ac:dyDescent="0.3">
      <c r="A9" s="39">
        <v>1012</v>
      </c>
      <c r="B9" s="39">
        <v>1</v>
      </c>
      <c r="C9" s="39">
        <v>1</v>
      </c>
      <c r="D9" s="39">
        <v>0</v>
      </c>
      <c r="E9" s="39">
        <v>0</v>
      </c>
      <c r="F9" s="39">
        <v>0</v>
      </c>
      <c r="G9" s="39">
        <v>0</v>
      </c>
      <c r="H9" s="39">
        <v>0</v>
      </c>
      <c r="I9" s="39">
        <v>0</v>
      </c>
      <c r="J9" s="39">
        <v>0</v>
      </c>
      <c r="K9" s="39">
        <v>0</v>
      </c>
      <c r="L9" s="39">
        <v>0</v>
      </c>
      <c r="M9" s="39">
        <v>0</v>
      </c>
      <c r="N9" s="39">
        <v>0</v>
      </c>
      <c r="O9" s="39">
        <v>0</v>
      </c>
      <c r="P9" s="39">
        <v>0</v>
      </c>
      <c r="Q9" s="39">
        <v>0</v>
      </c>
      <c r="R9" s="39">
        <v>0</v>
      </c>
      <c r="S9" s="39">
        <v>0</v>
      </c>
      <c r="T9" s="39">
        <v>0</v>
      </c>
      <c r="U9" s="39">
        <v>0</v>
      </c>
      <c r="V9" s="39">
        <v>0</v>
      </c>
      <c r="W9" s="39">
        <v>0</v>
      </c>
      <c r="X9" s="39">
        <v>0</v>
      </c>
      <c r="Y9" s="39">
        <v>0</v>
      </c>
      <c r="Z9" s="39">
        <v>0</v>
      </c>
    </row>
    <row r="10" spans="1:26" x14ac:dyDescent="0.3">
      <c r="A10" s="39">
        <v>1013</v>
      </c>
      <c r="B10" s="39">
        <v>1</v>
      </c>
      <c r="C10" s="39">
        <v>1</v>
      </c>
      <c r="D10" s="39">
        <v>0</v>
      </c>
      <c r="E10" s="39">
        <v>0</v>
      </c>
      <c r="F10" s="39">
        <v>0</v>
      </c>
      <c r="G10" s="39">
        <v>0</v>
      </c>
      <c r="H10" s="39">
        <v>0</v>
      </c>
      <c r="I10" s="39">
        <v>0</v>
      </c>
      <c r="J10" s="39">
        <v>0</v>
      </c>
      <c r="K10" s="39">
        <v>0</v>
      </c>
      <c r="L10" s="39">
        <v>0</v>
      </c>
      <c r="M10" s="39">
        <v>0</v>
      </c>
      <c r="N10" s="39">
        <v>0</v>
      </c>
      <c r="O10" s="39">
        <v>0</v>
      </c>
      <c r="P10" s="39">
        <v>0</v>
      </c>
      <c r="Q10" s="39">
        <v>0</v>
      </c>
      <c r="R10" s="39">
        <v>0</v>
      </c>
      <c r="S10" s="39">
        <v>0</v>
      </c>
      <c r="T10" s="39">
        <v>0</v>
      </c>
      <c r="U10" s="39">
        <v>0</v>
      </c>
      <c r="V10" s="39">
        <v>0</v>
      </c>
      <c r="W10" s="39">
        <v>0</v>
      </c>
      <c r="X10" s="39">
        <v>0</v>
      </c>
      <c r="Y10" s="39">
        <v>0</v>
      </c>
      <c r="Z10" s="39">
        <v>0</v>
      </c>
    </row>
    <row r="11" spans="1:26" x14ac:dyDescent="0.3">
      <c r="A11" s="39">
        <v>1014</v>
      </c>
      <c r="B11" s="39">
        <v>1</v>
      </c>
      <c r="C11" s="39">
        <v>1</v>
      </c>
      <c r="D11" s="39">
        <v>0</v>
      </c>
      <c r="E11" s="39">
        <v>0</v>
      </c>
      <c r="F11" s="39">
        <v>0</v>
      </c>
      <c r="G11" s="39">
        <v>0</v>
      </c>
      <c r="H11" s="39">
        <v>0</v>
      </c>
      <c r="I11" s="39">
        <v>0</v>
      </c>
      <c r="J11" s="39">
        <v>0</v>
      </c>
      <c r="K11" s="39">
        <v>0</v>
      </c>
      <c r="L11" s="39">
        <v>0</v>
      </c>
      <c r="M11" s="39">
        <v>0</v>
      </c>
      <c r="N11" s="39">
        <v>0</v>
      </c>
      <c r="O11" s="39">
        <v>0</v>
      </c>
      <c r="P11" s="39">
        <v>0</v>
      </c>
      <c r="Q11" s="39">
        <v>0</v>
      </c>
      <c r="R11" s="39">
        <v>0</v>
      </c>
      <c r="S11" s="39">
        <v>0</v>
      </c>
      <c r="T11" s="39">
        <v>0</v>
      </c>
      <c r="U11" s="39">
        <v>0</v>
      </c>
      <c r="V11" s="39">
        <v>0</v>
      </c>
      <c r="W11" s="39">
        <v>0</v>
      </c>
      <c r="X11" s="39">
        <v>0</v>
      </c>
      <c r="Y11" s="39">
        <v>0</v>
      </c>
      <c r="Z11" s="39">
        <v>0</v>
      </c>
    </row>
    <row r="12" spans="1:26" x14ac:dyDescent="0.3">
      <c r="A12" s="39">
        <v>1015</v>
      </c>
      <c r="B12" s="39">
        <v>1</v>
      </c>
      <c r="C12" s="39">
        <v>1</v>
      </c>
      <c r="D12" s="39">
        <v>0</v>
      </c>
      <c r="E12" s="39">
        <v>0</v>
      </c>
      <c r="F12" s="39">
        <v>0</v>
      </c>
      <c r="G12" s="39">
        <v>0</v>
      </c>
      <c r="H12" s="39">
        <v>0</v>
      </c>
      <c r="I12" s="39">
        <v>0</v>
      </c>
      <c r="J12" s="39">
        <v>0</v>
      </c>
      <c r="K12" s="39">
        <v>0</v>
      </c>
      <c r="L12" s="39">
        <v>0</v>
      </c>
      <c r="M12" s="39">
        <v>0</v>
      </c>
      <c r="N12" s="39">
        <v>0</v>
      </c>
      <c r="O12" s="39">
        <v>0</v>
      </c>
      <c r="P12" s="39">
        <v>0</v>
      </c>
      <c r="Q12" s="39">
        <v>0</v>
      </c>
      <c r="R12" s="39">
        <v>0</v>
      </c>
      <c r="S12" s="39">
        <v>0</v>
      </c>
      <c r="T12" s="39">
        <v>0</v>
      </c>
      <c r="U12" s="39">
        <v>0</v>
      </c>
      <c r="V12" s="39">
        <v>0</v>
      </c>
      <c r="W12" s="39">
        <v>0</v>
      </c>
      <c r="X12" s="39">
        <v>0</v>
      </c>
      <c r="Y12" s="39">
        <v>0</v>
      </c>
      <c r="Z12" s="39">
        <v>0</v>
      </c>
    </row>
    <row r="13" spans="1:26" x14ac:dyDescent="0.3">
      <c r="A13" s="39">
        <v>1016</v>
      </c>
      <c r="B13" s="39">
        <v>1</v>
      </c>
      <c r="C13" s="39">
        <v>1</v>
      </c>
      <c r="D13" s="39">
        <v>0</v>
      </c>
      <c r="E13" s="39">
        <v>0</v>
      </c>
      <c r="F13" s="39">
        <v>0</v>
      </c>
      <c r="G13" s="39">
        <v>0</v>
      </c>
      <c r="H13" s="39">
        <v>0</v>
      </c>
      <c r="I13" s="39">
        <v>0</v>
      </c>
      <c r="J13" s="39">
        <v>0</v>
      </c>
      <c r="K13" s="39">
        <v>0</v>
      </c>
      <c r="L13" s="39">
        <v>0</v>
      </c>
      <c r="M13" s="39">
        <v>0</v>
      </c>
      <c r="N13" s="39">
        <v>0</v>
      </c>
      <c r="O13" s="39">
        <v>0</v>
      </c>
      <c r="P13" s="39">
        <v>0</v>
      </c>
      <c r="Q13" s="39">
        <v>0</v>
      </c>
      <c r="R13" s="39">
        <v>0</v>
      </c>
      <c r="S13" s="39">
        <v>0</v>
      </c>
      <c r="T13" s="39">
        <v>0</v>
      </c>
      <c r="U13" s="39">
        <v>0</v>
      </c>
      <c r="V13" s="39">
        <v>0</v>
      </c>
      <c r="W13" s="39">
        <v>0</v>
      </c>
      <c r="X13" s="39">
        <v>0</v>
      </c>
      <c r="Y13" s="39">
        <v>0</v>
      </c>
      <c r="Z13" s="39">
        <v>0</v>
      </c>
    </row>
    <row r="14" spans="1:26" x14ac:dyDescent="0.3">
      <c r="A14" s="39">
        <v>1020</v>
      </c>
      <c r="B14" s="39">
        <v>0</v>
      </c>
      <c r="C14" s="39">
        <v>0</v>
      </c>
      <c r="D14" s="39">
        <v>0</v>
      </c>
      <c r="E14" s="39">
        <v>0</v>
      </c>
      <c r="F14" s="39">
        <v>0</v>
      </c>
      <c r="G14" s="39">
        <v>0</v>
      </c>
      <c r="H14" s="39">
        <v>0</v>
      </c>
      <c r="I14" s="39">
        <v>0</v>
      </c>
      <c r="J14" s="39">
        <v>0</v>
      </c>
      <c r="K14" s="39">
        <v>0</v>
      </c>
      <c r="L14" s="39">
        <v>0</v>
      </c>
      <c r="M14" s="39">
        <v>0</v>
      </c>
      <c r="N14" s="39">
        <v>1</v>
      </c>
      <c r="O14" s="39">
        <v>1</v>
      </c>
      <c r="P14" s="39">
        <v>0</v>
      </c>
      <c r="Q14" s="39">
        <v>0</v>
      </c>
      <c r="R14" s="39">
        <v>0</v>
      </c>
      <c r="S14" s="39">
        <v>0</v>
      </c>
      <c r="T14" s="39">
        <v>0</v>
      </c>
      <c r="U14" s="39">
        <v>0</v>
      </c>
      <c r="V14" s="39">
        <v>0</v>
      </c>
      <c r="W14" s="39">
        <v>0</v>
      </c>
      <c r="X14" s="39">
        <v>0</v>
      </c>
      <c r="Y14" s="39">
        <v>0</v>
      </c>
      <c r="Z14" s="39">
        <v>0</v>
      </c>
    </row>
    <row r="15" spans="1:26" x14ac:dyDescent="0.3">
      <c r="A15" s="39">
        <v>1030</v>
      </c>
      <c r="B15" s="39">
        <v>0</v>
      </c>
      <c r="C15" s="39">
        <v>0</v>
      </c>
      <c r="D15" s="39">
        <v>1</v>
      </c>
      <c r="E15" s="39">
        <v>1</v>
      </c>
      <c r="F15" s="39">
        <v>0</v>
      </c>
      <c r="G15" s="39">
        <v>0</v>
      </c>
      <c r="H15" s="39">
        <v>0</v>
      </c>
      <c r="I15" s="39">
        <v>0</v>
      </c>
      <c r="J15" s="39">
        <v>0</v>
      </c>
      <c r="K15" s="39">
        <v>0</v>
      </c>
      <c r="L15" s="39">
        <v>0</v>
      </c>
      <c r="M15" s="39">
        <v>0</v>
      </c>
      <c r="N15" s="39">
        <v>0</v>
      </c>
      <c r="O15" s="39">
        <v>0</v>
      </c>
      <c r="P15" s="39">
        <v>0</v>
      </c>
      <c r="Q15" s="39">
        <v>0</v>
      </c>
      <c r="R15" s="39">
        <v>0</v>
      </c>
      <c r="S15" s="39">
        <v>0</v>
      </c>
      <c r="T15" s="39">
        <v>0</v>
      </c>
      <c r="U15" s="39">
        <v>0</v>
      </c>
      <c r="V15" s="39">
        <v>0</v>
      </c>
      <c r="W15" s="39">
        <v>0</v>
      </c>
      <c r="X15" s="39">
        <v>0</v>
      </c>
      <c r="Y15" s="39">
        <v>0</v>
      </c>
      <c r="Z15" s="39">
        <v>0</v>
      </c>
    </row>
    <row r="16" spans="1:26" x14ac:dyDescent="0.3">
      <c r="A16" s="39">
        <v>1040</v>
      </c>
      <c r="B16" s="39">
        <v>0</v>
      </c>
      <c r="C16" s="39">
        <v>0</v>
      </c>
      <c r="D16" s="39">
        <v>0</v>
      </c>
      <c r="E16" s="39">
        <v>0</v>
      </c>
      <c r="F16" s="39">
        <v>0</v>
      </c>
      <c r="G16" s="39">
        <v>0</v>
      </c>
      <c r="H16" s="39">
        <v>0</v>
      </c>
      <c r="I16" s="39">
        <v>0</v>
      </c>
      <c r="J16" s="39">
        <v>0</v>
      </c>
      <c r="K16" s="39">
        <v>0</v>
      </c>
      <c r="L16" s="39">
        <v>1</v>
      </c>
      <c r="M16" s="39">
        <v>1</v>
      </c>
      <c r="N16" s="39">
        <v>1</v>
      </c>
      <c r="O16" s="39">
        <v>0</v>
      </c>
      <c r="P16" s="39">
        <v>0</v>
      </c>
      <c r="Q16" s="39">
        <v>0</v>
      </c>
      <c r="R16" s="39">
        <v>0</v>
      </c>
      <c r="S16" s="39">
        <v>0</v>
      </c>
      <c r="T16" s="39">
        <v>0</v>
      </c>
      <c r="U16" s="39">
        <v>0</v>
      </c>
      <c r="V16" s="39">
        <v>0</v>
      </c>
      <c r="W16" s="39">
        <v>0</v>
      </c>
      <c r="X16" s="39">
        <v>0</v>
      </c>
      <c r="Y16" s="39">
        <v>0</v>
      </c>
      <c r="Z16" s="39">
        <v>0</v>
      </c>
    </row>
    <row r="17" spans="1:26" x14ac:dyDescent="0.3">
      <c r="A17" s="39">
        <v>1041</v>
      </c>
      <c r="B17" s="39">
        <v>0</v>
      </c>
      <c r="C17" s="39">
        <v>0</v>
      </c>
      <c r="D17" s="39">
        <v>0</v>
      </c>
      <c r="E17" s="39">
        <v>0</v>
      </c>
      <c r="F17" s="39">
        <v>0</v>
      </c>
      <c r="G17" s="39">
        <v>0</v>
      </c>
      <c r="H17" s="39">
        <v>0</v>
      </c>
      <c r="I17" s="39">
        <v>0</v>
      </c>
      <c r="J17" s="39">
        <v>0</v>
      </c>
      <c r="K17" s="39">
        <v>0</v>
      </c>
      <c r="L17" s="39">
        <v>1</v>
      </c>
      <c r="M17" s="39">
        <v>1</v>
      </c>
      <c r="N17" s="39">
        <v>1</v>
      </c>
      <c r="O17" s="39">
        <v>0</v>
      </c>
      <c r="P17" s="39">
        <v>0</v>
      </c>
      <c r="Q17" s="39">
        <v>0</v>
      </c>
      <c r="R17" s="39">
        <v>0</v>
      </c>
      <c r="S17" s="39">
        <v>0</v>
      </c>
      <c r="T17" s="39">
        <v>0</v>
      </c>
      <c r="U17" s="39">
        <v>0</v>
      </c>
      <c r="V17" s="39">
        <v>0</v>
      </c>
      <c r="W17" s="39">
        <v>0</v>
      </c>
      <c r="X17" s="39">
        <v>0</v>
      </c>
      <c r="Y17" s="39">
        <v>0</v>
      </c>
      <c r="Z17" s="39">
        <v>0</v>
      </c>
    </row>
    <row r="18" spans="1:26" x14ac:dyDescent="0.3">
      <c r="A18" s="39">
        <v>1042</v>
      </c>
      <c r="B18" s="39">
        <v>0</v>
      </c>
      <c r="C18" s="39">
        <v>0</v>
      </c>
      <c r="D18" s="39">
        <v>0</v>
      </c>
      <c r="E18" s="39">
        <v>0</v>
      </c>
      <c r="F18" s="39">
        <v>0</v>
      </c>
      <c r="G18" s="39">
        <v>0</v>
      </c>
      <c r="H18" s="39">
        <v>0</v>
      </c>
      <c r="I18" s="39">
        <v>0</v>
      </c>
      <c r="J18" s="39">
        <v>0</v>
      </c>
      <c r="K18" s="39">
        <v>0</v>
      </c>
      <c r="L18" s="39">
        <v>1</v>
      </c>
      <c r="M18" s="39">
        <v>1</v>
      </c>
      <c r="N18" s="39">
        <v>0</v>
      </c>
      <c r="O18" s="39">
        <v>1</v>
      </c>
      <c r="P18" s="39">
        <v>0</v>
      </c>
      <c r="Q18" s="39">
        <v>0</v>
      </c>
      <c r="R18" s="39">
        <v>0</v>
      </c>
      <c r="S18" s="39">
        <v>0</v>
      </c>
      <c r="T18" s="39">
        <v>0</v>
      </c>
      <c r="U18" s="39">
        <v>0</v>
      </c>
      <c r="V18" s="39">
        <v>0</v>
      </c>
      <c r="W18" s="39">
        <v>0</v>
      </c>
      <c r="X18" s="39">
        <v>0</v>
      </c>
      <c r="Y18" s="39">
        <v>0</v>
      </c>
      <c r="Z18" s="39">
        <v>0</v>
      </c>
    </row>
    <row r="19" spans="1:26" x14ac:dyDescent="0.3">
      <c r="A19" s="39">
        <v>10000</v>
      </c>
      <c r="B19" s="39">
        <v>1</v>
      </c>
      <c r="C19" s="39">
        <v>1</v>
      </c>
      <c r="D19" s="39">
        <v>0</v>
      </c>
      <c r="E19" s="39">
        <v>0</v>
      </c>
      <c r="F19" s="39">
        <v>0</v>
      </c>
      <c r="G19" s="39">
        <v>0</v>
      </c>
      <c r="H19" s="39">
        <v>0</v>
      </c>
      <c r="I19" s="39">
        <v>1</v>
      </c>
      <c r="J19" s="39">
        <v>0</v>
      </c>
      <c r="K19" s="39">
        <v>0</v>
      </c>
      <c r="L19" s="39">
        <v>0</v>
      </c>
      <c r="M19" s="39">
        <v>0</v>
      </c>
      <c r="N19" s="39">
        <v>0</v>
      </c>
      <c r="O19" s="39">
        <v>1</v>
      </c>
      <c r="P19" s="39">
        <v>0</v>
      </c>
      <c r="Q19" s="39">
        <v>0</v>
      </c>
      <c r="R19" s="39">
        <v>1</v>
      </c>
      <c r="S19" s="39">
        <v>0</v>
      </c>
      <c r="T19" s="39">
        <v>0</v>
      </c>
      <c r="U19" s="39">
        <v>0</v>
      </c>
      <c r="V19" s="39">
        <v>0</v>
      </c>
      <c r="W19" s="39">
        <v>0</v>
      </c>
      <c r="X19" s="39">
        <v>0</v>
      </c>
      <c r="Y19" s="39">
        <v>1</v>
      </c>
      <c r="Z19" s="39">
        <v>0</v>
      </c>
    </row>
    <row r="20" spans="1:26" x14ac:dyDescent="0.3">
      <c r="A20" s="39">
        <v>10005</v>
      </c>
      <c r="B20" s="39">
        <v>1</v>
      </c>
      <c r="C20" s="39">
        <v>1</v>
      </c>
      <c r="D20" s="39">
        <v>0</v>
      </c>
      <c r="E20" s="39">
        <v>0</v>
      </c>
      <c r="F20" s="39">
        <v>0</v>
      </c>
      <c r="G20" s="39">
        <v>0</v>
      </c>
      <c r="H20" s="39">
        <v>0</v>
      </c>
      <c r="I20" s="39">
        <v>1</v>
      </c>
      <c r="J20" s="39">
        <v>0</v>
      </c>
      <c r="K20" s="39">
        <v>0</v>
      </c>
      <c r="L20" s="39">
        <v>1</v>
      </c>
      <c r="M20" s="39">
        <v>0</v>
      </c>
      <c r="N20" s="39">
        <v>0</v>
      </c>
      <c r="O20" s="39">
        <v>0</v>
      </c>
      <c r="P20" s="39">
        <v>0</v>
      </c>
      <c r="Q20" s="39">
        <v>0</v>
      </c>
      <c r="R20" s="39">
        <v>1</v>
      </c>
      <c r="S20" s="39">
        <v>0</v>
      </c>
      <c r="T20" s="39">
        <v>0</v>
      </c>
      <c r="U20" s="39">
        <v>0</v>
      </c>
      <c r="V20" s="39">
        <v>0</v>
      </c>
      <c r="W20" s="39">
        <v>0</v>
      </c>
      <c r="X20" s="39">
        <v>0</v>
      </c>
      <c r="Y20" s="39">
        <v>1</v>
      </c>
      <c r="Z20" s="39">
        <v>0</v>
      </c>
    </row>
    <row r="21" spans="1:26" x14ac:dyDescent="0.3">
      <c r="A21" s="39">
        <v>10013</v>
      </c>
      <c r="B21" s="39">
        <v>1</v>
      </c>
      <c r="C21" s="39">
        <v>1</v>
      </c>
      <c r="D21" s="39">
        <v>0</v>
      </c>
      <c r="E21" s="39">
        <v>0</v>
      </c>
      <c r="F21" s="39">
        <v>1</v>
      </c>
      <c r="G21" s="39">
        <v>0</v>
      </c>
      <c r="H21" s="39">
        <v>0</v>
      </c>
      <c r="I21" s="39">
        <v>1</v>
      </c>
      <c r="J21" s="39">
        <v>0</v>
      </c>
      <c r="K21" s="39">
        <v>0</v>
      </c>
      <c r="L21" s="39">
        <v>0</v>
      </c>
      <c r="M21" s="39">
        <v>0</v>
      </c>
      <c r="N21" s="39">
        <v>0</v>
      </c>
      <c r="O21" s="39">
        <v>1</v>
      </c>
      <c r="P21" s="39">
        <v>0</v>
      </c>
      <c r="Q21" s="39">
        <v>0</v>
      </c>
      <c r="R21" s="39">
        <v>1</v>
      </c>
      <c r="S21" s="39">
        <v>0</v>
      </c>
      <c r="T21" s="39">
        <v>0</v>
      </c>
      <c r="U21" s="39">
        <v>0</v>
      </c>
      <c r="V21" s="39">
        <v>0</v>
      </c>
      <c r="W21" s="39">
        <v>0</v>
      </c>
      <c r="X21" s="39">
        <v>0</v>
      </c>
      <c r="Y21" s="39">
        <v>1</v>
      </c>
      <c r="Z21" s="39">
        <v>0</v>
      </c>
    </row>
    <row r="22" spans="1:26" x14ac:dyDescent="0.3">
      <c r="A22" s="39">
        <v>10100</v>
      </c>
      <c r="B22" s="39">
        <v>1</v>
      </c>
      <c r="C22" s="39">
        <v>1</v>
      </c>
      <c r="D22" s="39">
        <v>0</v>
      </c>
      <c r="E22" s="39">
        <v>0</v>
      </c>
      <c r="F22" s="39">
        <v>1</v>
      </c>
      <c r="G22" s="39">
        <v>0</v>
      </c>
      <c r="H22" s="39">
        <v>0</v>
      </c>
      <c r="I22" s="39">
        <v>1</v>
      </c>
      <c r="J22" s="39">
        <v>0</v>
      </c>
      <c r="K22" s="39">
        <v>1</v>
      </c>
      <c r="L22" s="39">
        <v>0</v>
      </c>
      <c r="M22" s="39">
        <v>0</v>
      </c>
      <c r="N22" s="39">
        <v>0</v>
      </c>
      <c r="O22" s="39">
        <v>1</v>
      </c>
      <c r="P22" s="39">
        <v>1</v>
      </c>
      <c r="Q22" s="39">
        <v>0</v>
      </c>
      <c r="R22" s="39">
        <v>1</v>
      </c>
      <c r="S22" s="39">
        <v>0</v>
      </c>
      <c r="T22" s="39">
        <v>0</v>
      </c>
      <c r="U22" s="39">
        <v>1</v>
      </c>
      <c r="V22" s="39">
        <v>0</v>
      </c>
      <c r="W22" s="39">
        <v>0</v>
      </c>
      <c r="X22" s="39">
        <v>0</v>
      </c>
      <c r="Y22" s="39">
        <v>1</v>
      </c>
      <c r="Z22" s="39">
        <v>1</v>
      </c>
    </row>
    <row r="23" spans="1:26" x14ac:dyDescent="0.3">
      <c r="A23" s="39">
        <v>12000</v>
      </c>
      <c r="B23" s="39">
        <v>1</v>
      </c>
      <c r="C23" s="39">
        <v>1</v>
      </c>
      <c r="D23" s="39">
        <v>0</v>
      </c>
      <c r="E23" s="39">
        <v>1</v>
      </c>
      <c r="F23" s="39">
        <v>0</v>
      </c>
      <c r="G23" s="39">
        <v>0</v>
      </c>
      <c r="H23" s="39">
        <v>0</v>
      </c>
      <c r="I23" s="39">
        <v>1</v>
      </c>
      <c r="J23" s="39">
        <v>0</v>
      </c>
      <c r="K23" s="39">
        <v>0</v>
      </c>
      <c r="L23" s="39">
        <v>0</v>
      </c>
      <c r="M23" s="39">
        <v>0</v>
      </c>
      <c r="N23" s="39">
        <v>0</v>
      </c>
      <c r="O23" s="39">
        <v>1</v>
      </c>
      <c r="P23" s="39">
        <v>0</v>
      </c>
      <c r="Q23" s="39">
        <v>0</v>
      </c>
      <c r="R23" s="39">
        <v>1</v>
      </c>
      <c r="S23" s="39">
        <v>0</v>
      </c>
      <c r="T23" s="39">
        <v>0</v>
      </c>
      <c r="U23" s="39">
        <v>0</v>
      </c>
      <c r="V23" s="39">
        <v>0</v>
      </c>
      <c r="W23" s="39">
        <v>0</v>
      </c>
      <c r="X23" s="39">
        <v>0</v>
      </c>
      <c r="Y23" s="39">
        <v>1</v>
      </c>
      <c r="Z23" s="39">
        <v>0</v>
      </c>
    </row>
    <row r="24" spans="1:26" x14ac:dyDescent="0.3">
      <c r="A24" s="39">
        <v>12005</v>
      </c>
      <c r="B24" s="39">
        <v>1</v>
      </c>
      <c r="C24" s="39">
        <v>1</v>
      </c>
      <c r="D24" s="39">
        <v>0</v>
      </c>
      <c r="E24" s="39">
        <v>1</v>
      </c>
      <c r="F24" s="39">
        <v>0</v>
      </c>
      <c r="G24" s="39">
        <v>0</v>
      </c>
      <c r="H24" s="39">
        <v>0</v>
      </c>
      <c r="I24" s="39">
        <v>1</v>
      </c>
      <c r="J24" s="39">
        <v>0</v>
      </c>
      <c r="K24" s="39">
        <v>0</v>
      </c>
      <c r="L24" s="39">
        <v>1</v>
      </c>
      <c r="M24" s="39">
        <v>0</v>
      </c>
      <c r="N24" s="39">
        <v>0</v>
      </c>
      <c r="O24" s="39">
        <v>0</v>
      </c>
      <c r="P24" s="39">
        <v>0</v>
      </c>
      <c r="Q24" s="39">
        <v>0</v>
      </c>
      <c r="R24" s="39">
        <v>1</v>
      </c>
      <c r="S24" s="39">
        <v>0</v>
      </c>
      <c r="T24" s="39">
        <v>0</v>
      </c>
      <c r="U24" s="39">
        <v>0</v>
      </c>
      <c r="V24" s="39">
        <v>0</v>
      </c>
      <c r="W24" s="39">
        <v>0</v>
      </c>
      <c r="X24" s="39">
        <v>0</v>
      </c>
      <c r="Y24" s="39">
        <v>1</v>
      </c>
      <c r="Z24" s="39">
        <v>0</v>
      </c>
    </row>
    <row r="25" spans="1:26" x14ac:dyDescent="0.3">
      <c r="A25" s="39">
        <v>12013</v>
      </c>
      <c r="B25" s="39">
        <v>1</v>
      </c>
      <c r="C25" s="39">
        <v>1</v>
      </c>
      <c r="D25" s="39">
        <v>0</v>
      </c>
      <c r="E25" s="39">
        <v>1</v>
      </c>
      <c r="F25" s="39">
        <v>1</v>
      </c>
      <c r="G25" s="39">
        <v>0</v>
      </c>
      <c r="H25" s="39">
        <v>0</v>
      </c>
      <c r="I25" s="39">
        <v>1</v>
      </c>
      <c r="J25" s="39">
        <v>0</v>
      </c>
      <c r="K25" s="39">
        <v>0</v>
      </c>
      <c r="L25" s="39">
        <v>0</v>
      </c>
      <c r="M25" s="39">
        <v>0</v>
      </c>
      <c r="N25" s="39">
        <v>0</v>
      </c>
      <c r="O25" s="39">
        <v>1</v>
      </c>
      <c r="P25" s="39">
        <v>0</v>
      </c>
      <c r="Q25" s="39">
        <v>0</v>
      </c>
      <c r="R25" s="39">
        <v>1</v>
      </c>
      <c r="S25" s="39">
        <v>0</v>
      </c>
      <c r="T25" s="39">
        <v>0</v>
      </c>
      <c r="U25" s="39">
        <v>0</v>
      </c>
      <c r="V25" s="39">
        <v>0</v>
      </c>
      <c r="W25" s="39">
        <v>0</v>
      </c>
      <c r="X25" s="39">
        <v>0</v>
      </c>
      <c r="Y25" s="39">
        <v>1</v>
      </c>
      <c r="Z25" s="39">
        <v>0</v>
      </c>
    </row>
    <row r="26" spans="1:26" x14ac:dyDescent="0.3">
      <c r="A26" s="39">
        <v>13000</v>
      </c>
      <c r="B26" s="39">
        <v>1</v>
      </c>
      <c r="C26" s="39">
        <v>1</v>
      </c>
      <c r="D26" s="39">
        <v>1</v>
      </c>
      <c r="E26" s="39">
        <v>0</v>
      </c>
      <c r="F26" s="39">
        <v>0</v>
      </c>
      <c r="G26" s="39">
        <v>0</v>
      </c>
      <c r="H26" s="39">
        <v>0</v>
      </c>
      <c r="I26" s="39">
        <v>1</v>
      </c>
      <c r="J26" s="39">
        <v>0</v>
      </c>
      <c r="K26" s="39">
        <v>0</v>
      </c>
      <c r="L26" s="39">
        <v>0</v>
      </c>
      <c r="M26" s="39">
        <v>0</v>
      </c>
      <c r="N26" s="39">
        <v>0</v>
      </c>
      <c r="O26" s="39">
        <v>1</v>
      </c>
      <c r="P26" s="39">
        <v>0</v>
      </c>
      <c r="Q26" s="39">
        <v>0</v>
      </c>
      <c r="R26" s="39">
        <v>1</v>
      </c>
      <c r="S26" s="39">
        <v>0</v>
      </c>
      <c r="T26" s="39">
        <v>0</v>
      </c>
      <c r="U26" s="39">
        <v>0</v>
      </c>
      <c r="V26" s="39">
        <v>0</v>
      </c>
      <c r="W26" s="39">
        <v>0</v>
      </c>
      <c r="X26" s="39">
        <v>0</v>
      </c>
      <c r="Y26" s="39">
        <v>1</v>
      </c>
      <c r="Z26" s="39">
        <v>0</v>
      </c>
    </row>
    <row r="27" spans="1:26" x14ac:dyDescent="0.3">
      <c r="A27" s="39">
        <v>15000</v>
      </c>
      <c r="B27" s="39">
        <v>1</v>
      </c>
      <c r="C27" s="39">
        <v>1</v>
      </c>
      <c r="D27" s="39">
        <v>0</v>
      </c>
      <c r="E27" s="39">
        <v>1</v>
      </c>
      <c r="F27" s="39">
        <v>1</v>
      </c>
      <c r="G27" s="39">
        <v>0</v>
      </c>
      <c r="H27" s="39">
        <v>0</v>
      </c>
      <c r="I27" s="39">
        <v>1</v>
      </c>
      <c r="J27" s="39">
        <v>0</v>
      </c>
      <c r="K27" s="39">
        <v>0</v>
      </c>
      <c r="L27" s="39">
        <v>0</v>
      </c>
      <c r="M27" s="39">
        <v>0</v>
      </c>
      <c r="N27" s="39">
        <v>0</v>
      </c>
      <c r="O27" s="39">
        <v>1</v>
      </c>
      <c r="P27" s="39">
        <v>0</v>
      </c>
      <c r="Q27" s="39">
        <v>0</v>
      </c>
      <c r="R27" s="39">
        <v>1</v>
      </c>
      <c r="S27" s="39">
        <v>0</v>
      </c>
      <c r="T27" s="39">
        <v>0</v>
      </c>
      <c r="U27" s="39">
        <v>0</v>
      </c>
      <c r="V27" s="39">
        <v>0</v>
      </c>
      <c r="W27" s="39">
        <v>0</v>
      </c>
      <c r="X27" s="39">
        <v>0</v>
      </c>
      <c r="Y27" s="39">
        <v>1</v>
      </c>
      <c r="Z27" s="39">
        <v>0</v>
      </c>
    </row>
    <row r="28" spans="1:26" x14ac:dyDescent="0.3">
      <c r="A28" s="39">
        <v>20000</v>
      </c>
      <c r="B28" s="39">
        <v>0</v>
      </c>
      <c r="C28" s="39">
        <v>0</v>
      </c>
      <c r="D28" s="39">
        <v>1</v>
      </c>
      <c r="E28" s="39">
        <v>0</v>
      </c>
      <c r="F28" s="39">
        <v>0</v>
      </c>
      <c r="G28" s="39">
        <v>0</v>
      </c>
      <c r="H28" s="39">
        <v>0</v>
      </c>
      <c r="I28" s="39">
        <v>1</v>
      </c>
      <c r="J28" s="39">
        <v>0</v>
      </c>
      <c r="K28" s="39">
        <v>0</v>
      </c>
      <c r="L28" s="39">
        <v>0</v>
      </c>
      <c r="M28" s="39">
        <v>0</v>
      </c>
      <c r="N28" s="39">
        <v>1</v>
      </c>
      <c r="O28" s="39">
        <v>0</v>
      </c>
      <c r="P28" s="39">
        <v>0</v>
      </c>
      <c r="Q28" s="39">
        <v>0</v>
      </c>
      <c r="R28" s="39">
        <v>0</v>
      </c>
      <c r="S28" s="39">
        <v>1</v>
      </c>
      <c r="T28" s="39">
        <v>0</v>
      </c>
      <c r="U28" s="39">
        <v>0</v>
      </c>
      <c r="V28" s="39">
        <v>0</v>
      </c>
      <c r="W28" s="39">
        <v>0</v>
      </c>
      <c r="X28" s="39">
        <v>1</v>
      </c>
      <c r="Y28" s="39">
        <v>0</v>
      </c>
      <c r="Z28" s="39">
        <v>0</v>
      </c>
    </row>
    <row r="29" spans="1:26" x14ac:dyDescent="0.3">
      <c r="A29" s="39">
        <v>20010</v>
      </c>
      <c r="B29" s="39">
        <v>0</v>
      </c>
      <c r="C29" s="39">
        <v>0</v>
      </c>
      <c r="D29" s="39">
        <v>1</v>
      </c>
      <c r="E29" s="39">
        <v>1</v>
      </c>
      <c r="F29" s="39">
        <v>0</v>
      </c>
      <c r="G29" s="39">
        <v>0</v>
      </c>
      <c r="H29" s="39">
        <v>0</v>
      </c>
      <c r="I29" s="39">
        <v>1</v>
      </c>
      <c r="J29" s="39">
        <v>1</v>
      </c>
      <c r="K29" s="39">
        <v>0</v>
      </c>
      <c r="L29" s="39">
        <v>0</v>
      </c>
      <c r="M29" s="39">
        <v>0</v>
      </c>
      <c r="N29" s="39">
        <v>1</v>
      </c>
      <c r="O29" s="39">
        <v>1</v>
      </c>
      <c r="P29" s="39">
        <v>0</v>
      </c>
      <c r="Q29" s="39">
        <v>0</v>
      </c>
      <c r="R29" s="39">
        <v>0</v>
      </c>
      <c r="S29" s="39">
        <v>1</v>
      </c>
      <c r="T29" s="39">
        <v>1</v>
      </c>
      <c r="U29" s="39">
        <v>0</v>
      </c>
      <c r="V29" s="39">
        <v>0</v>
      </c>
      <c r="W29" s="39">
        <v>0</v>
      </c>
      <c r="X29" s="39">
        <v>1</v>
      </c>
      <c r="Y29" s="39">
        <v>1</v>
      </c>
      <c r="Z29" s="39">
        <v>0</v>
      </c>
    </row>
    <row r="30" spans="1:26" x14ac:dyDescent="0.3">
      <c r="A30" s="39">
        <v>20020</v>
      </c>
      <c r="B30" s="39">
        <v>0</v>
      </c>
      <c r="C30" s="39">
        <v>0</v>
      </c>
      <c r="D30" s="39">
        <v>0</v>
      </c>
      <c r="E30" s="39">
        <v>1</v>
      </c>
      <c r="F30" s="39">
        <v>0</v>
      </c>
      <c r="G30" s="39">
        <v>0</v>
      </c>
      <c r="H30" s="39">
        <v>0</v>
      </c>
      <c r="I30" s="39">
        <v>0</v>
      </c>
      <c r="J30" s="39">
        <v>1</v>
      </c>
      <c r="K30" s="39">
        <v>0</v>
      </c>
      <c r="L30" s="39">
        <v>0</v>
      </c>
      <c r="M30" s="39">
        <v>0</v>
      </c>
      <c r="N30" s="39">
        <v>0</v>
      </c>
      <c r="O30" s="39">
        <v>1</v>
      </c>
      <c r="P30" s="39">
        <v>0</v>
      </c>
      <c r="Q30" s="39">
        <v>0</v>
      </c>
      <c r="R30" s="39">
        <v>0</v>
      </c>
      <c r="S30" s="39">
        <v>0</v>
      </c>
      <c r="T30" s="39">
        <v>1</v>
      </c>
      <c r="U30" s="39">
        <v>0</v>
      </c>
      <c r="V30" s="39">
        <v>0</v>
      </c>
      <c r="W30" s="39">
        <v>0</v>
      </c>
      <c r="X30" s="39">
        <v>0</v>
      </c>
      <c r="Y30" s="39">
        <v>1</v>
      </c>
      <c r="Z30" s="39">
        <v>0</v>
      </c>
    </row>
    <row r="31" spans="1:26" x14ac:dyDescent="0.3">
      <c r="A31" s="39">
        <v>20030</v>
      </c>
      <c r="B31" s="39">
        <v>0</v>
      </c>
      <c r="C31" s="39">
        <v>0</v>
      </c>
      <c r="D31" s="39">
        <v>1</v>
      </c>
      <c r="E31" s="39">
        <v>0</v>
      </c>
      <c r="F31" s="39">
        <v>1</v>
      </c>
      <c r="G31" s="39">
        <v>0</v>
      </c>
      <c r="H31" s="39">
        <v>0</v>
      </c>
      <c r="I31" s="39">
        <v>1</v>
      </c>
      <c r="J31" s="39">
        <v>0</v>
      </c>
      <c r="K31" s="39">
        <v>1</v>
      </c>
      <c r="L31" s="39">
        <v>0</v>
      </c>
      <c r="M31" s="39">
        <v>0</v>
      </c>
      <c r="N31" s="39">
        <v>1</v>
      </c>
      <c r="O31" s="39">
        <v>0</v>
      </c>
      <c r="P31" s="39">
        <v>1</v>
      </c>
      <c r="Q31" s="39">
        <v>0</v>
      </c>
      <c r="R31" s="39">
        <v>0</v>
      </c>
      <c r="S31" s="39">
        <v>1</v>
      </c>
      <c r="T31" s="39">
        <v>0</v>
      </c>
      <c r="U31" s="39">
        <v>1</v>
      </c>
      <c r="V31" s="39">
        <v>0</v>
      </c>
      <c r="W31" s="39">
        <v>0</v>
      </c>
      <c r="X31" s="39">
        <v>1</v>
      </c>
      <c r="Y31" s="39">
        <v>0</v>
      </c>
      <c r="Z31" s="39">
        <v>1</v>
      </c>
    </row>
    <row r="32" spans="1:26" x14ac:dyDescent="0.3">
      <c r="A32" s="39">
        <v>30000</v>
      </c>
      <c r="B32" s="39">
        <v>0</v>
      </c>
      <c r="C32" s="39">
        <v>0</v>
      </c>
      <c r="D32" s="39">
        <v>0</v>
      </c>
      <c r="E32" s="39">
        <v>1</v>
      </c>
      <c r="F32" s="39">
        <v>0</v>
      </c>
      <c r="G32" s="39">
        <v>0</v>
      </c>
      <c r="H32" s="39">
        <v>0</v>
      </c>
      <c r="I32" s="39">
        <v>0</v>
      </c>
      <c r="J32" s="39">
        <v>1</v>
      </c>
      <c r="K32" s="39">
        <v>0</v>
      </c>
      <c r="L32" s="39">
        <v>0</v>
      </c>
      <c r="M32" s="39">
        <v>0</v>
      </c>
      <c r="N32" s="39">
        <v>0</v>
      </c>
      <c r="O32" s="39">
        <v>1</v>
      </c>
      <c r="P32" s="39">
        <v>0</v>
      </c>
      <c r="Q32" s="39">
        <v>0</v>
      </c>
      <c r="R32" s="39">
        <v>0</v>
      </c>
      <c r="S32" s="39">
        <v>0</v>
      </c>
      <c r="T32" s="39">
        <v>1</v>
      </c>
      <c r="U32" s="39">
        <v>0</v>
      </c>
      <c r="V32" s="39">
        <v>0</v>
      </c>
      <c r="W32" s="39">
        <v>0</v>
      </c>
      <c r="X32" s="39">
        <v>0</v>
      </c>
      <c r="Y32" s="39">
        <v>1</v>
      </c>
      <c r="Z32" s="39">
        <v>0</v>
      </c>
    </row>
    <row r="33" spans="1:26" x14ac:dyDescent="0.3">
      <c r="A33" s="39">
        <v>30010</v>
      </c>
      <c r="B33" s="39">
        <v>0</v>
      </c>
      <c r="C33" s="39">
        <v>0</v>
      </c>
      <c r="D33" s="39">
        <v>1</v>
      </c>
      <c r="E33" s="39">
        <v>1</v>
      </c>
      <c r="F33" s="39">
        <v>0</v>
      </c>
      <c r="G33" s="39">
        <v>0</v>
      </c>
      <c r="H33" s="39">
        <v>0</v>
      </c>
      <c r="I33" s="39">
        <v>1</v>
      </c>
      <c r="J33" s="39">
        <v>1</v>
      </c>
      <c r="K33" s="39">
        <v>0</v>
      </c>
      <c r="L33" s="39">
        <v>0</v>
      </c>
      <c r="M33" s="39">
        <v>0</v>
      </c>
      <c r="N33" s="39">
        <v>1</v>
      </c>
      <c r="O33" s="39">
        <v>1</v>
      </c>
      <c r="P33" s="39">
        <v>0</v>
      </c>
      <c r="Q33" s="39">
        <v>0</v>
      </c>
      <c r="R33" s="39">
        <v>0</v>
      </c>
      <c r="S33" s="39">
        <v>1</v>
      </c>
      <c r="T33" s="39">
        <v>1</v>
      </c>
      <c r="U33" s="39">
        <v>0</v>
      </c>
      <c r="V33" s="39">
        <v>0</v>
      </c>
      <c r="W33" s="39">
        <v>0</v>
      </c>
      <c r="X33" s="39">
        <v>1</v>
      </c>
      <c r="Y33" s="39">
        <v>1</v>
      </c>
      <c r="Z33" s="39">
        <v>0</v>
      </c>
    </row>
    <row r="34" spans="1:26" x14ac:dyDescent="0.3">
      <c r="A34" s="39">
        <v>30020</v>
      </c>
      <c r="B34" s="39">
        <v>1</v>
      </c>
      <c r="C34" s="39">
        <v>0</v>
      </c>
      <c r="D34" s="39">
        <v>0</v>
      </c>
      <c r="E34" s="39">
        <v>1</v>
      </c>
      <c r="F34" s="39">
        <v>0</v>
      </c>
      <c r="G34" s="39">
        <v>1</v>
      </c>
      <c r="H34" s="39">
        <v>0</v>
      </c>
      <c r="I34" s="39">
        <v>0</v>
      </c>
      <c r="J34" s="39">
        <v>1</v>
      </c>
      <c r="K34" s="39">
        <v>0</v>
      </c>
      <c r="L34" s="39">
        <v>1</v>
      </c>
      <c r="M34" s="39">
        <v>0</v>
      </c>
      <c r="N34" s="39">
        <v>0</v>
      </c>
      <c r="O34" s="39">
        <v>1</v>
      </c>
      <c r="P34" s="39">
        <v>0</v>
      </c>
      <c r="Q34" s="39">
        <v>1</v>
      </c>
      <c r="R34" s="39">
        <v>0</v>
      </c>
      <c r="S34" s="39">
        <v>0</v>
      </c>
      <c r="T34" s="39">
        <v>1</v>
      </c>
      <c r="U34" s="39">
        <v>0</v>
      </c>
      <c r="V34" s="39">
        <v>1</v>
      </c>
      <c r="W34" s="39">
        <v>0</v>
      </c>
      <c r="X34" s="39">
        <v>0</v>
      </c>
      <c r="Y34" s="39">
        <v>1</v>
      </c>
      <c r="Z34" s="39">
        <v>0</v>
      </c>
    </row>
    <row r="35" spans="1:26" x14ac:dyDescent="0.3">
      <c r="A35" s="39">
        <v>30030</v>
      </c>
      <c r="B35" s="39">
        <v>0</v>
      </c>
      <c r="C35" s="39">
        <v>0</v>
      </c>
      <c r="D35" s="39">
        <v>0</v>
      </c>
      <c r="E35" s="39">
        <v>1</v>
      </c>
      <c r="F35" s="39">
        <v>1</v>
      </c>
      <c r="G35" s="39">
        <v>0</v>
      </c>
      <c r="H35" s="39">
        <v>0</v>
      </c>
      <c r="I35" s="39">
        <v>0</v>
      </c>
      <c r="J35" s="39">
        <v>1</v>
      </c>
      <c r="K35" s="39">
        <v>1</v>
      </c>
      <c r="L35" s="39">
        <v>0</v>
      </c>
      <c r="M35" s="39">
        <v>0</v>
      </c>
      <c r="N35" s="39">
        <v>0</v>
      </c>
      <c r="O35" s="39">
        <v>1</v>
      </c>
      <c r="P35" s="39">
        <v>1</v>
      </c>
      <c r="Q35" s="39">
        <v>0</v>
      </c>
      <c r="R35" s="39">
        <v>0</v>
      </c>
      <c r="S35" s="39">
        <v>0</v>
      </c>
      <c r="T35" s="39">
        <v>1</v>
      </c>
      <c r="U35" s="39">
        <v>1</v>
      </c>
      <c r="V35" s="39">
        <v>0</v>
      </c>
      <c r="W35" s="39">
        <v>0</v>
      </c>
      <c r="X35" s="39">
        <v>0</v>
      </c>
      <c r="Y35" s="39">
        <v>1</v>
      </c>
      <c r="Z35" s="39">
        <v>1</v>
      </c>
    </row>
    <row r="36" spans="1:26" x14ac:dyDescent="0.3">
      <c r="A36" s="39">
        <v>30040</v>
      </c>
      <c r="B36" s="39">
        <v>1</v>
      </c>
      <c r="C36" s="39">
        <v>1</v>
      </c>
      <c r="D36" s="39">
        <v>1</v>
      </c>
      <c r="E36" s="39">
        <v>1</v>
      </c>
      <c r="F36" s="39">
        <v>0</v>
      </c>
      <c r="G36" s="39">
        <v>1</v>
      </c>
      <c r="H36" s="39">
        <v>1</v>
      </c>
      <c r="I36" s="39">
        <v>1</v>
      </c>
      <c r="J36" s="39">
        <v>1</v>
      </c>
      <c r="K36" s="39">
        <v>0</v>
      </c>
      <c r="L36" s="39">
        <v>1</v>
      </c>
      <c r="M36" s="39">
        <v>1</v>
      </c>
      <c r="N36" s="39">
        <v>1</v>
      </c>
      <c r="O36" s="39">
        <v>1</v>
      </c>
      <c r="P36" s="39">
        <v>0</v>
      </c>
      <c r="Q36" s="39">
        <v>1</v>
      </c>
      <c r="R36" s="39">
        <v>1</v>
      </c>
      <c r="S36" s="39">
        <v>1</v>
      </c>
      <c r="T36" s="39">
        <v>1</v>
      </c>
      <c r="U36" s="39">
        <v>0</v>
      </c>
      <c r="V36" s="39">
        <v>1</v>
      </c>
      <c r="W36" s="39">
        <v>1</v>
      </c>
      <c r="X36" s="39">
        <v>1</v>
      </c>
      <c r="Y36" s="39">
        <v>1</v>
      </c>
      <c r="Z36" s="39">
        <v>0</v>
      </c>
    </row>
    <row r="37" spans="1:26" x14ac:dyDescent="0.3">
      <c r="A37" s="39">
        <v>40000</v>
      </c>
      <c r="B37" s="39">
        <v>0</v>
      </c>
      <c r="C37" s="39">
        <v>0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9">
        <v>0</v>
      </c>
      <c r="K37" s="39">
        <v>0</v>
      </c>
      <c r="L37" s="39">
        <v>1</v>
      </c>
      <c r="M37" s="39">
        <v>1</v>
      </c>
      <c r="N37" s="39">
        <v>1</v>
      </c>
      <c r="O37" s="39">
        <v>1</v>
      </c>
      <c r="P37" s="39">
        <v>0</v>
      </c>
      <c r="Q37" s="39">
        <v>0</v>
      </c>
      <c r="R37" s="39">
        <v>0</v>
      </c>
      <c r="S37" s="39">
        <v>0</v>
      </c>
      <c r="T37" s="39">
        <v>0</v>
      </c>
      <c r="U37" s="39">
        <v>0</v>
      </c>
      <c r="V37" s="39">
        <v>0</v>
      </c>
      <c r="W37" s="39">
        <v>0</v>
      </c>
      <c r="X37" s="39">
        <v>0</v>
      </c>
      <c r="Y37" s="39">
        <v>0</v>
      </c>
      <c r="Z37" s="39">
        <v>0</v>
      </c>
    </row>
    <row r="38" spans="1:26" x14ac:dyDescent="0.3">
      <c r="A38" s="39">
        <v>42060</v>
      </c>
      <c r="B38" s="39">
        <v>0</v>
      </c>
      <c r="C38" s="39">
        <v>0</v>
      </c>
      <c r="D38" s="39">
        <v>0</v>
      </c>
      <c r="E38" s="39">
        <v>1</v>
      </c>
      <c r="F38" s="39">
        <v>0</v>
      </c>
      <c r="G38" s="39">
        <v>0</v>
      </c>
      <c r="H38" s="39">
        <v>0</v>
      </c>
      <c r="I38" s="39">
        <v>0</v>
      </c>
      <c r="J38" s="39">
        <v>0</v>
      </c>
      <c r="K38" s="39">
        <v>0</v>
      </c>
      <c r="L38" s="39">
        <v>0</v>
      </c>
      <c r="M38" s="39">
        <v>0</v>
      </c>
      <c r="N38" s="39">
        <v>0</v>
      </c>
      <c r="O38" s="39">
        <v>0</v>
      </c>
      <c r="P38" s="39">
        <v>0</v>
      </c>
      <c r="Q38" s="39">
        <v>0</v>
      </c>
      <c r="R38" s="39">
        <v>0</v>
      </c>
      <c r="S38" s="39">
        <v>0</v>
      </c>
      <c r="T38" s="39">
        <v>0</v>
      </c>
      <c r="U38" s="39">
        <v>0</v>
      </c>
      <c r="V38" s="39">
        <v>0</v>
      </c>
      <c r="W38" s="39">
        <v>0</v>
      </c>
      <c r="X38" s="39">
        <v>0</v>
      </c>
      <c r="Y38" s="39">
        <v>0</v>
      </c>
      <c r="Z38" s="39">
        <v>0</v>
      </c>
    </row>
    <row r="39" spans="1:26" x14ac:dyDescent="0.3">
      <c r="A39" s="39">
        <v>42070</v>
      </c>
      <c r="B39" s="39">
        <v>0</v>
      </c>
      <c r="C39" s="39">
        <v>0</v>
      </c>
      <c r="D39" s="39">
        <v>0</v>
      </c>
      <c r="E39" s="39">
        <v>1</v>
      </c>
      <c r="F39" s="39">
        <v>0</v>
      </c>
      <c r="G39" s="39">
        <v>0</v>
      </c>
      <c r="H39" s="39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39">
        <v>0</v>
      </c>
      <c r="Q39" s="39">
        <v>0</v>
      </c>
      <c r="R39" s="39">
        <v>0</v>
      </c>
      <c r="S39" s="39">
        <v>0</v>
      </c>
      <c r="T39" s="39">
        <v>0</v>
      </c>
      <c r="U39" s="39">
        <v>0</v>
      </c>
      <c r="V39" s="39">
        <v>0</v>
      </c>
      <c r="W39" s="39">
        <v>0</v>
      </c>
      <c r="X39" s="39">
        <v>0</v>
      </c>
      <c r="Y39" s="39">
        <v>0</v>
      </c>
      <c r="Z39" s="39">
        <v>0</v>
      </c>
    </row>
    <row r="40" spans="1:26" x14ac:dyDescent="0.3">
      <c r="A40" s="39">
        <v>42080</v>
      </c>
      <c r="B40" s="39">
        <v>0</v>
      </c>
      <c r="C40" s="39">
        <v>0</v>
      </c>
      <c r="D40" s="39">
        <v>0</v>
      </c>
      <c r="E40" s="39">
        <v>1</v>
      </c>
      <c r="F40" s="39">
        <v>0</v>
      </c>
      <c r="G40" s="39">
        <v>0</v>
      </c>
      <c r="H40" s="39">
        <v>0</v>
      </c>
      <c r="I40" s="39">
        <v>0</v>
      </c>
      <c r="J40" s="39">
        <v>0</v>
      </c>
      <c r="K40" s="39">
        <v>0</v>
      </c>
      <c r="L40" s="39">
        <v>0</v>
      </c>
      <c r="M40" s="39">
        <v>0</v>
      </c>
      <c r="N40" s="39">
        <v>0</v>
      </c>
      <c r="O40" s="39">
        <v>0</v>
      </c>
      <c r="P40" s="39">
        <v>0</v>
      </c>
      <c r="Q40" s="39">
        <v>0</v>
      </c>
      <c r="R40" s="39">
        <v>0</v>
      </c>
      <c r="S40" s="39">
        <v>0</v>
      </c>
      <c r="T40" s="39">
        <v>0</v>
      </c>
      <c r="U40" s="39">
        <v>0</v>
      </c>
      <c r="V40" s="39">
        <v>0</v>
      </c>
      <c r="W40" s="39">
        <v>0</v>
      </c>
      <c r="X40" s="39">
        <v>0</v>
      </c>
      <c r="Y40" s="39">
        <v>0</v>
      </c>
      <c r="Z40" s="39">
        <v>0</v>
      </c>
    </row>
    <row r="41" spans="1:26" x14ac:dyDescent="0.3">
      <c r="A41" s="39">
        <v>42300</v>
      </c>
      <c r="B41" s="39">
        <v>1</v>
      </c>
      <c r="C41" s="39">
        <v>1</v>
      </c>
      <c r="D41" s="39">
        <v>1</v>
      </c>
      <c r="E41" s="39">
        <v>1</v>
      </c>
      <c r="F41" s="39">
        <v>1</v>
      </c>
      <c r="G41" s="39">
        <v>1</v>
      </c>
      <c r="H41" s="39">
        <v>1</v>
      </c>
      <c r="I41" s="39">
        <v>1</v>
      </c>
      <c r="J41" s="39">
        <v>1</v>
      </c>
      <c r="K41" s="39">
        <v>1</v>
      </c>
      <c r="L41" s="39">
        <v>1</v>
      </c>
      <c r="M41" s="39">
        <v>1</v>
      </c>
      <c r="N41" s="39">
        <v>1</v>
      </c>
      <c r="O41" s="39">
        <v>1</v>
      </c>
      <c r="P41" s="39">
        <v>1</v>
      </c>
      <c r="Q41" s="39">
        <v>1</v>
      </c>
      <c r="R41" s="39">
        <v>1</v>
      </c>
      <c r="S41" s="39">
        <v>1</v>
      </c>
      <c r="T41" s="39">
        <v>1</v>
      </c>
      <c r="U41" s="39">
        <v>1</v>
      </c>
      <c r="V41" s="39">
        <v>1</v>
      </c>
      <c r="W41" s="39">
        <v>1</v>
      </c>
      <c r="X41" s="39">
        <v>1</v>
      </c>
      <c r="Y41" s="39">
        <v>1</v>
      </c>
      <c r="Z41" s="39">
        <v>1</v>
      </c>
    </row>
    <row r="42" spans="1:26" x14ac:dyDescent="0.3">
      <c r="A42" s="39">
        <v>42310</v>
      </c>
      <c r="B42" s="39">
        <v>1</v>
      </c>
      <c r="C42" s="39">
        <v>1</v>
      </c>
      <c r="D42" s="39">
        <v>1</v>
      </c>
      <c r="E42" s="39">
        <v>1</v>
      </c>
      <c r="F42" s="39">
        <v>1</v>
      </c>
      <c r="G42" s="39">
        <v>1</v>
      </c>
      <c r="H42" s="39">
        <v>1</v>
      </c>
      <c r="I42" s="39">
        <v>1</v>
      </c>
      <c r="J42" s="39">
        <v>1</v>
      </c>
      <c r="K42" s="39">
        <v>1</v>
      </c>
      <c r="L42" s="39">
        <v>1</v>
      </c>
      <c r="M42" s="39">
        <v>1</v>
      </c>
      <c r="N42" s="39">
        <v>1</v>
      </c>
      <c r="O42" s="39">
        <v>1</v>
      </c>
      <c r="P42" s="39">
        <v>1</v>
      </c>
      <c r="Q42" s="39">
        <v>1</v>
      </c>
      <c r="R42" s="39">
        <v>1</v>
      </c>
      <c r="S42" s="39">
        <v>1</v>
      </c>
      <c r="T42" s="39">
        <v>1</v>
      </c>
      <c r="U42" s="39">
        <v>1</v>
      </c>
      <c r="V42" s="39">
        <v>1</v>
      </c>
      <c r="W42" s="39">
        <v>1</v>
      </c>
      <c r="X42" s="39">
        <v>1</v>
      </c>
      <c r="Y42" s="39">
        <v>1</v>
      </c>
      <c r="Z42" s="39">
        <v>1</v>
      </c>
    </row>
    <row r="43" spans="1:26" x14ac:dyDescent="0.3">
      <c r="A43" s="39">
        <v>42311</v>
      </c>
      <c r="B43" s="39">
        <v>1</v>
      </c>
      <c r="C43" s="39">
        <v>1</v>
      </c>
      <c r="D43" s="39">
        <v>1</v>
      </c>
      <c r="E43" s="39">
        <v>1</v>
      </c>
      <c r="F43" s="39">
        <v>1</v>
      </c>
      <c r="G43" s="39">
        <v>1</v>
      </c>
      <c r="H43" s="39">
        <v>1</v>
      </c>
      <c r="I43" s="39">
        <v>1</v>
      </c>
      <c r="J43" s="39">
        <v>1</v>
      </c>
      <c r="K43" s="39">
        <v>1</v>
      </c>
      <c r="L43" s="39">
        <v>1</v>
      </c>
      <c r="M43" s="39">
        <v>1</v>
      </c>
      <c r="N43" s="39">
        <v>1</v>
      </c>
      <c r="O43" s="39">
        <v>1</v>
      </c>
      <c r="P43" s="39">
        <v>1</v>
      </c>
      <c r="Q43" s="39">
        <v>1</v>
      </c>
      <c r="R43" s="39">
        <v>1</v>
      </c>
      <c r="S43" s="39">
        <v>1</v>
      </c>
      <c r="T43" s="39">
        <v>1</v>
      </c>
      <c r="U43" s="39">
        <v>1</v>
      </c>
      <c r="V43" s="39">
        <v>1</v>
      </c>
      <c r="W43" s="39">
        <v>1</v>
      </c>
      <c r="X43" s="39">
        <v>1</v>
      </c>
      <c r="Y43" s="39">
        <v>1</v>
      </c>
      <c r="Z43" s="39">
        <v>1</v>
      </c>
    </row>
    <row r="44" spans="1:26" x14ac:dyDescent="0.3">
      <c r="A44" s="39">
        <v>50000</v>
      </c>
      <c r="B44" s="39">
        <v>0</v>
      </c>
      <c r="C44" s="39">
        <v>0</v>
      </c>
      <c r="D44" s="39">
        <v>0</v>
      </c>
      <c r="E44" s="39">
        <v>0</v>
      </c>
      <c r="F44" s="39">
        <v>0</v>
      </c>
      <c r="G44" s="39">
        <v>0</v>
      </c>
      <c r="H44" s="39">
        <v>0</v>
      </c>
      <c r="I44" s="39">
        <v>0</v>
      </c>
      <c r="J44" s="39">
        <v>0</v>
      </c>
      <c r="K44" s="39">
        <v>0</v>
      </c>
      <c r="L44" s="39">
        <v>0</v>
      </c>
      <c r="M44" s="39">
        <v>0</v>
      </c>
      <c r="N44" s="39">
        <v>0</v>
      </c>
      <c r="O44" s="39">
        <v>0</v>
      </c>
      <c r="P44" s="39">
        <v>0</v>
      </c>
      <c r="Q44" s="39">
        <v>0</v>
      </c>
      <c r="R44" s="39">
        <v>0</v>
      </c>
      <c r="S44" s="39">
        <v>0</v>
      </c>
      <c r="T44" s="39">
        <v>0</v>
      </c>
      <c r="U44" s="39">
        <v>0</v>
      </c>
      <c r="V44" s="39">
        <v>0</v>
      </c>
      <c r="W44" s="39">
        <v>0</v>
      </c>
      <c r="X44" s="39">
        <v>0</v>
      </c>
      <c r="Y44" s="39">
        <v>0</v>
      </c>
      <c r="Z44" s="39">
        <v>0</v>
      </c>
    </row>
    <row r="45" spans="1:26" x14ac:dyDescent="0.3">
      <c r="A45" s="39">
        <v>50001</v>
      </c>
      <c r="B45" s="39">
        <v>1</v>
      </c>
      <c r="C45" s="39">
        <v>1</v>
      </c>
      <c r="D45" s="39">
        <v>0</v>
      </c>
      <c r="E45" s="39">
        <v>0</v>
      </c>
      <c r="F45" s="39">
        <v>0</v>
      </c>
      <c r="G45" s="39">
        <v>0</v>
      </c>
      <c r="H45" s="39">
        <v>1</v>
      </c>
      <c r="I45" s="39">
        <v>1</v>
      </c>
      <c r="J45" s="39">
        <v>0</v>
      </c>
      <c r="K45" s="39">
        <v>0</v>
      </c>
      <c r="L45" s="39">
        <v>1</v>
      </c>
      <c r="M45" s="39">
        <v>0</v>
      </c>
      <c r="N45" s="39">
        <v>0</v>
      </c>
      <c r="O45" s="39">
        <v>1</v>
      </c>
      <c r="P45" s="39">
        <v>0</v>
      </c>
      <c r="Q45" s="39">
        <v>0</v>
      </c>
      <c r="R45" s="39">
        <v>0</v>
      </c>
      <c r="S45" s="39">
        <v>0</v>
      </c>
      <c r="T45" s="39">
        <v>1</v>
      </c>
      <c r="U45" s="39">
        <v>0</v>
      </c>
      <c r="V45" s="39">
        <v>0</v>
      </c>
      <c r="W45" s="39">
        <v>0</v>
      </c>
      <c r="X45" s="39">
        <v>0</v>
      </c>
      <c r="Y45" s="39">
        <v>1</v>
      </c>
      <c r="Z45" s="39">
        <v>0</v>
      </c>
    </row>
    <row r="46" spans="1:26" x14ac:dyDescent="0.3">
      <c r="A46" s="39">
        <v>50002</v>
      </c>
      <c r="B46" s="39">
        <v>1</v>
      </c>
      <c r="C46" s="39">
        <v>1</v>
      </c>
      <c r="D46" s="39">
        <v>0</v>
      </c>
      <c r="E46" s="39">
        <v>0</v>
      </c>
      <c r="F46" s="39">
        <v>0</v>
      </c>
      <c r="G46" s="39">
        <v>0</v>
      </c>
      <c r="H46" s="39">
        <v>1</v>
      </c>
      <c r="I46" s="39">
        <v>1</v>
      </c>
      <c r="J46" s="39">
        <v>0</v>
      </c>
      <c r="K46" s="39">
        <v>0</v>
      </c>
      <c r="L46" s="39">
        <v>1</v>
      </c>
      <c r="M46" s="39">
        <v>0</v>
      </c>
      <c r="N46" s="39">
        <v>0</v>
      </c>
      <c r="O46" s="39">
        <v>1</v>
      </c>
      <c r="P46" s="39">
        <v>0</v>
      </c>
      <c r="Q46" s="39">
        <v>0</v>
      </c>
      <c r="R46" s="39">
        <v>0</v>
      </c>
      <c r="S46" s="39">
        <v>0</v>
      </c>
      <c r="T46" s="39">
        <v>1</v>
      </c>
      <c r="U46" s="39">
        <v>0</v>
      </c>
      <c r="V46" s="39">
        <v>0</v>
      </c>
      <c r="W46" s="39">
        <v>0</v>
      </c>
      <c r="X46" s="39">
        <v>0</v>
      </c>
      <c r="Y46" s="39">
        <v>1</v>
      </c>
      <c r="Z46" s="39">
        <v>0</v>
      </c>
    </row>
    <row r="47" spans="1:26" x14ac:dyDescent="0.3">
      <c r="A47" s="39">
        <v>50003</v>
      </c>
      <c r="B47" s="39">
        <v>1</v>
      </c>
      <c r="C47" s="39">
        <v>1</v>
      </c>
      <c r="D47" s="39">
        <v>0</v>
      </c>
      <c r="E47" s="39">
        <v>0</v>
      </c>
      <c r="F47" s="39">
        <v>0</v>
      </c>
      <c r="G47" s="39">
        <v>0</v>
      </c>
      <c r="H47" s="39">
        <v>1</v>
      </c>
      <c r="I47" s="39">
        <v>1</v>
      </c>
      <c r="J47" s="39">
        <v>0</v>
      </c>
      <c r="K47" s="39">
        <v>0</v>
      </c>
      <c r="L47" s="39">
        <v>1</v>
      </c>
      <c r="M47" s="39">
        <v>0</v>
      </c>
      <c r="N47" s="39">
        <v>0</v>
      </c>
      <c r="O47" s="39">
        <v>1</v>
      </c>
      <c r="P47" s="39">
        <v>0</v>
      </c>
      <c r="Q47" s="39">
        <v>0</v>
      </c>
      <c r="R47" s="39">
        <v>0</v>
      </c>
      <c r="S47" s="39">
        <v>0</v>
      </c>
      <c r="T47" s="39">
        <v>1</v>
      </c>
      <c r="U47" s="39">
        <v>0</v>
      </c>
      <c r="V47" s="39">
        <v>0</v>
      </c>
      <c r="W47" s="39">
        <v>0</v>
      </c>
      <c r="X47" s="39">
        <v>0</v>
      </c>
      <c r="Y47" s="39">
        <v>1</v>
      </c>
      <c r="Z47" s="39">
        <v>0</v>
      </c>
    </row>
    <row r="48" spans="1:26" x14ac:dyDescent="0.3">
      <c r="A48" s="39">
        <v>50004</v>
      </c>
      <c r="B48" s="39">
        <v>1</v>
      </c>
      <c r="C48" s="39">
        <v>1</v>
      </c>
      <c r="D48" s="39">
        <v>0</v>
      </c>
      <c r="E48" s="39">
        <v>0</v>
      </c>
      <c r="F48" s="39">
        <v>0</v>
      </c>
      <c r="G48" s="39">
        <v>0</v>
      </c>
      <c r="H48" s="39">
        <v>1</v>
      </c>
      <c r="I48" s="39">
        <v>1</v>
      </c>
      <c r="J48" s="39">
        <v>0</v>
      </c>
      <c r="K48" s="39">
        <v>0</v>
      </c>
      <c r="L48" s="39">
        <v>1</v>
      </c>
      <c r="M48" s="39">
        <v>0</v>
      </c>
      <c r="N48" s="39">
        <v>0</v>
      </c>
      <c r="O48" s="39">
        <v>1</v>
      </c>
      <c r="P48" s="39">
        <v>0</v>
      </c>
      <c r="Q48" s="39">
        <v>0</v>
      </c>
      <c r="R48" s="39">
        <v>0</v>
      </c>
      <c r="S48" s="39">
        <v>0</v>
      </c>
      <c r="T48" s="39">
        <v>1</v>
      </c>
      <c r="U48" s="39">
        <v>0</v>
      </c>
      <c r="V48" s="39">
        <v>0</v>
      </c>
      <c r="W48" s="39">
        <v>0</v>
      </c>
      <c r="X48" s="39">
        <v>0</v>
      </c>
      <c r="Y48" s="39">
        <v>1</v>
      </c>
      <c r="Z48" s="39">
        <v>0</v>
      </c>
    </row>
    <row r="49" spans="1:26" x14ac:dyDescent="0.3">
      <c r="A49" s="39">
        <v>50005</v>
      </c>
      <c r="B49" s="39">
        <v>1</v>
      </c>
      <c r="C49" s="39">
        <v>1</v>
      </c>
      <c r="D49" s="39">
        <v>0</v>
      </c>
      <c r="E49" s="39">
        <v>0</v>
      </c>
      <c r="F49" s="39">
        <v>0</v>
      </c>
      <c r="G49" s="39">
        <v>0</v>
      </c>
      <c r="H49" s="39">
        <v>1</v>
      </c>
      <c r="I49" s="39">
        <v>1</v>
      </c>
      <c r="J49" s="39">
        <v>0</v>
      </c>
      <c r="K49" s="39">
        <v>0</v>
      </c>
      <c r="L49" s="39">
        <v>1</v>
      </c>
      <c r="M49" s="39">
        <v>0</v>
      </c>
      <c r="N49" s="39">
        <v>0</v>
      </c>
      <c r="O49" s="39">
        <v>1</v>
      </c>
      <c r="P49" s="39">
        <v>0</v>
      </c>
      <c r="Q49" s="39">
        <v>0</v>
      </c>
      <c r="R49" s="39">
        <v>0</v>
      </c>
      <c r="S49" s="39">
        <v>0</v>
      </c>
      <c r="T49" s="39">
        <v>1</v>
      </c>
      <c r="U49" s="39">
        <v>0</v>
      </c>
      <c r="V49" s="39">
        <v>0</v>
      </c>
      <c r="W49" s="39">
        <v>0</v>
      </c>
      <c r="X49" s="39">
        <v>0</v>
      </c>
      <c r="Y49" s="39">
        <v>1</v>
      </c>
      <c r="Z49" s="39">
        <v>0</v>
      </c>
    </row>
    <row r="50" spans="1:26" x14ac:dyDescent="0.3">
      <c r="A50" s="39">
        <v>50006</v>
      </c>
      <c r="B50" s="39">
        <v>1</v>
      </c>
      <c r="C50" s="39">
        <v>1</v>
      </c>
      <c r="D50" s="39">
        <v>0</v>
      </c>
      <c r="E50" s="39">
        <v>0</v>
      </c>
      <c r="F50" s="39">
        <v>0</v>
      </c>
      <c r="G50" s="39">
        <v>0</v>
      </c>
      <c r="H50" s="39">
        <v>1</v>
      </c>
      <c r="I50" s="39">
        <v>1</v>
      </c>
      <c r="J50" s="39">
        <v>0</v>
      </c>
      <c r="K50" s="39">
        <v>0</v>
      </c>
      <c r="L50" s="39">
        <v>1</v>
      </c>
      <c r="M50" s="39">
        <v>0</v>
      </c>
      <c r="N50" s="39">
        <v>0</v>
      </c>
      <c r="O50" s="39">
        <v>1</v>
      </c>
      <c r="P50" s="39">
        <v>0</v>
      </c>
      <c r="Q50" s="39">
        <v>0</v>
      </c>
      <c r="R50" s="39">
        <v>0</v>
      </c>
      <c r="S50" s="39">
        <v>0</v>
      </c>
      <c r="T50" s="39">
        <v>1</v>
      </c>
      <c r="U50" s="39">
        <v>0</v>
      </c>
      <c r="V50" s="39">
        <v>0</v>
      </c>
      <c r="W50" s="39">
        <v>0</v>
      </c>
      <c r="X50" s="39">
        <v>0</v>
      </c>
      <c r="Y50" s="39">
        <v>1</v>
      </c>
      <c r="Z50" s="39">
        <v>0</v>
      </c>
    </row>
    <row r="51" spans="1:26" x14ac:dyDescent="0.3">
      <c r="A51" s="39">
        <v>50007</v>
      </c>
      <c r="B51" s="39">
        <v>1</v>
      </c>
      <c r="C51" s="39">
        <v>1</v>
      </c>
      <c r="D51" s="39">
        <v>0</v>
      </c>
      <c r="E51" s="39">
        <v>0</v>
      </c>
      <c r="F51" s="39">
        <v>0</v>
      </c>
      <c r="G51" s="39">
        <v>0</v>
      </c>
      <c r="H51" s="39">
        <v>1</v>
      </c>
      <c r="I51" s="39">
        <v>1</v>
      </c>
      <c r="J51" s="39">
        <v>0</v>
      </c>
      <c r="K51" s="39">
        <v>0</v>
      </c>
      <c r="L51" s="39">
        <v>1</v>
      </c>
      <c r="M51" s="39">
        <v>0</v>
      </c>
      <c r="N51" s="39">
        <v>0</v>
      </c>
      <c r="O51" s="39">
        <v>1</v>
      </c>
      <c r="P51" s="39">
        <v>0</v>
      </c>
      <c r="Q51" s="39">
        <v>0</v>
      </c>
      <c r="R51" s="39">
        <v>0</v>
      </c>
      <c r="S51" s="39">
        <v>0</v>
      </c>
      <c r="T51" s="39">
        <v>1</v>
      </c>
      <c r="U51" s="39">
        <v>0</v>
      </c>
      <c r="V51" s="39">
        <v>0</v>
      </c>
      <c r="W51" s="39">
        <v>0</v>
      </c>
      <c r="X51" s="39">
        <v>0</v>
      </c>
      <c r="Y51" s="39">
        <v>1</v>
      </c>
      <c r="Z51" s="39">
        <v>0</v>
      </c>
    </row>
    <row r="52" spans="1:26" x14ac:dyDescent="0.3">
      <c r="A52" s="39">
        <v>50008</v>
      </c>
      <c r="B52" s="39">
        <v>1</v>
      </c>
      <c r="C52" s="39">
        <v>1</v>
      </c>
      <c r="D52" s="39">
        <v>0</v>
      </c>
      <c r="E52" s="39">
        <v>0</v>
      </c>
      <c r="F52" s="39">
        <v>0</v>
      </c>
      <c r="G52" s="39">
        <v>0</v>
      </c>
      <c r="H52" s="39">
        <v>1</v>
      </c>
      <c r="I52" s="39">
        <v>1</v>
      </c>
      <c r="J52" s="39">
        <v>0</v>
      </c>
      <c r="K52" s="39">
        <v>0</v>
      </c>
      <c r="L52" s="39">
        <v>1</v>
      </c>
      <c r="M52" s="39">
        <v>0</v>
      </c>
      <c r="N52" s="39">
        <v>0</v>
      </c>
      <c r="O52" s="39">
        <v>1</v>
      </c>
      <c r="P52" s="39">
        <v>0</v>
      </c>
      <c r="Q52" s="39">
        <v>0</v>
      </c>
      <c r="R52" s="39">
        <v>0</v>
      </c>
      <c r="S52" s="39">
        <v>0</v>
      </c>
      <c r="T52" s="39">
        <v>1</v>
      </c>
      <c r="U52" s="39">
        <v>0</v>
      </c>
      <c r="V52" s="39">
        <v>0</v>
      </c>
      <c r="W52" s="39">
        <v>0</v>
      </c>
      <c r="X52" s="39">
        <v>0</v>
      </c>
      <c r="Y52" s="39">
        <v>1</v>
      </c>
      <c r="Z52" s="39">
        <v>0</v>
      </c>
    </row>
    <row r="53" spans="1:26" x14ac:dyDescent="0.3">
      <c r="A53" s="39">
        <v>50009</v>
      </c>
      <c r="B53" s="39">
        <v>1</v>
      </c>
      <c r="C53" s="39">
        <v>1</v>
      </c>
      <c r="D53" s="39">
        <v>0</v>
      </c>
      <c r="E53" s="39">
        <v>0</v>
      </c>
      <c r="F53" s="39">
        <v>0</v>
      </c>
      <c r="G53" s="39">
        <v>0</v>
      </c>
      <c r="H53" s="39">
        <v>1</v>
      </c>
      <c r="I53" s="39">
        <v>1</v>
      </c>
      <c r="J53" s="39">
        <v>0</v>
      </c>
      <c r="K53" s="39">
        <v>0</v>
      </c>
      <c r="L53" s="39">
        <v>1</v>
      </c>
      <c r="M53" s="39">
        <v>0</v>
      </c>
      <c r="N53" s="39">
        <v>0</v>
      </c>
      <c r="O53" s="39">
        <v>1</v>
      </c>
      <c r="P53" s="39">
        <v>0</v>
      </c>
      <c r="Q53" s="39">
        <v>0</v>
      </c>
      <c r="R53" s="39">
        <v>0</v>
      </c>
      <c r="S53" s="39">
        <v>0</v>
      </c>
      <c r="T53" s="39">
        <v>1</v>
      </c>
      <c r="U53" s="39">
        <v>0</v>
      </c>
      <c r="V53" s="39">
        <v>0</v>
      </c>
      <c r="W53" s="39">
        <v>0</v>
      </c>
      <c r="X53" s="39">
        <v>0</v>
      </c>
      <c r="Y53" s="39">
        <v>1</v>
      </c>
      <c r="Z53" s="39">
        <v>0</v>
      </c>
    </row>
    <row r="54" spans="1:26" x14ac:dyDescent="0.3">
      <c r="A54" s="39">
        <v>50010</v>
      </c>
      <c r="B54" s="39">
        <v>1</v>
      </c>
      <c r="C54" s="39">
        <v>1</v>
      </c>
      <c r="D54" s="39">
        <v>0</v>
      </c>
      <c r="E54" s="39">
        <v>0</v>
      </c>
      <c r="F54" s="39">
        <v>0</v>
      </c>
      <c r="G54" s="39">
        <v>0</v>
      </c>
      <c r="H54" s="39">
        <v>1</v>
      </c>
      <c r="I54" s="39">
        <v>1</v>
      </c>
      <c r="J54" s="39">
        <v>0</v>
      </c>
      <c r="K54" s="39">
        <v>0</v>
      </c>
      <c r="L54" s="39">
        <v>1</v>
      </c>
      <c r="M54" s="39">
        <v>0</v>
      </c>
      <c r="N54" s="39">
        <v>0</v>
      </c>
      <c r="O54" s="39">
        <v>1</v>
      </c>
      <c r="P54" s="39">
        <v>0</v>
      </c>
      <c r="Q54" s="39">
        <v>0</v>
      </c>
      <c r="R54" s="39">
        <v>0</v>
      </c>
      <c r="S54" s="39">
        <v>0</v>
      </c>
      <c r="T54" s="39">
        <v>1</v>
      </c>
      <c r="U54" s="39">
        <v>0</v>
      </c>
      <c r="V54" s="39">
        <v>0</v>
      </c>
      <c r="W54" s="39">
        <v>0</v>
      </c>
      <c r="X54" s="39">
        <v>0</v>
      </c>
      <c r="Y54" s="39">
        <v>1</v>
      </c>
      <c r="Z54" s="39">
        <v>0</v>
      </c>
    </row>
    <row r="55" spans="1:26" x14ac:dyDescent="0.3">
      <c r="A55" s="39">
        <v>50101</v>
      </c>
      <c r="B55" s="39">
        <v>1</v>
      </c>
      <c r="C55" s="39">
        <v>1</v>
      </c>
      <c r="D55" s="39">
        <v>0</v>
      </c>
      <c r="E55" s="39">
        <v>0</v>
      </c>
      <c r="F55" s="39">
        <v>0</v>
      </c>
      <c r="G55" s="39">
        <v>0</v>
      </c>
      <c r="H55" s="39">
        <v>1</v>
      </c>
      <c r="I55" s="39">
        <v>1</v>
      </c>
      <c r="J55" s="39">
        <v>0</v>
      </c>
      <c r="K55" s="39">
        <v>0</v>
      </c>
      <c r="L55" s="39">
        <v>1</v>
      </c>
      <c r="M55" s="39">
        <v>0</v>
      </c>
      <c r="N55" s="39">
        <v>0</v>
      </c>
      <c r="O55" s="39">
        <v>1</v>
      </c>
      <c r="P55" s="39">
        <v>0</v>
      </c>
      <c r="Q55" s="39">
        <v>0</v>
      </c>
      <c r="R55" s="39">
        <v>0</v>
      </c>
      <c r="S55" s="39">
        <v>0</v>
      </c>
      <c r="T55" s="39">
        <v>1</v>
      </c>
      <c r="U55" s="39">
        <v>0</v>
      </c>
      <c r="V55" s="39">
        <v>0</v>
      </c>
      <c r="W55" s="39">
        <v>0</v>
      </c>
      <c r="X55" s="39">
        <v>0</v>
      </c>
      <c r="Y55" s="39">
        <v>1</v>
      </c>
      <c r="Z55" s="39">
        <v>0</v>
      </c>
    </row>
    <row r="56" spans="1:26" x14ac:dyDescent="0.3">
      <c r="A56" s="39">
        <v>50102</v>
      </c>
      <c r="B56" s="39">
        <v>1</v>
      </c>
      <c r="C56" s="39">
        <v>1</v>
      </c>
      <c r="D56" s="39">
        <v>0</v>
      </c>
      <c r="E56" s="39">
        <v>0</v>
      </c>
      <c r="F56" s="39">
        <v>0</v>
      </c>
      <c r="G56" s="39">
        <v>0</v>
      </c>
      <c r="H56" s="39">
        <v>1</v>
      </c>
      <c r="I56" s="39">
        <v>1</v>
      </c>
      <c r="J56" s="39">
        <v>0</v>
      </c>
      <c r="K56" s="39">
        <v>0</v>
      </c>
      <c r="L56" s="39">
        <v>1</v>
      </c>
      <c r="M56" s="39">
        <v>0</v>
      </c>
      <c r="N56" s="39">
        <v>0</v>
      </c>
      <c r="O56" s="39">
        <v>1</v>
      </c>
      <c r="P56" s="39">
        <v>0</v>
      </c>
      <c r="Q56" s="39">
        <v>0</v>
      </c>
      <c r="R56" s="39">
        <v>0</v>
      </c>
      <c r="S56" s="39">
        <v>0</v>
      </c>
      <c r="T56" s="39">
        <v>1</v>
      </c>
      <c r="U56" s="39">
        <v>0</v>
      </c>
      <c r="V56" s="39">
        <v>0</v>
      </c>
      <c r="W56" s="39">
        <v>0</v>
      </c>
      <c r="X56" s="39">
        <v>0</v>
      </c>
      <c r="Y56" s="39">
        <v>1</v>
      </c>
      <c r="Z56" s="39">
        <v>0</v>
      </c>
    </row>
    <row r="57" spans="1:26" x14ac:dyDescent="0.3">
      <c r="A57" s="39">
        <v>50103</v>
      </c>
      <c r="B57" s="39">
        <v>1</v>
      </c>
      <c r="C57" s="39">
        <v>1</v>
      </c>
      <c r="D57" s="39">
        <v>0</v>
      </c>
      <c r="E57" s="39">
        <v>0</v>
      </c>
      <c r="F57" s="39">
        <v>0</v>
      </c>
      <c r="G57" s="39">
        <v>0</v>
      </c>
      <c r="H57" s="39">
        <v>1</v>
      </c>
      <c r="I57" s="39">
        <v>1</v>
      </c>
      <c r="J57" s="39">
        <v>0</v>
      </c>
      <c r="K57" s="39">
        <v>0</v>
      </c>
      <c r="L57" s="39">
        <v>1</v>
      </c>
      <c r="M57" s="39">
        <v>0</v>
      </c>
      <c r="N57" s="39">
        <v>0</v>
      </c>
      <c r="O57" s="39">
        <v>1</v>
      </c>
      <c r="P57" s="39">
        <v>0</v>
      </c>
      <c r="Q57" s="39">
        <v>0</v>
      </c>
      <c r="R57" s="39">
        <v>0</v>
      </c>
      <c r="S57" s="39">
        <v>0</v>
      </c>
      <c r="T57" s="39">
        <v>1</v>
      </c>
      <c r="U57" s="39">
        <v>0</v>
      </c>
      <c r="V57" s="39">
        <v>0</v>
      </c>
      <c r="W57" s="39">
        <v>0</v>
      </c>
      <c r="X57" s="39">
        <v>0</v>
      </c>
      <c r="Y57" s="39">
        <v>1</v>
      </c>
      <c r="Z57" s="39">
        <v>0</v>
      </c>
    </row>
    <row r="58" spans="1:26" x14ac:dyDescent="0.3">
      <c r="A58" s="39">
        <v>50104</v>
      </c>
      <c r="B58" s="39">
        <v>1</v>
      </c>
      <c r="C58" s="39">
        <v>1</v>
      </c>
      <c r="D58" s="39">
        <v>0</v>
      </c>
      <c r="E58" s="39">
        <v>0</v>
      </c>
      <c r="F58" s="39">
        <v>0</v>
      </c>
      <c r="G58" s="39">
        <v>0</v>
      </c>
      <c r="H58" s="39">
        <v>1</v>
      </c>
      <c r="I58" s="39">
        <v>1</v>
      </c>
      <c r="J58" s="39">
        <v>0</v>
      </c>
      <c r="K58" s="39">
        <v>0</v>
      </c>
      <c r="L58" s="39">
        <v>1</v>
      </c>
      <c r="M58" s="39">
        <v>0</v>
      </c>
      <c r="N58" s="39">
        <v>0</v>
      </c>
      <c r="O58" s="39">
        <v>1</v>
      </c>
      <c r="P58" s="39">
        <v>0</v>
      </c>
      <c r="Q58" s="39">
        <v>0</v>
      </c>
      <c r="R58" s="39">
        <v>0</v>
      </c>
      <c r="S58" s="39">
        <v>0</v>
      </c>
      <c r="T58" s="39">
        <v>1</v>
      </c>
      <c r="U58" s="39">
        <v>0</v>
      </c>
      <c r="V58" s="39">
        <v>0</v>
      </c>
      <c r="W58" s="39">
        <v>0</v>
      </c>
      <c r="X58" s="39">
        <v>0</v>
      </c>
      <c r="Y58" s="39">
        <v>1</v>
      </c>
      <c r="Z58" s="39">
        <v>0</v>
      </c>
    </row>
    <row r="59" spans="1:26" x14ac:dyDescent="0.3">
      <c r="A59" s="39">
        <v>50105</v>
      </c>
      <c r="B59" s="39">
        <v>1</v>
      </c>
      <c r="C59" s="39">
        <v>1</v>
      </c>
      <c r="D59" s="39">
        <v>0</v>
      </c>
      <c r="E59" s="39">
        <v>0</v>
      </c>
      <c r="F59" s="39">
        <v>0</v>
      </c>
      <c r="G59" s="39">
        <v>0</v>
      </c>
      <c r="H59" s="39">
        <v>1</v>
      </c>
      <c r="I59" s="39">
        <v>1</v>
      </c>
      <c r="J59" s="39">
        <v>0</v>
      </c>
      <c r="K59" s="39">
        <v>0</v>
      </c>
      <c r="L59" s="39">
        <v>1</v>
      </c>
      <c r="M59" s="39">
        <v>0</v>
      </c>
      <c r="N59" s="39">
        <v>0</v>
      </c>
      <c r="O59" s="39">
        <v>1</v>
      </c>
      <c r="P59" s="39">
        <v>0</v>
      </c>
      <c r="Q59" s="39">
        <v>0</v>
      </c>
      <c r="R59" s="39">
        <v>0</v>
      </c>
      <c r="S59" s="39">
        <v>0</v>
      </c>
      <c r="T59" s="39">
        <v>1</v>
      </c>
      <c r="U59" s="39">
        <v>0</v>
      </c>
      <c r="V59" s="39">
        <v>0</v>
      </c>
      <c r="W59" s="39">
        <v>0</v>
      </c>
      <c r="X59" s="39">
        <v>0</v>
      </c>
      <c r="Y59" s="39">
        <v>1</v>
      </c>
      <c r="Z59" s="39">
        <v>0</v>
      </c>
    </row>
    <row r="60" spans="1:26" x14ac:dyDescent="0.3">
      <c r="A60" s="39">
        <v>50106</v>
      </c>
      <c r="B60" s="39">
        <v>1</v>
      </c>
      <c r="C60" s="39">
        <v>1</v>
      </c>
      <c r="D60" s="39">
        <v>0</v>
      </c>
      <c r="E60" s="39">
        <v>0</v>
      </c>
      <c r="F60" s="39">
        <v>0</v>
      </c>
      <c r="G60" s="39">
        <v>0</v>
      </c>
      <c r="H60" s="39">
        <v>1</v>
      </c>
      <c r="I60" s="39">
        <v>1</v>
      </c>
      <c r="J60" s="39">
        <v>0</v>
      </c>
      <c r="K60" s="39">
        <v>0</v>
      </c>
      <c r="L60" s="39">
        <v>1</v>
      </c>
      <c r="M60" s="39">
        <v>0</v>
      </c>
      <c r="N60" s="39">
        <v>0</v>
      </c>
      <c r="O60" s="39">
        <v>1</v>
      </c>
      <c r="P60" s="39">
        <v>0</v>
      </c>
      <c r="Q60" s="39">
        <v>0</v>
      </c>
      <c r="R60" s="39">
        <v>0</v>
      </c>
      <c r="S60" s="39">
        <v>0</v>
      </c>
      <c r="T60" s="39">
        <v>1</v>
      </c>
      <c r="U60" s="39">
        <v>0</v>
      </c>
      <c r="V60" s="39">
        <v>0</v>
      </c>
      <c r="W60" s="39">
        <v>0</v>
      </c>
      <c r="X60" s="39">
        <v>0</v>
      </c>
      <c r="Y60" s="39">
        <v>1</v>
      </c>
      <c r="Z60" s="39">
        <v>0</v>
      </c>
    </row>
    <row r="61" spans="1:26" x14ac:dyDescent="0.3">
      <c r="A61" s="39">
        <v>50107</v>
      </c>
      <c r="B61" s="39">
        <v>1</v>
      </c>
      <c r="C61" s="39">
        <v>1</v>
      </c>
      <c r="D61" s="39">
        <v>0</v>
      </c>
      <c r="E61" s="39">
        <v>0</v>
      </c>
      <c r="F61" s="39">
        <v>0</v>
      </c>
      <c r="G61" s="39">
        <v>0</v>
      </c>
      <c r="H61" s="39">
        <v>1</v>
      </c>
      <c r="I61" s="39">
        <v>1</v>
      </c>
      <c r="J61" s="39">
        <v>0</v>
      </c>
      <c r="K61" s="39">
        <v>0</v>
      </c>
      <c r="L61" s="39">
        <v>1</v>
      </c>
      <c r="M61" s="39">
        <v>0</v>
      </c>
      <c r="N61" s="39">
        <v>0</v>
      </c>
      <c r="O61" s="39">
        <v>1</v>
      </c>
      <c r="P61" s="39">
        <v>0</v>
      </c>
      <c r="Q61" s="39">
        <v>0</v>
      </c>
      <c r="R61" s="39">
        <v>0</v>
      </c>
      <c r="S61" s="39">
        <v>0</v>
      </c>
      <c r="T61" s="39">
        <v>1</v>
      </c>
      <c r="U61" s="39">
        <v>0</v>
      </c>
      <c r="V61" s="39">
        <v>0</v>
      </c>
      <c r="W61" s="39">
        <v>0</v>
      </c>
      <c r="X61" s="39">
        <v>0</v>
      </c>
      <c r="Y61" s="39">
        <v>1</v>
      </c>
      <c r="Z61" s="39">
        <v>0</v>
      </c>
    </row>
    <row r="62" spans="1:26" x14ac:dyDescent="0.3">
      <c r="A62" s="39">
        <v>50108</v>
      </c>
      <c r="B62" s="39">
        <v>1</v>
      </c>
      <c r="C62" s="39">
        <v>1</v>
      </c>
      <c r="D62" s="39">
        <v>0</v>
      </c>
      <c r="E62" s="39">
        <v>0</v>
      </c>
      <c r="F62" s="39">
        <v>0</v>
      </c>
      <c r="G62" s="39">
        <v>0</v>
      </c>
      <c r="H62" s="39">
        <v>1</v>
      </c>
      <c r="I62" s="39">
        <v>1</v>
      </c>
      <c r="J62" s="39">
        <v>0</v>
      </c>
      <c r="K62" s="39">
        <v>0</v>
      </c>
      <c r="L62" s="39">
        <v>1</v>
      </c>
      <c r="M62" s="39">
        <v>0</v>
      </c>
      <c r="N62" s="39">
        <v>0</v>
      </c>
      <c r="O62" s="39">
        <v>1</v>
      </c>
      <c r="P62" s="39">
        <v>0</v>
      </c>
      <c r="Q62" s="39">
        <v>0</v>
      </c>
      <c r="R62" s="39">
        <v>0</v>
      </c>
      <c r="S62" s="39">
        <v>0</v>
      </c>
      <c r="T62" s="39">
        <v>1</v>
      </c>
      <c r="U62" s="39">
        <v>0</v>
      </c>
      <c r="V62" s="39">
        <v>0</v>
      </c>
      <c r="W62" s="39">
        <v>0</v>
      </c>
      <c r="X62" s="39">
        <v>0</v>
      </c>
      <c r="Y62" s="39">
        <v>1</v>
      </c>
      <c r="Z62" s="39">
        <v>0</v>
      </c>
    </row>
    <row r="63" spans="1:26" x14ac:dyDescent="0.3">
      <c r="A63" s="39">
        <v>50109</v>
      </c>
      <c r="B63" s="39">
        <v>1</v>
      </c>
      <c r="C63" s="39">
        <v>1</v>
      </c>
      <c r="D63" s="39">
        <v>0</v>
      </c>
      <c r="E63" s="39">
        <v>0</v>
      </c>
      <c r="F63" s="39">
        <v>0</v>
      </c>
      <c r="G63" s="39">
        <v>0</v>
      </c>
      <c r="H63" s="39">
        <v>1</v>
      </c>
      <c r="I63" s="39">
        <v>1</v>
      </c>
      <c r="J63" s="39">
        <v>0</v>
      </c>
      <c r="K63" s="39">
        <v>0</v>
      </c>
      <c r="L63" s="39">
        <v>1</v>
      </c>
      <c r="M63" s="39">
        <v>0</v>
      </c>
      <c r="N63" s="39">
        <v>0</v>
      </c>
      <c r="O63" s="39">
        <v>1</v>
      </c>
      <c r="P63" s="39">
        <v>0</v>
      </c>
      <c r="Q63" s="39">
        <v>0</v>
      </c>
      <c r="R63" s="39">
        <v>0</v>
      </c>
      <c r="S63" s="39">
        <v>0</v>
      </c>
      <c r="T63" s="39">
        <v>1</v>
      </c>
      <c r="U63" s="39">
        <v>0</v>
      </c>
      <c r="V63" s="39">
        <v>0</v>
      </c>
      <c r="W63" s="39">
        <v>0</v>
      </c>
      <c r="X63" s="39">
        <v>0</v>
      </c>
      <c r="Y63" s="39">
        <v>1</v>
      </c>
      <c r="Z63" s="39">
        <v>0</v>
      </c>
    </row>
    <row r="64" spans="1:26" x14ac:dyDescent="0.3">
      <c r="A64" s="39">
        <v>50110</v>
      </c>
      <c r="B64" s="39">
        <v>1</v>
      </c>
      <c r="C64" s="39">
        <v>1</v>
      </c>
      <c r="D64" s="39">
        <v>0</v>
      </c>
      <c r="E64" s="39">
        <v>0</v>
      </c>
      <c r="F64" s="39">
        <v>0</v>
      </c>
      <c r="G64" s="39">
        <v>0</v>
      </c>
      <c r="H64" s="39">
        <v>1</v>
      </c>
      <c r="I64" s="39">
        <v>1</v>
      </c>
      <c r="J64" s="39">
        <v>0</v>
      </c>
      <c r="K64" s="39">
        <v>0</v>
      </c>
      <c r="L64" s="39">
        <v>1</v>
      </c>
      <c r="M64" s="39">
        <v>0</v>
      </c>
      <c r="N64" s="39">
        <v>0</v>
      </c>
      <c r="O64" s="39">
        <v>1</v>
      </c>
      <c r="P64" s="39">
        <v>0</v>
      </c>
      <c r="Q64" s="39">
        <v>0</v>
      </c>
      <c r="R64" s="39">
        <v>0</v>
      </c>
      <c r="S64" s="39">
        <v>0</v>
      </c>
      <c r="T64" s="39">
        <v>1</v>
      </c>
      <c r="U64" s="39">
        <v>0</v>
      </c>
      <c r="V64" s="39">
        <v>0</v>
      </c>
      <c r="W64" s="39">
        <v>0</v>
      </c>
      <c r="X64" s="39">
        <v>0</v>
      </c>
      <c r="Y64" s="39">
        <v>1</v>
      </c>
      <c r="Z64" s="39">
        <v>0</v>
      </c>
    </row>
    <row r="65" spans="1:26" x14ac:dyDescent="0.3">
      <c r="A65" s="39">
        <v>51000</v>
      </c>
      <c r="B65" s="39">
        <v>1</v>
      </c>
      <c r="C65" s="39">
        <v>1</v>
      </c>
      <c r="D65" s="39">
        <v>0</v>
      </c>
      <c r="E65" s="39">
        <v>0</v>
      </c>
      <c r="F65" s="39">
        <v>0</v>
      </c>
      <c r="G65" s="39">
        <v>1</v>
      </c>
      <c r="H65" s="39">
        <v>1</v>
      </c>
      <c r="I65" s="39">
        <v>0</v>
      </c>
      <c r="J65" s="39">
        <v>0</v>
      </c>
      <c r="K65" s="39">
        <v>0</v>
      </c>
      <c r="L65" s="39">
        <v>1</v>
      </c>
      <c r="M65" s="39">
        <v>1</v>
      </c>
      <c r="N65" s="39">
        <v>0</v>
      </c>
      <c r="O65" s="39">
        <v>0</v>
      </c>
      <c r="P65" s="39">
        <v>0</v>
      </c>
      <c r="Q65" s="39">
        <v>1</v>
      </c>
      <c r="R65" s="39">
        <v>1</v>
      </c>
      <c r="S65" s="39">
        <v>0</v>
      </c>
      <c r="T65" s="39">
        <v>0</v>
      </c>
      <c r="U65" s="39">
        <v>0</v>
      </c>
      <c r="V65" s="39">
        <v>1</v>
      </c>
      <c r="W65" s="39">
        <v>1</v>
      </c>
      <c r="X65" s="39">
        <v>0</v>
      </c>
      <c r="Y65" s="39">
        <v>0</v>
      </c>
      <c r="Z65" s="39">
        <v>0</v>
      </c>
    </row>
    <row r="66" spans="1:26" x14ac:dyDescent="0.3">
      <c r="A66" s="39">
        <v>51010</v>
      </c>
      <c r="B66" s="39">
        <v>1</v>
      </c>
      <c r="C66" s="39">
        <v>0</v>
      </c>
      <c r="D66" s="39">
        <v>0</v>
      </c>
      <c r="E66" s="39">
        <v>0</v>
      </c>
      <c r="F66" s="39">
        <v>0</v>
      </c>
      <c r="G66" s="39">
        <v>1</v>
      </c>
      <c r="H66" s="39">
        <v>0</v>
      </c>
      <c r="I66" s="39">
        <v>0</v>
      </c>
      <c r="J66" s="39">
        <v>0</v>
      </c>
      <c r="K66" s="39">
        <v>0</v>
      </c>
      <c r="L66" s="39">
        <v>1</v>
      </c>
      <c r="M66" s="39">
        <v>0</v>
      </c>
      <c r="N66" s="39">
        <v>0</v>
      </c>
      <c r="O66" s="39">
        <v>0</v>
      </c>
      <c r="P66" s="39">
        <v>0</v>
      </c>
      <c r="Q66" s="39">
        <v>1</v>
      </c>
      <c r="R66" s="39">
        <v>0</v>
      </c>
      <c r="S66" s="39">
        <v>0</v>
      </c>
      <c r="T66" s="39">
        <v>0</v>
      </c>
      <c r="U66" s="39">
        <v>0</v>
      </c>
      <c r="V66" s="39">
        <v>1</v>
      </c>
      <c r="W66" s="39">
        <v>0</v>
      </c>
      <c r="X66" s="39">
        <v>0</v>
      </c>
      <c r="Y66" s="39">
        <v>0</v>
      </c>
      <c r="Z66" s="39">
        <v>0</v>
      </c>
    </row>
    <row r="67" spans="1:26" x14ac:dyDescent="0.3">
      <c r="A67" s="39">
        <v>51020</v>
      </c>
      <c r="B67" s="39">
        <v>0</v>
      </c>
      <c r="C67" s="39">
        <v>1</v>
      </c>
      <c r="D67" s="39">
        <v>0</v>
      </c>
      <c r="E67" s="39">
        <v>0</v>
      </c>
      <c r="F67" s="39">
        <v>0</v>
      </c>
      <c r="G67" s="39">
        <v>0</v>
      </c>
      <c r="H67" s="39">
        <v>1</v>
      </c>
      <c r="I67" s="39">
        <v>0</v>
      </c>
      <c r="J67" s="39">
        <v>0</v>
      </c>
      <c r="K67" s="39">
        <v>0</v>
      </c>
      <c r="L67" s="39">
        <v>0</v>
      </c>
      <c r="M67" s="39">
        <v>1</v>
      </c>
      <c r="N67" s="39">
        <v>0</v>
      </c>
      <c r="O67" s="39">
        <v>0</v>
      </c>
      <c r="P67" s="39">
        <v>0</v>
      </c>
      <c r="Q67" s="39">
        <v>0</v>
      </c>
      <c r="R67" s="39">
        <v>1</v>
      </c>
      <c r="S67" s="39">
        <v>0</v>
      </c>
      <c r="T67" s="39">
        <v>0</v>
      </c>
      <c r="U67" s="39">
        <v>0</v>
      </c>
      <c r="V67" s="39">
        <v>0</v>
      </c>
      <c r="W67" s="39">
        <v>1</v>
      </c>
      <c r="X67" s="39">
        <v>0</v>
      </c>
      <c r="Y67" s="39">
        <v>0</v>
      </c>
      <c r="Z67" s="39">
        <v>0</v>
      </c>
    </row>
    <row r="68" spans="1:26" x14ac:dyDescent="0.3">
      <c r="A68" s="39">
        <v>51030</v>
      </c>
      <c r="B68" s="39">
        <v>1</v>
      </c>
      <c r="C68" s="39">
        <v>1</v>
      </c>
      <c r="D68" s="39">
        <v>0</v>
      </c>
      <c r="E68" s="39">
        <v>0</v>
      </c>
      <c r="F68" s="39">
        <v>0</v>
      </c>
      <c r="G68" s="39">
        <v>1</v>
      </c>
      <c r="H68" s="39">
        <v>1</v>
      </c>
      <c r="I68" s="39">
        <v>0</v>
      </c>
      <c r="J68" s="39">
        <v>0</v>
      </c>
      <c r="K68" s="39">
        <v>0</v>
      </c>
      <c r="L68" s="39">
        <v>1</v>
      </c>
      <c r="M68" s="39">
        <v>1</v>
      </c>
      <c r="N68" s="39">
        <v>0</v>
      </c>
      <c r="O68" s="39">
        <v>0</v>
      </c>
      <c r="P68" s="39">
        <v>0</v>
      </c>
      <c r="Q68" s="39">
        <v>1</v>
      </c>
      <c r="R68" s="39">
        <v>1</v>
      </c>
      <c r="S68" s="39">
        <v>0</v>
      </c>
      <c r="T68" s="39">
        <v>0</v>
      </c>
      <c r="U68" s="39">
        <v>0</v>
      </c>
      <c r="V68" s="39">
        <v>1</v>
      </c>
      <c r="W68" s="39">
        <v>1</v>
      </c>
      <c r="X68" s="39">
        <v>0</v>
      </c>
      <c r="Y68" s="39">
        <v>0</v>
      </c>
      <c r="Z68" s="39">
        <v>0</v>
      </c>
    </row>
    <row r="69" spans="1:26" x14ac:dyDescent="0.3">
      <c r="A69" s="39">
        <v>51040</v>
      </c>
      <c r="B69" s="39">
        <v>1</v>
      </c>
      <c r="C69" s="39">
        <v>0</v>
      </c>
      <c r="D69" s="39">
        <v>0</v>
      </c>
      <c r="E69" s="39">
        <v>0</v>
      </c>
      <c r="F69" s="39">
        <v>0</v>
      </c>
      <c r="G69" s="39">
        <v>1</v>
      </c>
      <c r="H69" s="39">
        <v>0</v>
      </c>
      <c r="I69" s="39">
        <v>0</v>
      </c>
      <c r="J69" s="39">
        <v>0</v>
      </c>
      <c r="K69" s="39">
        <v>0</v>
      </c>
      <c r="L69" s="39">
        <v>1</v>
      </c>
      <c r="M69" s="39">
        <v>0</v>
      </c>
      <c r="N69" s="39">
        <v>0</v>
      </c>
      <c r="O69" s="39">
        <v>0</v>
      </c>
      <c r="P69" s="39">
        <v>0</v>
      </c>
      <c r="Q69" s="39">
        <v>1</v>
      </c>
      <c r="R69" s="39">
        <v>0</v>
      </c>
      <c r="S69" s="39">
        <v>0</v>
      </c>
      <c r="T69" s="39">
        <v>0</v>
      </c>
      <c r="U69" s="39">
        <v>0</v>
      </c>
      <c r="V69" s="39">
        <v>1</v>
      </c>
      <c r="W69" s="39">
        <v>0</v>
      </c>
      <c r="X69" s="39">
        <v>0</v>
      </c>
      <c r="Y69" s="39">
        <v>0</v>
      </c>
      <c r="Z69" s="39">
        <v>0</v>
      </c>
    </row>
    <row r="70" spans="1:26" x14ac:dyDescent="0.3">
      <c r="A70" s="39">
        <v>51050</v>
      </c>
      <c r="B70" s="39">
        <v>0</v>
      </c>
      <c r="C70" s="39">
        <v>0</v>
      </c>
      <c r="D70" s="39">
        <v>0</v>
      </c>
      <c r="E70" s="39">
        <v>1</v>
      </c>
      <c r="F70" s="39">
        <v>0</v>
      </c>
      <c r="G70" s="39">
        <v>0</v>
      </c>
      <c r="H70" s="39">
        <v>0</v>
      </c>
      <c r="I70" s="39">
        <v>0</v>
      </c>
      <c r="J70" s="39">
        <v>1</v>
      </c>
      <c r="K70" s="39">
        <v>0</v>
      </c>
      <c r="L70" s="39">
        <v>0</v>
      </c>
      <c r="M70" s="39">
        <v>0</v>
      </c>
      <c r="N70" s="39">
        <v>0</v>
      </c>
      <c r="O70" s="39">
        <v>1</v>
      </c>
      <c r="P70" s="39">
        <v>0</v>
      </c>
      <c r="Q70" s="39">
        <v>0</v>
      </c>
      <c r="R70" s="39">
        <v>0</v>
      </c>
      <c r="S70" s="39">
        <v>0</v>
      </c>
      <c r="T70" s="39">
        <v>1</v>
      </c>
      <c r="U70" s="39">
        <v>0</v>
      </c>
      <c r="V70" s="39">
        <v>0</v>
      </c>
      <c r="W70" s="39">
        <v>0</v>
      </c>
      <c r="X70" s="39">
        <v>0</v>
      </c>
      <c r="Y70" s="39">
        <v>1</v>
      </c>
      <c r="Z70" s="39">
        <v>0</v>
      </c>
    </row>
    <row r="71" spans="1:26" x14ac:dyDescent="0.3">
      <c r="A71" s="39">
        <v>51060</v>
      </c>
      <c r="B71" s="39">
        <v>0</v>
      </c>
      <c r="C71" s="39">
        <v>1</v>
      </c>
      <c r="D71" s="39">
        <v>0</v>
      </c>
      <c r="E71" s="39">
        <v>0</v>
      </c>
      <c r="F71" s="39">
        <v>0</v>
      </c>
      <c r="G71" s="39">
        <v>0</v>
      </c>
      <c r="H71" s="39">
        <v>1</v>
      </c>
      <c r="I71" s="39">
        <v>0</v>
      </c>
      <c r="J71" s="39">
        <v>0</v>
      </c>
      <c r="K71" s="39">
        <v>0</v>
      </c>
      <c r="L71" s="39">
        <v>0</v>
      </c>
      <c r="M71" s="39">
        <v>1</v>
      </c>
      <c r="N71" s="39">
        <v>0</v>
      </c>
      <c r="O71" s="39">
        <v>0</v>
      </c>
      <c r="P71" s="39">
        <v>0</v>
      </c>
      <c r="Q71" s="39">
        <v>0</v>
      </c>
      <c r="R71" s="39">
        <v>1</v>
      </c>
      <c r="S71" s="39">
        <v>0</v>
      </c>
      <c r="T71" s="39">
        <v>0</v>
      </c>
      <c r="U71" s="39">
        <v>0</v>
      </c>
      <c r="V71" s="39">
        <v>0</v>
      </c>
      <c r="W71" s="39">
        <v>1</v>
      </c>
      <c r="X71" s="39">
        <v>0</v>
      </c>
      <c r="Y71" s="39">
        <v>0</v>
      </c>
      <c r="Z71" s="39">
        <v>0</v>
      </c>
    </row>
    <row r="72" spans="1:26" x14ac:dyDescent="0.3">
      <c r="A72" s="39">
        <v>51070</v>
      </c>
      <c r="B72" s="39">
        <v>0</v>
      </c>
      <c r="C72" s="39">
        <v>0</v>
      </c>
      <c r="D72" s="39">
        <v>0</v>
      </c>
      <c r="E72" s="39">
        <v>1</v>
      </c>
      <c r="F72" s="39">
        <v>0</v>
      </c>
      <c r="G72" s="39">
        <v>0</v>
      </c>
      <c r="H72" s="39">
        <v>0</v>
      </c>
      <c r="I72" s="39">
        <v>0</v>
      </c>
      <c r="J72" s="39">
        <v>1</v>
      </c>
      <c r="K72" s="39">
        <v>0</v>
      </c>
      <c r="L72" s="39">
        <v>0</v>
      </c>
      <c r="M72" s="39">
        <v>0</v>
      </c>
      <c r="N72" s="39">
        <v>0</v>
      </c>
      <c r="O72" s="39">
        <v>1</v>
      </c>
      <c r="P72" s="39">
        <v>0</v>
      </c>
      <c r="Q72" s="39">
        <v>0</v>
      </c>
      <c r="R72" s="39">
        <v>0</v>
      </c>
      <c r="S72" s="39">
        <v>0</v>
      </c>
      <c r="T72" s="39">
        <v>1</v>
      </c>
      <c r="U72" s="39">
        <v>0</v>
      </c>
      <c r="V72" s="39">
        <v>0</v>
      </c>
      <c r="W72" s="39">
        <v>0</v>
      </c>
      <c r="X72" s="39">
        <v>0</v>
      </c>
      <c r="Y72" s="39">
        <v>1</v>
      </c>
      <c r="Z72" s="39">
        <v>0</v>
      </c>
    </row>
    <row r="73" spans="1:26" x14ac:dyDescent="0.3">
      <c r="A73" s="39">
        <v>51080</v>
      </c>
      <c r="B73" s="39">
        <v>0</v>
      </c>
      <c r="C73" s="39">
        <v>0</v>
      </c>
      <c r="D73" s="39">
        <v>1</v>
      </c>
      <c r="E73" s="39">
        <v>0</v>
      </c>
      <c r="F73" s="39">
        <v>0</v>
      </c>
      <c r="G73" s="39">
        <v>0</v>
      </c>
      <c r="H73" s="39">
        <v>0</v>
      </c>
      <c r="I73" s="39">
        <v>1</v>
      </c>
      <c r="J73" s="39">
        <v>0</v>
      </c>
      <c r="K73" s="39">
        <v>0</v>
      </c>
      <c r="L73" s="39">
        <v>0</v>
      </c>
      <c r="M73" s="39">
        <v>0</v>
      </c>
      <c r="N73" s="39">
        <v>1</v>
      </c>
      <c r="O73" s="39">
        <v>0</v>
      </c>
      <c r="P73" s="39">
        <v>0</v>
      </c>
      <c r="Q73" s="39">
        <v>0</v>
      </c>
      <c r="R73" s="39">
        <v>0</v>
      </c>
      <c r="S73" s="39">
        <v>1</v>
      </c>
      <c r="T73" s="39">
        <v>0</v>
      </c>
      <c r="U73" s="39">
        <v>0</v>
      </c>
      <c r="V73" s="39">
        <v>0</v>
      </c>
      <c r="W73" s="39">
        <v>0</v>
      </c>
      <c r="X73" s="39">
        <v>1</v>
      </c>
      <c r="Y73" s="39">
        <v>0</v>
      </c>
      <c r="Z73" s="39">
        <v>0</v>
      </c>
    </row>
    <row r="74" spans="1:26" x14ac:dyDescent="0.3">
      <c r="A74" s="39">
        <v>51090</v>
      </c>
      <c r="B74" s="39">
        <v>0</v>
      </c>
      <c r="C74" s="39">
        <v>0</v>
      </c>
      <c r="D74" s="39">
        <v>0</v>
      </c>
      <c r="E74" s="39">
        <v>0</v>
      </c>
      <c r="F74" s="39">
        <v>1</v>
      </c>
      <c r="G74" s="39">
        <v>0</v>
      </c>
      <c r="H74" s="39">
        <v>0</v>
      </c>
      <c r="I74" s="39">
        <v>0</v>
      </c>
      <c r="J74" s="39">
        <v>0</v>
      </c>
      <c r="K74" s="39">
        <v>1</v>
      </c>
      <c r="L74" s="39">
        <v>0</v>
      </c>
      <c r="M74" s="39">
        <v>0</v>
      </c>
      <c r="N74" s="39">
        <v>0</v>
      </c>
      <c r="O74" s="39">
        <v>0</v>
      </c>
      <c r="P74" s="39">
        <v>1</v>
      </c>
      <c r="Q74" s="39">
        <v>0</v>
      </c>
      <c r="R74" s="39">
        <v>0</v>
      </c>
      <c r="S74" s="39">
        <v>0</v>
      </c>
      <c r="T74" s="39">
        <v>0</v>
      </c>
      <c r="U74" s="39">
        <v>1</v>
      </c>
      <c r="V74" s="39">
        <v>0</v>
      </c>
      <c r="W74" s="39">
        <v>0</v>
      </c>
      <c r="X74" s="39">
        <v>0</v>
      </c>
      <c r="Y74" s="39">
        <v>0</v>
      </c>
      <c r="Z74" s="39">
        <v>1</v>
      </c>
    </row>
    <row r="75" spans="1:26" x14ac:dyDescent="0.3">
      <c r="A75" s="39">
        <v>51100</v>
      </c>
      <c r="B75" s="39">
        <v>0</v>
      </c>
      <c r="C75" s="39">
        <v>1</v>
      </c>
      <c r="D75" s="39">
        <v>1</v>
      </c>
      <c r="E75" s="39">
        <v>0</v>
      </c>
      <c r="F75" s="39">
        <v>0</v>
      </c>
      <c r="G75" s="39">
        <v>0</v>
      </c>
      <c r="H75" s="39">
        <v>1</v>
      </c>
      <c r="I75" s="39">
        <v>1</v>
      </c>
      <c r="J75" s="39">
        <v>0</v>
      </c>
      <c r="K75" s="39">
        <v>0</v>
      </c>
      <c r="L75" s="39">
        <v>0</v>
      </c>
      <c r="M75" s="39">
        <v>1</v>
      </c>
      <c r="N75" s="39">
        <v>1</v>
      </c>
      <c r="O75" s="39">
        <v>0</v>
      </c>
      <c r="P75" s="39">
        <v>0</v>
      </c>
      <c r="Q75" s="39">
        <v>0</v>
      </c>
      <c r="R75" s="39">
        <v>1</v>
      </c>
      <c r="S75" s="39">
        <v>1</v>
      </c>
      <c r="T75" s="39">
        <v>0</v>
      </c>
      <c r="U75" s="39">
        <v>0</v>
      </c>
      <c r="V75" s="39">
        <v>0</v>
      </c>
      <c r="W75" s="39">
        <v>1</v>
      </c>
      <c r="X75" s="39">
        <v>1</v>
      </c>
      <c r="Y75" s="39">
        <v>0</v>
      </c>
      <c r="Z75" s="39">
        <v>0</v>
      </c>
    </row>
    <row r="76" spans="1:26" x14ac:dyDescent="0.3">
      <c r="A76" s="39">
        <v>51110</v>
      </c>
      <c r="B76" s="39">
        <v>0</v>
      </c>
      <c r="C76" s="39">
        <v>0</v>
      </c>
      <c r="D76" s="39">
        <v>0</v>
      </c>
      <c r="E76" s="39">
        <v>0</v>
      </c>
      <c r="F76" s="39">
        <v>1</v>
      </c>
      <c r="G76" s="39">
        <v>0</v>
      </c>
      <c r="H76" s="39">
        <v>0</v>
      </c>
      <c r="I76" s="39">
        <v>0</v>
      </c>
      <c r="J76" s="39">
        <v>0</v>
      </c>
      <c r="K76" s="39">
        <v>1</v>
      </c>
      <c r="L76" s="39">
        <v>0</v>
      </c>
      <c r="M76" s="39">
        <v>0</v>
      </c>
      <c r="N76" s="39">
        <v>0</v>
      </c>
      <c r="O76" s="39">
        <v>0</v>
      </c>
      <c r="P76" s="39">
        <v>1</v>
      </c>
      <c r="Q76" s="39">
        <v>0</v>
      </c>
      <c r="R76" s="39">
        <v>0</v>
      </c>
      <c r="S76" s="39">
        <v>0</v>
      </c>
      <c r="T76" s="39">
        <v>0</v>
      </c>
      <c r="U76" s="39">
        <v>1</v>
      </c>
      <c r="V76" s="39">
        <v>0</v>
      </c>
      <c r="W76" s="39">
        <v>0</v>
      </c>
      <c r="X76" s="39">
        <v>0</v>
      </c>
      <c r="Y76" s="39">
        <v>0</v>
      </c>
      <c r="Z76" s="39">
        <v>1</v>
      </c>
    </row>
    <row r="77" spans="1:26" x14ac:dyDescent="0.3">
      <c r="A77" s="39">
        <v>51120</v>
      </c>
      <c r="B77" s="39">
        <v>0</v>
      </c>
      <c r="C77" s="39">
        <v>0</v>
      </c>
      <c r="D77" s="39">
        <v>0</v>
      </c>
      <c r="E77" s="39">
        <v>0</v>
      </c>
      <c r="F77" s="39">
        <v>1</v>
      </c>
      <c r="G77" s="39">
        <v>0</v>
      </c>
      <c r="H77" s="39">
        <v>0</v>
      </c>
      <c r="I77" s="39">
        <v>0</v>
      </c>
      <c r="J77" s="39">
        <v>0</v>
      </c>
      <c r="K77" s="39">
        <v>1</v>
      </c>
      <c r="L77" s="39">
        <v>0</v>
      </c>
      <c r="M77" s="39">
        <v>0</v>
      </c>
      <c r="N77" s="39">
        <v>0</v>
      </c>
      <c r="O77" s="39">
        <v>0</v>
      </c>
      <c r="P77" s="39">
        <v>1</v>
      </c>
      <c r="Q77" s="39">
        <v>0</v>
      </c>
      <c r="R77" s="39">
        <v>0</v>
      </c>
      <c r="S77" s="39">
        <v>0</v>
      </c>
      <c r="T77" s="39">
        <v>0</v>
      </c>
      <c r="U77" s="39">
        <v>1</v>
      </c>
      <c r="V77" s="39">
        <v>0</v>
      </c>
      <c r="W77" s="39">
        <v>0</v>
      </c>
      <c r="X77" s="39">
        <v>0</v>
      </c>
      <c r="Y77" s="39">
        <v>0</v>
      </c>
      <c r="Z77" s="39">
        <v>1</v>
      </c>
    </row>
    <row r="78" spans="1:26" x14ac:dyDescent="0.3">
      <c r="A78" s="39">
        <v>52000</v>
      </c>
      <c r="B78" s="39">
        <v>1</v>
      </c>
      <c r="C78" s="39">
        <v>1</v>
      </c>
      <c r="D78" s="39">
        <v>0</v>
      </c>
      <c r="E78" s="39">
        <v>0</v>
      </c>
      <c r="F78" s="39">
        <v>0</v>
      </c>
      <c r="G78" s="39">
        <v>0</v>
      </c>
      <c r="H78" s="39">
        <v>0</v>
      </c>
      <c r="I78" s="39">
        <v>0</v>
      </c>
      <c r="J78" s="39">
        <v>0</v>
      </c>
      <c r="K78" s="39">
        <v>1</v>
      </c>
      <c r="L78" s="39">
        <v>1</v>
      </c>
      <c r="M78" s="39">
        <v>0</v>
      </c>
      <c r="N78" s="39">
        <v>0</v>
      </c>
      <c r="O78" s="39">
        <v>1</v>
      </c>
      <c r="P78" s="39">
        <v>0</v>
      </c>
      <c r="Q78" s="39">
        <v>0</v>
      </c>
      <c r="R78" s="39">
        <v>0</v>
      </c>
      <c r="S78" s="39">
        <v>0</v>
      </c>
      <c r="T78" s="39">
        <v>1</v>
      </c>
      <c r="U78" s="39">
        <v>0</v>
      </c>
      <c r="V78" s="39">
        <v>0</v>
      </c>
      <c r="W78" s="39">
        <v>0</v>
      </c>
      <c r="X78" s="39">
        <v>0</v>
      </c>
      <c r="Y78" s="39">
        <v>1</v>
      </c>
      <c r="Z78" s="39">
        <v>0</v>
      </c>
    </row>
    <row r="79" spans="1:26" x14ac:dyDescent="0.3">
      <c r="A79" s="39">
        <v>200300</v>
      </c>
      <c r="B79" s="39">
        <v>0</v>
      </c>
      <c r="C79" s="39">
        <v>0</v>
      </c>
      <c r="D79" s="39">
        <v>0</v>
      </c>
      <c r="E79" s="39">
        <v>0</v>
      </c>
      <c r="F79" s="39">
        <v>0</v>
      </c>
      <c r="G79" s="39">
        <v>0</v>
      </c>
      <c r="H79" s="39">
        <v>0</v>
      </c>
      <c r="I79" s="39">
        <v>0</v>
      </c>
      <c r="J79" s="39">
        <v>0</v>
      </c>
      <c r="K79" s="39">
        <v>0</v>
      </c>
      <c r="L79" s="39">
        <v>1</v>
      </c>
      <c r="M79" s="39">
        <v>1</v>
      </c>
      <c r="N79" s="39">
        <v>0</v>
      </c>
      <c r="O79" s="39">
        <v>0</v>
      </c>
      <c r="P79" s="39">
        <v>0</v>
      </c>
      <c r="Q79" s="39">
        <v>0</v>
      </c>
      <c r="R79" s="39">
        <v>0</v>
      </c>
      <c r="S79" s="39">
        <v>0</v>
      </c>
      <c r="T79" s="39">
        <v>0</v>
      </c>
      <c r="U79" s="39">
        <v>0</v>
      </c>
      <c r="V79" s="39">
        <v>0</v>
      </c>
      <c r="W79" s="39">
        <v>0</v>
      </c>
      <c r="X79" s="39">
        <v>0</v>
      </c>
      <c r="Y79" s="39">
        <v>0</v>
      </c>
      <c r="Z79" s="39">
        <v>0</v>
      </c>
    </row>
    <row r="80" spans="1:26" x14ac:dyDescent="0.3">
      <c r="A80" s="39">
        <v>200301</v>
      </c>
      <c r="B80" s="39">
        <v>0</v>
      </c>
      <c r="C80" s="39">
        <v>0</v>
      </c>
      <c r="D80" s="39">
        <v>0</v>
      </c>
      <c r="E80" s="39">
        <v>0</v>
      </c>
      <c r="F80" s="39">
        <v>0</v>
      </c>
      <c r="G80" s="39">
        <v>0</v>
      </c>
      <c r="H80" s="39">
        <v>0</v>
      </c>
      <c r="I80" s="39">
        <v>0</v>
      </c>
      <c r="J80" s="39">
        <v>0</v>
      </c>
      <c r="K80" s="39">
        <v>0</v>
      </c>
      <c r="L80" s="39">
        <v>1</v>
      </c>
      <c r="M80" s="39">
        <v>1</v>
      </c>
      <c r="N80" s="39">
        <v>0</v>
      </c>
      <c r="O80" s="39">
        <v>0</v>
      </c>
      <c r="P80" s="39">
        <v>0</v>
      </c>
      <c r="Q80" s="39">
        <v>0</v>
      </c>
      <c r="R80" s="39">
        <v>0</v>
      </c>
      <c r="S80" s="39">
        <v>0</v>
      </c>
      <c r="T80" s="39">
        <v>0</v>
      </c>
      <c r="U80" s="39">
        <v>0</v>
      </c>
      <c r="V80" s="39">
        <v>0</v>
      </c>
      <c r="W80" s="39">
        <v>0</v>
      </c>
      <c r="X80" s="39">
        <v>0</v>
      </c>
      <c r="Y80" s="39">
        <v>0</v>
      </c>
      <c r="Z80" s="39">
        <v>0</v>
      </c>
    </row>
    <row r="81" spans="1:26" x14ac:dyDescent="0.3">
      <c r="A81" s="39">
        <v>200302</v>
      </c>
      <c r="B81" s="39">
        <v>0</v>
      </c>
      <c r="C81" s="39">
        <v>0</v>
      </c>
      <c r="D81" s="39">
        <v>0</v>
      </c>
      <c r="E81" s="39">
        <v>0</v>
      </c>
      <c r="F81" s="39">
        <v>0</v>
      </c>
      <c r="G81" s="39">
        <v>0</v>
      </c>
      <c r="H81" s="39">
        <v>0</v>
      </c>
      <c r="I81" s="39">
        <v>0</v>
      </c>
      <c r="J81" s="39">
        <v>0</v>
      </c>
      <c r="K81" s="39">
        <v>0</v>
      </c>
      <c r="L81" s="39">
        <v>0</v>
      </c>
      <c r="M81" s="39">
        <v>0</v>
      </c>
      <c r="N81" s="39">
        <v>0</v>
      </c>
      <c r="O81" s="39">
        <v>1</v>
      </c>
      <c r="P81" s="39">
        <v>0</v>
      </c>
      <c r="Q81" s="39">
        <v>0</v>
      </c>
      <c r="R81" s="39">
        <v>0</v>
      </c>
      <c r="S81" s="39">
        <v>0</v>
      </c>
      <c r="T81" s="39">
        <v>0</v>
      </c>
      <c r="U81" s="39">
        <v>0</v>
      </c>
      <c r="V81" s="39">
        <v>0</v>
      </c>
      <c r="W81" s="39">
        <v>0</v>
      </c>
      <c r="X81" s="39">
        <v>0</v>
      </c>
      <c r="Y81" s="39">
        <v>0</v>
      </c>
      <c r="Z81" s="39">
        <v>0</v>
      </c>
    </row>
    <row r="82" spans="1:26" x14ac:dyDescent="0.3">
      <c r="A82" s="39">
        <v>200320</v>
      </c>
      <c r="B82" s="39">
        <v>0</v>
      </c>
      <c r="C82" s="39">
        <v>0</v>
      </c>
      <c r="D82" s="39">
        <v>0</v>
      </c>
      <c r="E82" s="39">
        <v>0</v>
      </c>
      <c r="F82" s="39">
        <v>0</v>
      </c>
      <c r="G82" s="39">
        <v>0</v>
      </c>
      <c r="H82" s="39">
        <v>0</v>
      </c>
      <c r="I82" s="39">
        <v>0</v>
      </c>
      <c r="J82" s="39">
        <v>0</v>
      </c>
      <c r="K82" s="39">
        <v>0</v>
      </c>
      <c r="L82" s="39">
        <v>0</v>
      </c>
      <c r="M82" s="39">
        <v>0</v>
      </c>
      <c r="N82" s="39">
        <v>0</v>
      </c>
      <c r="O82" s="39">
        <v>0</v>
      </c>
      <c r="P82" s="39">
        <v>0</v>
      </c>
      <c r="Q82" s="39">
        <v>1</v>
      </c>
      <c r="R82" s="39">
        <v>1</v>
      </c>
      <c r="S82" s="39">
        <v>0</v>
      </c>
      <c r="T82" s="39">
        <v>0</v>
      </c>
      <c r="U82" s="39">
        <v>0</v>
      </c>
      <c r="V82" s="39">
        <v>0</v>
      </c>
      <c r="W82" s="39">
        <v>0</v>
      </c>
      <c r="X82" s="39">
        <v>0</v>
      </c>
      <c r="Y82" s="39">
        <v>0</v>
      </c>
      <c r="Z82" s="39">
        <v>0</v>
      </c>
    </row>
    <row r="83" spans="1:26" x14ac:dyDescent="0.3">
      <c r="A83" s="39">
        <v>200321</v>
      </c>
      <c r="B83" s="39">
        <v>0</v>
      </c>
      <c r="C83" s="39">
        <v>0</v>
      </c>
      <c r="D83" s="39">
        <v>0</v>
      </c>
      <c r="E83" s="39">
        <v>0</v>
      </c>
      <c r="F83" s="39">
        <v>0</v>
      </c>
      <c r="G83" s="39">
        <v>0</v>
      </c>
      <c r="H83" s="39">
        <v>0</v>
      </c>
      <c r="I83" s="39">
        <v>0</v>
      </c>
      <c r="J83" s="39">
        <v>0</v>
      </c>
      <c r="K83" s="39">
        <v>0</v>
      </c>
      <c r="L83" s="39">
        <v>0</v>
      </c>
      <c r="M83" s="39">
        <v>0</v>
      </c>
      <c r="N83" s="39">
        <v>0</v>
      </c>
      <c r="O83" s="39">
        <v>0</v>
      </c>
      <c r="P83" s="39">
        <v>0</v>
      </c>
      <c r="Q83" s="39">
        <v>1</v>
      </c>
      <c r="R83" s="39">
        <v>1</v>
      </c>
      <c r="S83" s="39">
        <v>0</v>
      </c>
      <c r="T83" s="39">
        <v>0</v>
      </c>
      <c r="U83" s="39">
        <v>0</v>
      </c>
      <c r="V83" s="39">
        <v>0</v>
      </c>
      <c r="W83" s="39">
        <v>0</v>
      </c>
      <c r="X83" s="39">
        <v>0</v>
      </c>
      <c r="Y83" s="39">
        <v>0</v>
      </c>
      <c r="Z83" s="39">
        <v>0</v>
      </c>
    </row>
    <row r="84" spans="1:26" x14ac:dyDescent="0.3">
      <c r="A84" s="39">
        <v>200330</v>
      </c>
      <c r="B84" s="39">
        <v>0</v>
      </c>
      <c r="C84" s="39">
        <v>0</v>
      </c>
      <c r="D84" s="39">
        <v>0</v>
      </c>
      <c r="E84" s="39">
        <v>0</v>
      </c>
      <c r="F84" s="39">
        <v>1</v>
      </c>
      <c r="G84" s="39">
        <v>0</v>
      </c>
      <c r="H84" s="39">
        <v>0</v>
      </c>
      <c r="I84" s="39">
        <v>0</v>
      </c>
      <c r="J84" s="39">
        <v>0</v>
      </c>
      <c r="K84" s="39">
        <v>0</v>
      </c>
      <c r="L84" s="39">
        <v>0</v>
      </c>
      <c r="M84" s="39">
        <v>0</v>
      </c>
      <c r="N84" s="39">
        <v>0</v>
      </c>
      <c r="O84" s="39">
        <v>0</v>
      </c>
      <c r="P84" s="39">
        <v>0</v>
      </c>
      <c r="Q84" s="39">
        <v>0</v>
      </c>
      <c r="R84" s="39">
        <v>0</v>
      </c>
      <c r="S84" s="39">
        <v>0</v>
      </c>
      <c r="T84" s="39">
        <v>0</v>
      </c>
      <c r="U84" s="39">
        <v>0</v>
      </c>
      <c r="V84" s="39">
        <v>0</v>
      </c>
      <c r="W84" s="39">
        <v>0</v>
      </c>
      <c r="X84" s="39">
        <v>0</v>
      </c>
      <c r="Y84" s="39">
        <v>0</v>
      </c>
      <c r="Z84" s="39">
        <v>0</v>
      </c>
    </row>
    <row r="85" spans="1:26" x14ac:dyDescent="0.3">
      <c r="A85" s="39">
        <v>200340</v>
      </c>
      <c r="B85" s="39">
        <v>0</v>
      </c>
      <c r="C85" s="39">
        <v>0</v>
      </c>
      <c r="D85" s="39">
        <v>0</v>
      </c>
      <c r="E85" s="39">
        <v>0</v>
      </c>
      <c r="F85" s="39">
        <v>1</v>
      </c>
      <c r="G85" s="39">
        <v>0</v>
      </c>
      <c r="H85" s="39">
        <v>0</v>
      </c>
      <c r="I85" s="39">
        <v>0</v>
      </c>
      <c r="J85" s="39">
        <v>0</v>
      </c>
      <c r="K85" s="39">
        <v>0</v>
      </c>
      <c r="L85" s="39">
        <v>0</v>
      </c>
      <c r="M85" s="39">
        <v>0</v>
      </c>
      <c r="N85" s="39">
        <v>0</v>
      </c>
      <c r="O85" s="39">
        <v>0</v>
      </c>
      <c r="P85" s="39">
        <v>0</v>
      </c>
      <c r="Q85" s="39">
        <v>0</v>
      </c>
      <c r="R85" s="39">
        <v>0</v>
      </c>
      <c r="S85" s="39">
        <v>0</v>
      </c>
      <c r="T85" s="39">
        <v>0</v>
      </c>
      <c r="U85" s="39">
        <v>0</v>
      </c>
      <c r="V85" s="39">
        <v>0</v>
      </c>
      <c r="W85" s="39">
        <v>0</v>
      </c>
      <c r="X85" s="39">
        <v>0</v>
      </c>
      <c r="Y85" s="39">
        <v>0</v>
      </c>
      <c r="Z85" s="39">
        <v>0</v>
      </c>
    </row>
    <row r="86" spans="1:26" x14ac:dyDescent="0.3">
      <c r="A86" s="39">
        <v>200350</v>
      </c>
      <c r="B86" s="39">
        <v>0</v>
      </c>
      <c r="C86" s="39">
        <v>0</v>
      </c>
      <c r="D86" s="39">
        <v>0</v>
      </c>
      <c r="E86" s="39">
        <v>0</v>
      </c>
      <c r="F86" s="39">
        <v>0</v>
      </c>
      <c r="G86" s="39">
        <v>0</v>
      </c>
      <c r="H86" s="39">
        <v>0</v>
      </c>
      <c r="I86" s="39">
        <v>0</v>
      </c>
      <c r="J86" s="39">
        <v>0</v>
      </c>
      <c r="K86" s="39">
        <v>0</v>
      </c>
      <c r="L86" s="39">
        <v>0</v>
      </c>
      <c r="M86" s="39">
        <v>0</v>
      </c>
      <c r="N86" s="39">
        <v>0</v>
      </c>
      <c r="O86" s="39">
        <v>0</v>
      </c>
      <c r="P86" s="39">
        <v>0</v>
      </c>
      <c r="Q86" s="39">
        <v>0</v>
      </c>
      <c r="R86" s="39">
        <v>0</v>
      </c>
      <c r="S86" s="39">
        <v>0</v>
      </c>
      <c r="T86" s="39">
        <v>0</v>
      </c>
      <c r="U86" s="39">
        <v>0</v>
      </c>
      <c r="V86" s="39">
        <v>0</v>
      </c>
      <c r="W86" s="39">
        <v>0</v>
      </c>
      <c r="X86" s="39">
        <v>0</v>
      </c>
      <c r="Y86" s="39">
        <v>1</v>
      </c>
      <c r="Z86" s="39">
        <v>0</v>
      </c>
    </row>
    <row r="87" spans="1:26" x14ac:dyDescent="0.3">
      <c r="A87" s="39">
        <v>200351</v>
      </c>
      <c r="B87" s="39">
        <v>0</v>
      </c>
      <c r="C87" s="39">
        <v>0</v>
      </c>
      <c r="D87" s="39">
        <v>0</v>
      </c>
      <c r="E87" s="39">
        <v>0</v>
      </c>
      <c r="F87" s="39">
        <v>0</v>
      </c>
      <c r="G87" s="39">
        <v>0</v>
      </c>
      <c r="H87" s="39">
        <v>0</v>
      </c>
      <c r="I87" s="39">
        <v>0</v>
      </c>
      <c r="J87" s="39">
        <v>0</v>
      </c>
      <c r="K87" s="39">
        <v>0</v>
      </c>
      <c r="L87" s="39">
        <v>0</v>
      </c>
      <c r="M87" s="39">
        <v>0</v>
      </c>
      <c r="N87" s="39">
        <v>0</v>
      </c>
      <c r="O87" s="39">
        <v>0</v>
      </c>
      <c r="P87" s="39">
        <v>0</v>
      </c>
      <c r="Q87" s="39">
        <v>0</v>
      </c>
      <c r="R87" s="39">
        <v>0</v>
      </c>
      <c r="S87" s="39">
        <v>0</v>
      </c>
      <c r="T87" s="39">
        <v>0</v>
      </c>
      <c r="U87" s="39">
        <v>0</v>
      </c>
      <c r="V87" s="39">
        <v>0</v>
      </c>
      <c r="W87" s="39">
        <v>0</v>
      </c>
      <c r="X87" s="39">
        <v>0</v>
      </c>
      <c r="Y87" s="39">
        <v>1</v>
      </c>
      <c r="Z87" s="39">
        <v>0</v>
      </c>
    </row>
    <row r="88" spans="1:26" x14ac:dyDescent="0.3">
      <c r="A88" s="39">
        <v>200360</v>
      </c>
      <c r="B88" s="39">
        <v>0</v>
      </c>
      <c r="C88" s="39">
        <v>0</v>
      </c>
      <c r="D88" s="39">
        <v>0</v>
      </c>
      <c r="E88" s="39">
        <v>0</v>
      </c>
      <c r="F88" s="39">
        <v>0</v>
      </c>
      <c r="G88" s="39">
        <v>0</v>
      </c>
      <c r="H88" s="39">
        <v>0</v>
      </c>
      <c r="I88" s="39">
        <v>0</v>
      </c>
      <c r="J88" s="39">
        <v>0</v>
      </c>
      <c r="K88" s="39">
        <v>1</v>
      </c>
      <c r="L88" s="39">
        <v>0</v>
      </c>
      <c r="M88" s="39">
        <v>0</v>
      </c>
      <c r="N88" s="39">
        <v>0</v>
      </c>
      <c r="O88" s="39">
        <v>0</v>
      </c>
      <c r="P88" s="39">
        <v>0</v>
      </c>
      <c r="Q88" s="39">
        <v>0</v>
      </c>
      <c r="R88" s="39">
        <v>0</v>
      </c>
      <c r="S88" s="39">
        <v>0</v>
      </c>
      <c r="T88" s="39">
        <v>0</v>
      </c>
      <c r="U88" s="39">
        <v>0</v>
      </c>
      <c r="V88" s="39">
        <v>0</v>
      </c>
      <c r="W88" s="39">
        <v>0</v>
      </c>
      <c r="X88" s="39">
        <v>0</v>
      </c>
      <c r="Y88" s="39">
        <v>0</v>
      </c>
      <c r="Z88" s="39">
        <v>0</v>
      </c>
    </row>
    <row r="89" spans="1:26" x14ac:dyDescent="0.3">
      <c r="A89" s="39">
        <v>200370</v>
      </c>
      <c r="B89" s="39">
        <v>0</v>
      </c>
      <c r="C89" s="39">
        <v>0</v>
      </c>
      <c r="D89" s="39">
        <v>0</v>
      </c>
      <c r="E89" s="39">
        <v>0</v>
      </c>
      <c r="F89" s="39">
        <v>1</v>
      </c>
      <c r="G89" s="39">
        <v>0</v>
      </c>
      <c r="H89" s="39">
        <v>0</v>
      </c>
      <c r="I89" s="39">
        <v>0</v>
      </c>
      <c r="J89" s="39">
        <v>0</v>
      </c>
      <c r="K89" s="39">
        <v>0</v>
      </c>
      <c r="L89" s="39">
        <v>0</v>
      </c>
      <c r="M89" s="39">
        <v>0</v>
      </c>
      <c r="N89" s="39">
        <v>0</v>
      </c>
      <c r="O89" s="39">
        <v>0</v>
      </c>
      <c r="P89" s="39">
        <v>0</v>
      </c>
      <c r="Q89" s="39">
        <v>0</v>
      </c>
      <c r="R89" s="39">
        <v>0</v>
      </c>
      <c r="S89" s="39">
        <v>0</v>
      </c>
      <c r="T89" s="39">
        <v>0</v>
      </c>
      <c r="U89" s="39">
        <v>0</v>
      </c>
      <c r="V89" s="39">
        <v>0</v>
      </c>
      <c r="W89" s="39">
        <v>0</v>
      </c>
      <c r="X89" s="39">
        <v>0</v>
      </c>
      <c r="Y89" s="39">
        <v>0</v>
      </c>
      <c r="Z89" s="39">
        <v>0</v>
      </c>
    </row>
    <row r="90" spans="1:26" x14ac:dyDescent="0.3">
      <c r="A90" s="39">
        <v>200400</v>
      </c>
      <c r="B90" s="39">
        <v>0</v>
      </c>
      <c r="C90" s="39">
        <v>0</v>
      </c>
      <c r="D90" s="39">
        <v>0</v>
      </c>
      <c r="E90" s="39">
        <v>0</v>
      </c>
      <c r="F90" s="39">
        <v>0</v>
      </c>
      <c r="G90" s="39">
        <v>0</v>
      </c>
      <c r="H90" s="39">
        <v>0</v>
      </c>
      <c r="I90" s="39">
        <v>0</v>
      </c>
      <c r="J90" s="39">
        <v>0</v>
      </c>
      <c r="K90" s="39">
        <v>0</v>
      </c>
      <c r="L90" s="39">
        <v>1</v>
      </c>
      <c r="M90" s="39">
        <v>1</v>
      </c>
      <c r="N90" s="39">
        <v>0</v>
      </c>
      <c r="O90" s="39">
        <v>0</v>
      </c>
      <c r="P90" s="39">
        <v>0</v>
      </c>
      <c r="Q90" s="39">
        <v>0</v>
      </c>
      <c r="R90" s="39">
        <v>0</v>
      </c>
      <c r="S90" s="39">
        <v>0</v>
      </c>
      <c r="T90" s="39">
        <v>0</v>
      </c>
      <c r="U90" s="39">
        <v>0</v>
      </c>
      <c r="V90" s="39">
        <v>0</v>
      </c>
      <c r="W90" s="39">
        <v>0</v>
      </c>
      <c r="X90" s="39">
        <v>0</v>
      </c>
      <c r="Y90" s="39">
        <v>0</v>
      </c>
      <c r="Z90" s="39">
        <v>0</v>
      </c>
    </row>
    <row r="91" spans="1:26" x14ac:dyDescent="0.3">
      <c r="A91" s="39">
        <v>200420</v>
      </c>
      <c r="B91" s="39">
        <v>0</v>
      </c>
      <c r="C91" s="39">
        <v>0</v>
      </c>
      <c r="D91" s="39">
        <v>0</v>
      </c>
      <c r="E91" s="39">
        <v>0</v>
      </c>
      <c r="F91" s="39">
        <v>0</v>
      </c>
      <c r="G91" s="39">
        <v>0</v>
      </c>
      <c r="H91" s="39">
        <v>0</v>
      </c>
      <c r="I91" s="39">
        <v>0</v>
      </c>
      <c r="J91" s="39">
        <v>0</v>
      </c>
      <c r="K91" s="39">
        <v>0</v>
      </c>
      <c r="L91" s="39">
        <v>0</v>
      </c>
      <c r="M91" s="39">
        <v>0</v>
      </c>
      <c r="N91" s="39">
        <v>0</v>
      </c>
      <c r="O91" s="39">
        <v>0</v>
      </c>
      <c r="P91" s="39">
        <v>0</v>
      </c>
      <c r="Q91" s="39">
        <v>1</v>
      </c>
      <c r="R91" s="39">
        <v>1</v>
      </c>
      <c r="S91" s="39">
        <v>0</v>
      </c>
      <c r="T91" s="39">
        <v>0</v>
      </c>
      <c r="U91" s="39">
        <v>0</v>
      </c>
      <c r="V91" s="39">
        <v>0</v>
      </c>
      <c r="W91" s="39">
        <v>0</v>
      </c>
      <c r="X91" s="39">
        <v>0</v>
      </c>
      <c r="Y91" s="39">
        <v>0</v>
      </c>
      <c r="Z91" s="39">
        <v>0</v>
      </c>
    </row>
    <row r="92" spans="1:26" x14ac:dyDescent="0.3">
      <c r="A92" s="39">
        <v>200430</v>
      </c>
      <c r="B92" s="39">
        <v>0</v>
      </c>
      <c r="C92" s="39">
        <v>0</v>
      </c>
      <c r="D92" s="39">
        <v>0</v>
      </c>
      <c r="E92" s="39">
        <v>0</v>
      </c>
      <c r="F92" s="39">
        <v>1</v>
      </c>
      <c r="G92" s="39">
        <v>0</v>
      </c>
      <c r="H92" s="39">
        <v>0</v>
      </c>
      <c r="I92" s="39">
        <v>0</v>
      </c>
      <c r="J92" s="39">
        <v>0</v>
      </c>
      <c r="K92" s="39">
        <v>0</v>
      </c>
      <c r="L92" s="39">
        <v>0</v>
      </c>
      <c r="M92" s="39">
        <v>0</v>
      </c>
      <c r="N92" s="39">
        <v>0</v>
      </c>
      <c r="O92" s="39">
        <v>0</v>
      </c>
      <c r="P92" s="39">
        <v>0</v>
      </c>
      <c r="Q92" s="39">
        <v>0</v>
      </c>
      <c r="R92" s="39">
        <v>0</v>
      </c>
      <c r="S92" s="39">
        <v>0</v>
      </c>
      <c r="T92" s="39">
        <v>0</v>
      </c>
      <c r="U92" s="39">
        <v>0</v>
      </c>
      <c r="V92" s="39">
        <v>0</v>
      </c>
      <c r="W92" s="39">
        <v>0</v>
      </c>
      <c r="X92" s="39">
        <v>0</v>
      </c>
      <c r="Y92" s="39">
        <v>0</v>
      </c>
      <c r="Z92" s="39">
        <v>0</v>
      </c>
    </row>
    <row r="93" spans="1:26" x14ac:dyDescent="0.3">
      <c r="A93" s="39">
        <v>200440</v>
      </c>
      <c r="B93" s="39">
        <v>0</v>
      </c>
      <c r="C93" s="39">
        <v>0</v>
      </c>
      <c r="D93" s="39">
        <v>0</v>
      </c>
      <c r="E93" s="39">
        <v>0</v>
      </c>
      <c r="F93" s="39">
        <v>1</v>
      </c>
      <c r="G93" s="39">
        <v>0</v>
      </c>
      <c r="H93" s="39">
        <v>0</v>
      </c>
      <c r="I93" s="39">
        <v>0</v>
      </c>
      <c r="J93" s="39">
        <v>0</v>
      </c>
      <c r="K93" s="39">
        <v>0</v>
      </c>
      <c r="L93" s="39">
        <v>0</v>
      </c>
      <c r="M93" s="39">
        <v>0</v>
      </c>
      <c r="N93" s="39">
        <v>0</v>
      </c>
      <c r="O93" s="39">
        <v>0</v>
      </c>
      <c r="P93" s="39">
        <v>0</v>
      </c>
      <c r="Q93" s="39">
        <v>0</v>
      </c>
      <c r="R93" s="39">
        <v>0</v>
      </c>
      <c r="S93" s="39">
        <v>0</v>
      </c>
      <c r="T93" s="39">
        <v>0</v>
      </c>
      <c r="U93" s="39">
        <v>0</v>
      </c>
      <c r="V93" s="39">
        <v>0</v>
      </c>
      <c r="W93" s="39">
        <v>0</v>
      </c>
      <c r="X93" s="39">
        <v>0</v>
      </c>
      <c r="Y93" s="39">
        <v>0</v>
      </c>
      <c r="Z93" s="39">
        <v>0</v>
      </c>
    </row>
    <row r="94" spans="1:26" x14ac:dyDescent="0.3">
      <c r="A94" s="39">
        <v>200460</v>
      </c>
      <c r="B94" s="39">
        <v>0</v>
      </c>
      <c r="C94" s="39">
        <v>0</v>
      </c>
      <c r="D94" s="39">
        <v>0</v>
      </c>
      <c r="E94" s="39">
        <v>0</v>
      </c>
      <c r="F94" s="39">
        <v>0</v>
      </c>
      <c r="G94" s="39">
        <v>0</v>
      </c>
      <c r="H94" s="39">
        <v>0</v>
      </c>
      <c r="I94" s="39">
        <v>1</v>
      </c>
      <c r="J94" s="39">
        <v>0</v>
      </c>
      <c r="K94" s="39">
        <v>0</v>
      </c>
      <c r="L94" s="39">
        <v>0</v>
      </c>
      <c r="M94" s="39">
        <v>0</v>
      </c>
      <c r="N94" s="39">
        <v>0</v>
      </c>
      <c r="O94" s="39">
        <v>0</v>
      </c>
      <c r="P94" s="39">
        <v>0</v>
      </c>
      <c r="Q94" s="39">
        <v>0</v>
      </c>
      <c r="R94" s="39">
        <v>0</v>
      </c>
      <c r="S94" s="39">
        <v>0</v>
      </c>
      <c r="T94" s="39">
        <v>0</v>
      </c>
      <c r="U94" s="39">
        <v>0</v>
      </c>
      <c r="V94" s="39">
        <v>0</v>
      </c>
      <c r="W94" s="39">
        <v>0</v>
      </c>
      <c r="X94" s="39">
        <v>0</v>
      </c>
      <c r="Y94" s="39">
        <v>0</v>
      </c>
      <c r="Z94" s="39">
        <v>0</v>
      </c>
    </row>
    <row r="95" spans="1:26" x14ac:dyDescent="0.3">
      <c r="A95" s="39">
        <v>200470</v>
      </c>
      <c r="B95" s="39">
        <v>0</v>
      </c>
      <c r="C95" s="39">
        <v>0</v>
      </c>
      <c r="D95" s="39">
        <v>0</v>
      </c>
      <c r="E95" s="39">
        <v>0</v>
      </c>
      <c r="F95" s="39">
        <v>1</v>
      </c>
      <c r="G95" s="39">
        <v>0</v>
      </c>
      <c r="H95" s="39">
        <v>0</v>
      </c>
      <c r="I95" s="39">
        <v>0</v>
      </c>
      <c r="J95" s="39">
        <v>0</v>
      </c>
      <c r="K95" s="39">
        <v>0</v>
      </c>
      <c r="L95" s="39">
        <v>0</v>
      </c>
      <c r="M95" s="39">
        <v>0</v>
      </c>
      <c r="N95" s="39">
        <v>0</v>
      </c>
      <c r="O95" s="39">
        <v>0</v>
      </c>
      <c r="P95" s="39">
        <v>0</v>
      </c>
      <c r="Q95" s="39">
        <v>0</v>
      </c>
      <c r="R95" s="39">
        <v>0</v>
      </c>
      <c r="S95" s="39">
        <v>0</v>
      </c>
      <c r="T95" s="39">
        <v>0</v>
      </c>
      <c r="U95" s="39">
        <v>0</v>
      </c>
      <c r="V95" s="39">
        <v>0</v>
      </c>
      <c r="W95" s="39">
        <v>0</v>
      </c>
      <c r="X95" s="39">
        <v>0</v>
      </c>
      <c r="Y95" s="39">
        <v>0</v>
      </c>
      <c r="Z95" s="39">
        <v>0</v>
      </c>
    </row>
    <row r="96" spans="1:26" x14ac:dyDescent="0.3">
      <c r="A96" s="39">
        <v>200480</v>
      </c>
      <c r="B96" s="39">
        <v>0</v>
      </c>
      <c r="C96" s="39">
        <v>0</v>
      </c>
      <c r="D96" s="39">
        <v>0</v>
      </c>
      <c r="E96" s="39">
        <v>0</v>
      </c>
      <c r="F96" s="39">
        <v>0</v>
      </c>
      <c r="G96" s="39">
        <v>0</v>
      </c>
      <c r="H96" s="39">
        <v>0</v>
      </c>
      <c r="I96" s="39">
        <v>0</v>
      </c>
      <c r="J96" s="39">
        <v>0</v>
      </c>
      <c r="K96" s="39">
        <v>1</v>
      </c>
      <c r="L96" s="39">
        <v>0</v>
      </c>
      <c r="M96" s="39">
        <v>0</v>
      </c>
      <c r="N96" s="39">
        <v>0</v>
      </c>
      <c r="O96" s="39">
        <v>0</v>
      </c>
      <c r="P96" s="39">
        <v>0</v>
      </c>
      <c r="Q96" s="39">
        <v>0</v>
      </c>
      <c r="R96" s="39">
        <v>0</v>
      </c>
      <c r="S96" s="39">
        <v>0</v>
      </c>
      <c r="T96" s="39">
        <v>0</v>
      </c>
      <c r="U96" s="39">
        <v>0</v>
      </c>
      <c r="V96" s="39">
        <v>0</v>
      </c>
      <c r="W96" s="39">
        <v>0</v>
      </c>
      <c r="X96" s="39">
        <v>0</v>
      </c>
      <c r="Y96" s="39">
        <v>0</v>
      </c>
      <c r="Z96" s="39">
        <v>0</v>
      </c>
    </row>
    <row r="97" spans="1:26" x14ac:dyDescent="0.3">
      <c r="A97" s="39">
        <v>200490</v>
      </c>
      <c r="B97" s="39">
        <v>0</v>
      </c>
      <c r="C97" s="39">
        <v>0</v>
      </c>
      <c r="D97" s="39">
        <v>0</v>
      </c>
      <c r="E97" s="39">
        <v>0</v>
      </c>
      <c r="F97" s="39">
        <v>0</v>
      </c>
      <c r="G97" s="39">
        <v>0</v>
      </c>
      <c r="H97" s="39">
        <v>0</v>
      </c>
      <c r="I97" s="39">
        <v>0</v>
      </c>
      <c r="J97" s="39">
        <v>0</v>
      </c>
      <c r="K97" s="39">
        <v>0</v>
      </c>
      <c r="L97" s="39">
        <v>1</v>
      </c>
      <c r="M97" s="39">
        <v>1</v>
      </c>
      <c r="N97" s="39">
        <v>0</v>
      </c>
      <c r="O97" s="39">
        <v>0</v>
      </c>
      <c r="P97" s="39">
        <v>0</v>
      </c>
      <c r="Q97" s="39">
        <v>0</v>
      </c>
      <c r="R97" s="39">
        <v>0</v>
      </c>
      <c r="S97" s="39">
        <v>0</v>
      </c>
      <c r="T97" s="39">
        <v>0</v>
      </c>
      <c r="U97" s="39">
        <v>0</v>
      </c>
      <c r="V97" s="39">
        <v>0</v>
      </c>
      <c r="W97" s="39">
        <v>0</v>
      </c>
      <c r="X97" s="39">
        <v>0</v>
      </c>
      <c r="Y97" s="39">
        <v>0</v>
      </c>
      <c r="Z97" s="39">
        <v>0</v>
      </c>
    </row>
    <row r="98" spans="1:26" x14ac:dyDescent="0.3">
      <c r="A98" s="39">
        <v>200510</v>
      </c>
      <c r="B98" s="39">
        <v>0</v>
      </c>
      <c r="C98" s="39">
        <v>0</v>
      </c>
      <c r="D98" s="39">
        <v>0</v>
      </c>
      <c r="E98" s="39">
        <v>0</v>
      </c>
      <c r="F98" s="39">
        <v>0</v>
      </c>
      <c r="G98" s="39">
        <v>0</v>
      </c>
      <c r="H98" s="39">
        <v>0</v>
      </c>
      <c r="I98" s="39">
        <v>0</v>
      </c>
      <c r="J98" s="39">
        <v>0</v>
      </c>
      <c r="K98" s="39">
        <v>0</v>
      </c>
      <c r="L98" s="39">
        <v>0</v>
      </c>
      <c r="M98" s="39">
        <v>0</v>
      </c>
      <c r="N98" s="39">
        <v>0</v>
      </c>
      <c r="O98" s="39">
        <v>0</v>
      </c>
      <c r="P98" s="39">
        <v>0</v>
      </c>
      <c r="Q98" s="39">
        <v>0</v>
      </c>
      <c r="R98" s="39">
        <v>0</v>
      </c>
      <c r="S98" s="39">
        <v>0</v>
      </c>
      <c r="T98" s="39">
        <v>0</v>
      </c>
      <c r="U98" s="39">
        <v>0</v>
      </c>
      <c r="V98" s="39">
        <v>0</v>
      </c>
      <c r="W98" s="39">
        <v>0</v>
      </c>
      <c r="X98" s="39">
        <v>0</v>
      </c>
      <c r="Y98" s="39">
        <v>1</v>
      </c>
      <c r="Z98" s="39">
        <v>0</v>
      </c>
    </row>
    <row r="99" spans="1:26" x14ac:dyDescent="0.3">
      <c r="A99" s="39">
        <v>200600</v>
      </c>
      <c r="B99" s="39">
        <v>0</v>
      </c>
      <c r="C99" s="39">
        <v>0</v>
      </c>
      <c r="D99" s="39">
        <v>0</v>
      </c>
      <c r="E99" s="39">
        <v>0</v>
      </c>
      <c r="F99" s="39">
        <v>0</v>
      </c>
      <c r="G99" s="39">
        <v>0</v>
      </c>
      <c r="H99" s="39">
        <v>0</v>
      </c>
      <c r="I99" s="39">
        <v>0</v>
      </c>
      <c r="J99" s="39">
        <v>0</v>
      </c>
      <c r="K99" s="39">
        <v>0</v>
      </c>
      <c r="L99" s="39">
        <v>1</v>
      </c>
      <c r="M99" s="39">
        <v>1</v>
      </c>
      <c r="N99" s="39">
        <v>0</v>
      </c>
      <c r="O99" s="39">
        <v>0</v>
      </c>
      <c r="P99" s="39">
        <v>0</v>
      </c>
      <c r="Q99" s="39">
        <v>0</v>
      </c>
      <c r="R99" s="39">
        <v>0</v>
      </c>
      <c r="S99" s="39">
        <v>0</v>
      </c>
      <c r="T99" s="39">
        <v>0</v>
      </c>
      <c r="U99" s="39">
        <v>0</v>
      </c>
      <c r="V99" s="39">
        <v>0</v>
      </c>
      <c r="W99" s="39">
        <v>0</v>
      </c>
      <c r="X99" s="39">
        <v>0</v>
      </c>
      <c r="Y99" s="39">
        <v>0</v>
      </c>
      <c r="Z99" s="39">
        <v>0</v>
      </c>
    </row>
    <row r="100" spans="1:26" x14ac:dyDescent="0.3">
      <c r="A100" s="39">
        <v>200640</v>
      </c>
      <c r="B100" s="39">
        <v>0</v>
      </c>
      <c r="C100" s="39">
        <v>0</v>
      </c>
      <c r="D100" s="39">
        <v>0</v>
      </c>
      <c r="E100" s="39">
        <v>0</v>
      </c>
      <c r="F100" s="39">
        <v>1</v>
      </c>
      <c r="G100" s="39">
        <v>0</v>
      </c>
      <c r="H100" s="39">
        <v>0</v>
      </c>
      <c r="I100" s="39">
        <v>0</v>
      </c>
      <c r="J100" s="39">
        <v>0</v>
      </c>
      <c r="K100" s="39">
        <v>0</v>
      </c>
      <c r="L100" s="39">
        <v>0</v>
      </c>
      <c r="M100" s="39">
        <v>0</v>
      </c>
      <c r="N100" s="39">
        <v>0</v>
      </c>
      <c r="O100" s="39">
        <v>0</v>
      </c>
      <c r="P100" s="39">
        <v>0</v>
      </c>
      <c r="Q100" s="39">
        <v>0</v>
      </c>
      <c r="R100" s="39">
        <v>0</v>
      </c>
      <c r="S100" s="39">
        <v>0</v>
      </c>
      <c r="T100" s="39">
        <v>0</v>
      </c>
      <c r="U100" s="39">
        <v>0</v>
      </c>
      <c r="V100" s="39">
        <v>0</v>
      </c>
      <c r="W100" s="39">
        <v>0</v>
      </c>
      <c r="X100" s="39">
        <v>0</v>
      </c>
      <c r="Y100" s="39">
        <v>0</v>
      </c>
      <c r="Z100" s="39">
        <v>0</v>
      </c>
    </row>
    <row r="101" spans="1:26" x14ac:dyDescent="0.3">
      <c r="A101" s="39">
        <v>200650</v>
      </c>
      <c r="B101" s="39">
        <v>0</v>
      </c>
      <c r="C101" s="39">
        <v>0</v>
      </c>
      <c r="D101" s="39">
        <v>0</v>
      </c>
      <c r="E101" s="39">
        <v>0</v>
      </c>
      <c r="F101" s="39">
        <v>0</v>
      </c>
      <c r="G101" s="39">
        <v>0</v>
      </c>
      <c r="H101" s="39">
        <v>0</v>
      </c>
      <c r="I101" s="39">
        <v>1</v>
      </c>
      <c r="J101" s="39">
        <v>1</v>
      </c>
      <c r="K101" s="39">
        <v>0</v>
      </c>
      <c r="L101" s="39">
        <v>0</v>
      </c>
      <c r="M101" s="39">
        <v>0</v>
      </c>
      <c r="N101" s="39">
        <v>0</v>
      </c>
      <c r="O101" s="39">
        <v>0</v>
      </c>
      <c r="P101" s="39">
        <v>0</v>
      </c>
      <c r="Q101" s="39">
        <v>0</v>
      </c>
      <c r="R101" s="39">
        <v>0</v>
      </c>
      <c r="S101" s="39">
        <v>0</v>
      </c>
      <c r="T101" s="39">
        <v>0</v>
      </c>
      <c r="U101" s="39">
        <v>0</v>
      </c>
      <c r="V101" s="39">
        <v>0</v>
      </c>
      <c r="W101" s="39">
        <v>0</v>
      </c>
      <c r="X101" s="39">
        <v>0</v>
      </c>
      <c r="Y101" s="39">
        <v>0</v>
      </c>
      <c r="Z101" s="39">
        <v>0</v>
      </c>
    </row>
    <row r="102" spans="1:26" x14ac:dyDescent="0.3">
      <c r="A102" s="39">
        <v>200660</v>
      </c>
      <c r="B102" s="39">
        <v>0</v>
      </c>
      <c r="C102" s="39">
        <v>0</v>
      </c>
      <c r="D102" s="39">
        <v>0</v>
      </c>
      <c r="E102" s="39">
        <v>0</v>
      </c>
      <c r="F102" s="39">
        <v>0</v>
      </c>
      <c r="G102" s="39">
        <v>0</v>
      </c>
      <c r="H102" s="39">
        <v>0</v>
      </c>
      <c r="I102" s="39">
        <v>1</v>
      </c>
      <c r="J102" s="39">
        <v>0</v>
      </c>
      <c r="K102" s="39">
        <v>0</v>
      </c>
      <c r="L102" s="39">
        <v>0</v>
      </c>
      <c r="M102" s="39">
        <v>0</v>
      </c>
      <c r="N102" s="39">
        <v>0</v>
      </c>
      <c r="O102" s="39">
        <v>0</v>
      </c>
      <c r="P102" s="39">
        <v>0</v>
      </c>
      <c r="Q102" s="39">
        <v>0</v>
      </c>
      <c r="R102" s="39">
        <v>0</v>
      </c>
      <c r="S102" s="39">
        <v>0</v>
      </c>
      <c r="T102" s="39">
        <v>0</v>
      </c>
      <c r="U102" s="39">
        <v>0</v>
      </c>
      <c r="V102" s="39">
        <v>0</v>
      </c>
      <c r="W102" s="39">
        <v>0</v>
      </c>
      <c r="X102" s="39">
        <v>0</v>
      </c>
      <c r="Y102" s="39">
        <v>0</v>
      </c>
      <c r="Z102" s="39">
        <v>0</v>
      </c>
    </row>
    <row r="103" spans="1:26" x14ac:dyDescent="0.3">
      <c r="A103" s="39">
        <v>200661</v>
      </c>
      <c r="B103" s="39">
        <v>0</v>
      </c>
      <c r="C103" s="39">
        <v>0</v>
      </c>
      <c r="D103" s="39">
        <v>0</v>
      </c>
      <c r="E103" s="39">
        <v>0</v>
      </c>
      <c r="F103" s="39">
        <v>0</v>
      </c>
      <c r="G103" s="39">
        <v>0</v>
      </c>
      <c r="H103" s="39">
        <v>0</v>
      </c>
      <c r="I103" s="39">
        <v>1</v>
      </c>
      <c r="J103" s="39">
        <v>0</v>
      </c>
      <c r="K103" s="39">
        <v>0</v>
      </c>
      <c r="L103" s="39">
        <v>0</v>
      </c>
      <c r="M103" s="39">
        <v>0</v>
      </c>
      <c r="N103" s="39">
        <v>0</v>
      </c>
      <c r="O103" s="39">
        <v>0</v>
      </c>
      <c r="P103" s="39">
        <v>0</v>
      </c>
      <c r="Q103" s="39">
        <v>0</v>
      </c>
      <c r="R103" s="39">
        <v>0</v>
      </c>
      <c r="S103" s="39">
        <v>0</v>
      </c>
      <c r="T103" s="39">
        <v>0</v>
      </c>
      <c r="U103" s="39">
        <v>0</v>
      </c>
      <c r="V103" s="39">
        <v>0</v>
      </c>
      <c r="W103" s="39">
        <v>0</v>
      </c>
      <c r="X103" s="39">
        <v>0</v>
      </c>
      <c r="Y103" s="39">
        <v>0</v>
      </c>
      <c r="Z103" s="39">
        <v>0</v>
      </c>
    </row>
    <row r="104" spans="1:26" x14ac:dyDescent="0.3">
      <c r="A104" s="39">
        <v>200670</v>
      </c>
      <c r="B104" s="39">
        <v>0</v>
      </c>
      <c r="C104" s="39">
        <v>0</v>
      </c>
      <c r="D104" s="39">
        <v>0</v>
      </c>
      <c r="E104" s="39">
        <v>0</v>
      </c>
      <c r="F104" s="39">
        <v>1</v>
      </c>
      <c r="G104" s="39">
        <v>0</v>
      </c>
      <c r="H104" s="39">
        <v>0</v>
      </c>
      <c r="I104" s="39">
        <v>0</v>
      </c>
      <c r="J104" s="39">
        <v>0</v>
      </c>
      <c r="K104" s="39">
        <v>0</v>
      </c>
      <c r="L104" s="39">
        <v>0</v>
      </c>
      <c r="M104" s="39">
        <v>0</v>
      </c>
      <c r="N104" s="39">
        <v>0</v>
      </c>
      <c r="O104" s="39">
        <v>0</v>
      </c>
      <c r="P104" s="39">
        <v>0</v>
      </c>
      <c r="Q104" s="39">
        <v>0</v>
      </c>
      <c r="R104" s="39">
        <v>0</v>
      </c>
      <c r="S104" s="39">
        <v>0</v>
      </c>
      <c r="T104" s="39">
        <v>0</v>
      </c>
      <c r="U104" s="39">
        <v>0</v>
      </c>
      <c r="V104" s="39">
        <v>0</v>
      </c>
      <c r="W104" s="39">
        <v>0</v>
      </c>
      <c r="X104" s="39">
        <v>0</v>
      </c>
      <c r="Y104" s="39">
        <v>0</v>
      </c>
      <c r="Z104" s="39">
        <v>0</v>
      </c>
    </row>
    <row r="105" spans="1:26" x14ac:dyDescent="0.3">
      <c r="A105" s="39">
        <v>201700</v>
      </c>
      <c r="B105" s="39">
        <v>1</v>
      </c>
      <c r="C105" s="39">
        <v>1</v>
      </c>
      <c r="D105" s="39">
        <v>0</v>
      </c>
      <c r="E105" s="39">
        <v>0</v>
      </c>
      <c r="F105" s="39">
        <v>0</v>
      </c>
      <c r="G105" s="39">
        <v>0</v>
      </c>
      <c r="H105" s="39">
        <v>0</v>
      </c>
      <c r="I105" s="39">
        <v>0</v>
      </c>
      <c r="J105" s="39">
        <v>0</v>
      </c>
      <c r="K105" s="39">
        <v>0</v>
      </c>
      <c r="L105" s="39">
        <v>0</v>
      </c>
      <c r="M105" s="39">
        <v>0</v>
      </c>
      <c r="N105" s="39">
        <v>0</v>
      </c>
      <c r="O105" s="39">
        <v>0</v>
      </c>
      <c r="P105" s="39">
        <v>0</v>
      </c>
      <c r="Q105" s="39">
        <v>0</v>
      </c>
      <c r="R105" s="39">
        <v>0</v>
      </c>
      <c r="S105" s="39">
        <v>0</v>
      </c>
      <c r="T105" s="39">
        <v>0</v>
      </c>
      <c r="U105" s="39">
        <v>0</v>
      </c>
      <c r="V105" s="39">
        <v>0</v>
      </c>
      <c r="W105" s="39">
        <v>0</v>
      </c>
      <c r="X105" s="39">
        <v>0</v>
      </c>
      <c r="Y105" s="39">
        <v>0</v>
      </c>
      <c r="Z105" s="39">
        <v>0</v>
      </c>
    </row>
    <row r="106" spans="1:26" x14ac:dyDescent="0.3">
      <c r="A106" s="39">
        <v>201710</v>
      </c>
      <c r="B106" s="39">
        <v>1</v>
      </c>
      <c r="C106" s="39">
        <v>1</v>
      </c>
      <c r="D106" s="39">
        <v>0</v>
      </c>
      <c r="E106" s="39">
        <v>0</v>
      </c>
      <c r="F106" s="39">
        <v>0</v>
      </c>
      <c r="G106" s="39">
        <v>0</v>
      </c>
      <c r="H106" s="39">
        <v>0</v>
      </c>
      <c r="I106" s="39">
        <v>0</v>
      </c>
      <c r="J106" s="39">
        <v>0</v>
      </c>
      <c r="K106" s="39">
        <v>0</v>
      </c>
      <c r="L106" s="39">
        <v>0</v>
      </c>
      <c r="M106" s="39">
        <v>0</v>
      </c>
      <c r="N106" s="39">
        <v>0</v>
      </c>
      <c r="O106" s="39">
        <v>0</v>
      </c>
      <c r="P106" s="39">
        <v>0</v>
      </c>
      <c r="Q106" s="39">
        <v>0</v>
      </c>
      <c r="R106" s="39">
        <v>0</v>
      </c>
      <c r="S106" s="39">
        <v>0</v>
      </c>
      <c r="T106" s="39">
        <v>0</v>
      </c>
      <c r="U106" s="39">
        <v>0</v>
      </c>
      <c r="V106" s="39">
        <v>0</v>
      </c>
      <c r="W106" s="39">
        <v>0</v>
      </c>
      <c r="X106" s="39">
        <v>0</v>
      </c>
      <c r="Y106" s="39">
        <v>0</v>
      </c>
      <c r="Z106" s="39">
        <v>0</v>
      </c>
    </row>
    <row r="107" spans="1:26" x14ac:dyDescent="0.3">
      <c r="A107" s="39">
        <v>201720</v>
      </c>
      <c r="B107" s="39">
        <v>1</v>
      </c>
      <c r="C107" s="39">
        <v>1</v>
      </c>
      <c r="D107" s="39">
        <v>0</v>
      </c>
      <c r="E107" s="39">
        <v>0</v>
      </c>
      <c r="F107" s="39">
        <v>1</v>
      </c>
      <c r="G107" s="39">
        <v>0</v>
      </c>
      <c r="H107" s="39">
        <v>0</v>
      </c>
      <c r="I107" s="39">
        <v>0</v>
      </c>
      <c r="J107" s="39">
        <v>0</v>
      </c>
      <c r="K107" s="39">
        <v>0</v>
      </c>
      <c r="L107" s="39">
        <v>0</v>
      </c>
      <c r="M107" s="39">
        <v>0</v>
      </c>
      <c r="N107" s="39">
        <v>0</v>
      </c>
      <c r="O107" s="39">
        <v>0</v>
      </c>
      <c r="P107" s="39">
        <v>0</v>
      </c>
      <c r="Q107" s="39">
        <v>0</v>
      </c>
      <c r="R107" s="39">
        <v>0</v>
      </c>
      <c r="S107" s="39">
        <v>0</v>
      </c>
      <c r="T107" s="39">
        <v>0</v>
      </c>
      <c r="U107" s="39">
        <v>0</v>
      </c>
      <c r="V107" s="39">
        <v>0</v>
      </c>
      <c r="W107" s="39">
        <v>0</v>
      </c>
      <c r="X107" s="39">
        <v>0</v>
      </c>
      <c r="Y107" s="39">
        <v>0</v>
      </c>
      <c r="Z107" s="39">
        <v>0</v>
      </c>
    </row>
    <row r="108" spans="1:26" x14ac:dyDescent="0.3">
      <c r="A108" s="39">
        <v>201730</v>
      </c>
      <c r="B108" s="39">
        <v>1</v>
      </c>
      <c r="C108" s="39">
        <v>1</v>
      </c>
      <c r="D108" s="39">
        <v>0</v>
      </c>
      <c r="E108" s="39">
        <v>0</v>
      </c>
      <c r="F108" s="39">
        <v>1</v>
      </c>
      <c r="G108" s="39">
        <v>0</v>
      </c>
      <c r="H108" s="39">
        <v>0</v>
      </c>
      <c r="I108" s="39">
        <v>0</v>
      </c>
      <c r="J108" s="39">
        <v>0</v>
      </c>
      <c r="K108" s="39">
        <v>0</v>
      </c>
      <c r="L108" s="39">
        <v>0</v>
      </c>
      <c r="M108" s="39">
        <v>0</v>
      </c>
      <c r="N108" s="39">
        <v>0</v>
      </c>
      <c r="O108" s="39">
        <v>0</v>
      </c>
      <c r="P108" s="39">
        <v>0</v>
      </c>
      <c r="Q108" s="39">
        <v>0</v>
      </c>
      <c r="R108" s="39">
        <v>0</v>
      </c>
      <c r="S108" s="39">
        <v>0</v>
      </c>
      <c r="T108" s="39">
        <v>0</v>
      </c>
      <c r="U108" s="39">
        <v>0</v>
      </c>
      <c r="V108" s="39">
        <v>0</v>
      </c>
      <c r="W108" s="39">
        <v>0</v>
      </c>
      <c r="X108" s="39">
        <v>0</v>
      </c>
      <c r="Y108" s="39">
        <v>0</v>
      </c>
      <c r="Z108" s="39">
        <v>0</v>
      </c>
    </row>
    <row r="109" spans="1:26" x14ac:dyDescent="0.3">
      <c r="A109" s="39">
        <v>201740</v>
      </c>
      <c r="B109" s="39">
        <v>1</v>
      </c>
      <c r="C109" s="39">
        <v>1</v>
      </c>
      <c r="D109" s="39">
        <v>1</v>
      </c>
      <c r="E109" s="39">
        <v>0</v>
      </c>
      <c r="F109" s="39">
        <v>0</v>
      </c>
      <c r="G109" s="39">
        <v>1</v>
      </c>
      <c r="H109" s="39">
        <v>1</v>
      </c>
      <c r="I109" s="39">
        <v>1</v>
      </c>
      <c r="J109" s="39">
        <v>0</v>
      </c>
      <c r="K109" s="39">
        <v>0</v>
      </c>
      <c r="L109" s="39">
        <v>0</v>
      </c>
      <c r="M109" s="39">
        <v>0</v>
      </c>
      <c r="N109" s="39">
        <v>0</v>
      </c>
      <c r="O109" s="39">
        <v>0</v>
      </c>
      <c r="P109" s="39">
        <v>0</v>
      </c>
      <c r="Q109" s="39">
        <v>0</v>
      </c>
      <c r="R109" s="39">
        <v>0</v>
      </c>
      <c r="S109" s="39">
        <v>0</v>
      </c>
      <c r="T109" s="39">
        <v>0</v>
      </c>
      <c r="U109" s="39">
        <v>0</v>
      </c>
      <c r="V109" s="39">
        <v>0</v>
      </c>
      <c r="W109" s="39">
        <v>0</v>
      </c>
      <c r="X109" s="39">
        <v>0</v>
      </c>
      <c r="Y109" s="39">
        <v>0</v>
      </c>
      <c r="Z109" s="39">
        <v>0</v>
      </c>
    </row>
    <row r="110" spans="1:26" x14ac:dyDescent="0.3">
      <c r="A110" s="39">
        <v>201750</v>
      </c>
      <c r="B110" s="39">
        <v>1</v>
      </c>
      <c r="C110" s="39">
        <v>1</v>
      </c>
      <c r="D110" s="39">
        <v>0</v>
      </c>
      <c r="E110" s="39">
        <v>0</v>
      </c>
      <c r="F110" s="39">
        <v>0</v>
      </c>
      <c r="G110" s="39">
        <v>0</v>
      </c>
      <c r="H110" s="39">
        <v>0</v>
      </c>
      <c r="I110" s="39">
        <v>0</v>
      </c>
      <c r="J110" s="39">
        <v>0</v>
      </c>
      <c r="K110" s="39">
        <v>0</v>
      </c>
      <c r="L110" s="39">
        <v>0</v>
      </c>
      <c r="M110" s="39">
        <v>0</v>
      </c>
      <c r="N110" s="39">
        <v>0</v>
      </c>
      <c r="O110" s="39">
        <v>0</v>
      </c>
      <c r="P110" s="39">
        <v>0</v>
      </c>
      <c r="Q110" s="39">
        <v>0</v>
      </c>
      <c r="R110" s="39">
        <v>0</v>
      </c>
      <c r="S110" s="39">
        <v>0</v>
      </c>
      <c r="T110" s="39">
        <v>0</v>
      </c>
      <c r="U110" s="39">
        <v>0</v>
      </c>
      <c r="V110" s="39">
        <v>0</v>
      </c>
      <c r="W110" s="39">
        <v>0</v>
      </c>
      <c r="X110" s="39">
        <v>0</v>
      </c>
      <c r="Y110" s="39">
        <v>0</v>
      </c>
      <c r="Z110" s="39">
        <v>0</v>
      </c>
    </row>
    <row r="111" spans="1:26" x14ac:dyDescent="0.3">
      <c r="A111" s="39">
        <v>201760</v>
      </c>
      <c r="B111" s="39">
        <v>1</v>
      </c>
      <c r="C111" s="39">
        <v>1</v>
      </c>
      <c r="D111" s="39">
        <v>0</v>
      </c>
      <c r="E111" s="39">
        <v>0</v>
      </c>
      <c r="F111" s="39">
        <v>0</v>
      </c>
      <c r="G111" s="39">
        <v>0</v>
      </c>
      <c r="H111" s="39">
        <v>0</v>
      </c>
      <c r="I111" s="39">
        <v>0</v>
      </c>
      <c r="J111" s="39">
        <v>0</v>
      </c>
      <c r="K111" s="39">
        <v>0</v>
      </c>
      <c r="L111" s="39">
        <v>0</v>
      </c>
      <c r="M111" s="39">
        <v>0</v>
      </c>
      <c r="N111" s="39">
        <v>0</v>
      </c>
      <c r="O111" s="39">
        <v>0</v>
      </c>
      <c r="P111" s="39">
        <v>0</v>
      </c>
      <c r="Q111" s="39">
        <v>0</v>
      </c>
      <c r="R111" s="39">
        <v>0</v>
      </c>
      <c r="S111" s="39">
        <v>0</v>
      </c>
      <c r="T111" s="39">
        <v>0</v>
      </c>
      <c r="U111" s="39">
        <v>0</v>
      </c>
      <c r="V111" s="39">
        <v>0</v>
      </c>
      <c r="W111" s="39">
        <v>0</v>
      </c>
      <c r="X111" s="39">
        <v>0</v>
      </c>
      <c r="Y111" s="39">
        <v>0</v>
      </c>
      <c r="Z111" s="39">
        <v>0</v>
      </c>
    </row>
    <row r="112" spans="1:26" x14ac:dyDescent="0.3">
      <c r="A112" s="39">
        <v>201830</v>
      </c>
      <c r="B112" s="39">
        <v>0</v>
      </c>
      <c r="C112" s="39">
        <v>0</v>
      </c>
      <c r="D112" s="39">
        <v>0</v>
      </c>
      <c r="E112" s="39">
        <v>0</v>
      </c>
      <c r="F112" s="39">
        <v>0</v>
      </c>
      <c r="G112" s="39">
        <v>0</v>
      </c>
      <c r="H112" s="39">
        <v>0</v>
      </c>
      <c r="I112" s="39">
        <v>0</v>
      </c>
      <c r="J112" s="39">
        <v>0</v>
      </c>
      <c r="K112" s="39">
        <v>0</v>
      </c>
      <c r="L112" s="39">
        <v>1</v>
      </c>
      <c r="M112" s="39">
        <v>1</v>
      </c>
      <c r="N112" s="39">
        <v>0</v>
      </c>
      <c r="O112" s="39">
        <v>0</v>
      </c>
      <c r="P112" s="39">
        <v>0</v>
      </c>
      <c r="Q112" s="39">
        <v>0</v>
      </c>
      <c r="R112" s="39">
        <v>0</v>
      </c>
      <c r="S112" s="39">
        <v>0</v>
      </c>
      <c r="T112" s="39">
        <v>0</v>
      </c>
      <c r="U112" s="39">
        <v>0</v>
      </c>
      <c r="V112" s="39">
        <v>0</v>
      </c>
      <c r="W112" s="39">
        <v>0</v>
      </c>
      <c r="X112" s="39">
        <v>0</v>
      </c>
      <c r="Y112" s="39">
        <v>0</v>
      </c>
      <c r="Z112" s="39">
        <v>0</v>
      </c>
    </row>
    <row r="113" spans="1:26" x14ac:dyDescent="0.3">
      <c r="A113" s="39">
        <v>201831</v>
      </c>
      <c r="B113" s="39">
        <v>0</v>
      </c>
      <c r="C113" s="39">
        <v>0</v>
      </c>
      <c r="D113" s="39">
        <v>0</v>
      </c>
      <c r="E113" s="39">
        <v>0</v>
      </c>
      <c r="F113" s="39">
        <v>0</v>
      </c>
      <c r="G113" s="39">
        <v>0</v>
      </c>
      <c r="H113" s="39">
        <v>0</v>
      </c>
      <c r="I113" s="39">
        <v>0</v>
      </c>
      <c r="J113" s="39">
        <v>0</v>
      </c>
      <c r="K113" s="39">
        <v>0</v>
      </c>
      <c r="L113" s="39">
        <v>1</v>
      </c>
      <c r="M113" s="39">
        <v>1</v>
      </c>
      <c r="N113" s="39">
        <v>0</v>
      </c>
      <c r="O113" s="39">
        <v>0</v>
      </c>
      <c r="P113" s="39">
        <v>0</v>
      </c>
      <c r="Q113" s="39">
        <v>0</v>
      </c>
      <c r="R113" s="39">
        <v>0</v>
      </c>
      <c r="S113" s="39">
        <v>0</v>
      </c>
      <c r="T113" s="39">
        <v>0</v>
      </c>
      <c r="U113" s="39">
        <v>0</v>
      </c>
      <c r="V113" s="39">
        <v>0</v>
      </c>
      <c r="W113" s="39">
        <v>0</v>
      </c>
      <c r="X113" s="39">
        <v>0</v>
      </c>
      <c r="Y113" s="39">
        <v>0</v>
      </c>
      <c r="Z113" s="39">
        <v>0</v>
      </c>
    </row>
    <row r="114" spans="1:26" x14ac:dyDescent="0.3">
      <c r="A114" s="39">
        <v>201840</v>
      </c>
      <c r="B114" s="39">
        <v>1</v>
      </c>
      <c r="C114" s="39">
        <v>1</v>
      </c>
      <c r="D114" s="39">
        <v>0</v>
      </c>
      <c r="E114" s="39">
        <v>0</v>
      </c>
      <c r="F114" s="39">
        <v>1</v>
      </c>
      <c r="G114" s="39">
        <v>0</v>
      </c>
      <c r="H114" s="39">
        <v>0</v>
      </c>
      <c r="I114" s="39">
        <v>0</v>
      </c>
      <c r="J114" s="39">
        <v>0</v>
      </c>
      <c r="K114" s="39">
        <v>0</v>
      </c>
      <c r="L114" s="39">
        <v>0</v>
      </c>
      <c r="M114" s="39">
        <v>0</v>
      </c>
      <c r="N114" s="39">
        <v>0</v>
      </c>
      <c r="O114" s="39">
        <v>0</v>
      </c>
      <c r="P114" s="39">
        <v>0</v>
      </c>
      <c r="Q114" s="39">
        <v>0</v>
      </c>
      <c r="R114" s="39">
        <v>0</v>
      </c>
      <c r="S114" s="39">
        <v>0</v>
      </c>
      <c r="T114" s="39">
        <v>0</v>
      </c>
      <c r="U114" s="39">
        <v>0</v>
      </c>
      <c r="V114" s="39">
        <v>0</v>
      </c>
      <c r="W114" s="39">
        <v>0</v>
      </c>
      <c r="X114" s="39">
        <v>0</v>
      </c>
      <c r="Y114" s="39">
        <v>0</v>
      </c>
      <c r="Z114" s="39">
        <v>0</v>
      </c>
    </row>
    <row r="115" spans="1:26" x14ac:dyDescent="0.3">
      <c r="A115" s="39">
        <v>201841</v>
      </c>
      <c r="B115" s="39">
        <v>1</v>
      </c>
      <c r="C115" s="39">
        <v>1</v>
      </c>
      <c r="D115" s="39">
        <v>0</v>
      </c>
      <c r="E115" s="39">
        <v>0</v>
      </c>
      <c r="F115" s="39">
        <v>1</v>
      </c>
      <c r="G115" s="39">
        <v>0</v>
      </c>
      <c r="H115" s="39">
        <v>0</v>
      </c>
      <c r="I115" s="39">
        <v>0</v>
      </c>
      <c r="J115" s="39">
        <v>0</v>
      </c>
      <c r="K115" s="39">
        <v>0</v>
      </c>
      <c r="L115" s="39">
        <v>0</v>
      </c>
      <c r="M115" s="39">
        <v>0</v>
      </c>
      <c r="N115" s="39">
        <v>0</v>
      </c>
      <c r="O115" s="39">
        <v>0</v>
      </c>
      <c r="P115" s="39">
        <v>0</v>
      </c>
      <c r="Q115" s="39">
        <v>0</v>
      </c>
      <c r="R115" s="39">
        <v>0</v>
      </c>
      <c r="S115" s="39">
        <v>0</v>
      </c>
      <c r="T115" s="39">
        <v>0</v>
      </c>
      <c r="U115" s="39">
        <v>0</v>
      </c>
      <c r="V115" s="39">
        <v>0</v>
      </c>
      <c r="W115" s="39">
        <v>0</v>
      </c>
      <c r="X115" s="39">
        <v>0</v>
      </c>
      <c r="Y115" s="39">
        <v>0</v>
      </c>
      <c r="Z115" s="39">
        <v>0</v>
      </c>
    </row>
    <row r="116" spans="1:26" x14ac:dyDescent="0.3">
      <c r="A116" s="39">
        <v>203000</v>
      </c>
      <c r="B116" s="39">
        <v>0</v>
      </c>
      <c r="C116" s="39">
        <v>0</v>
      </c>
      <c r="D116" s="39">
        <v>0</v>
      </c>
      <c r="E116" s="39">
        <v>0</v>
      </c>
      <c r="F116" s="39">
        <v>0</v>
      </c>
      <c r="G116" s="39">
        <v>0</v>
      </c>
      <c r="H116" s="39">
        <v>0</v>
      </c>
      <c r="I116" s="39">
        <v>1</v>
      </c>
      <c r="J116" s="39">
        <v>0</v>
      </c>
      <c r="K116" s="39">
        <v>0</v>
      </c>
      <c r="L116" s="39">
        <v>0</v>
      </c>
      <c r="M116" s="39">
        <v>0</v>
      </c>
      <c r="N116" s="39">
        <v>0</v>
      </c>
      <c r="O116" s="39">
        <v>0</v>
      </c>
      <c r="P116" s="39">
        <v>0</v>
      </c>
      <c r="Q116" s="39">
        <v>0</v>
      </c>
      <c r="R116" s="39">
        <v>0</v>
      </c>
      <c r="S116" s="39">
        <v>0</v>
      </c>
      <c r="T116" s="39">
        <v>0</v>
      </c>
      <c r="U116" s="39">
        <v>0</v>
      </c>
      <c r="V116" s="39">
        <v>0</v>
      </c>
      <c r="W116" s="39">
        <v>0</v>
      </c>
      <c r="X116" s="39">
        <v>0</v>
      </c>
      <c r="Y116" s="39">
        <v>0</v>
      </c>
      <c r="Z116" s="39">
        <v>0</v>
      </c>
    </row>
    <row r="117" spans="1:26" x14ac:dyDescent="0.3">
      <c r="A117" s="39">
        <v>203010</v>
      </c>
      <c r="B117" s="39">
        <v>0</v>
      </c>
      <c r="C117" s="39">
        <v>0</v>
      </c>
      <c r="D117" s="39">
        <v>0</v>
      </c>
      <c r="E117" s="39">
        <v>0</v>
      </c>
      <c r="F117" s="39">
        <v>0</v>
      </c>
      <c r="G117" s="39">
        <v>0</v>
      </c>
      <c r="H117" s="39">
        <v>0</v>
      </c>
      <c r="I117" s="39">
        <v>0</v>
      </c>
      <c r="J117" s="39">
        <v>0</v>
      </c>
      <c r="K117" s="39">
        <v>0</v>
      </c>
      <c r="L117" s="39">
        <v>0</v>
      </c>
      <c r="M117" s="39">
        <v>0</v>
      </c>
      <c r="N117" s="39">
        <v>0</v>
      </c>
      <c r="O117" s="39">
        <v>0</v>
      </c>
      <c r="P117" s="39">
        <v>0</v>
      </c>
      <c r="Q117" s="39">
        <v>0</v>
      </c>
      <c r="R117" s="39">
        <v>0</v>
      </c>
      <c r="S117" s="39">
        <v>0</v>
      </c>
      <c r="T117" s="39">
        <v>0</v>
      </c>
      <c r="U117" s="39">
        <v>0</v>
      </c>
      <c r="V117" s="39">
        <v>0</v>
      </c>
      <c r="W117" s="39">
        <v>0</v>
      </c>
      <c r="X117" s="39">
        <v>1</v>
      </c>
      <c r="Y117" s="39">
        <v>1</v>
      </c>
      <c r="Z117" s="39">
        <v>0</v>
      </c>
    </row>
    <row r="118" spans="1:26" x14ac:dyDescent="0.3">
      <c r="A118" s="39">
        <v>203011</v>
      </c>
      <c r="B118" s="39">
        <v>0</v>
      </c>
      <c r="C118" s="39">
        <v>0</v>
      </c>
      <c r="D118" s="39">
        <v>0</v>
      </c>
      <c r="E118" s="39">
        <v>0</v>
      </c>
      <c r="F118" s="39">
        <v>0</v>
      </c>
      <c r="G118" s="39">
        <v>0</v>
      </c>
      <c r="H118" s="39">
        <v>0</v>
      </c>
      <c r="I118" s="39">
        <v>0</v>
      </c>
      <c r="J118" s="39">
        <v>0</v>
      </c>
      <c r="K118" s="39">
        <v>0</v>
      </c>
      <c r="L118" s="39">
        <v>0</v>
      </c>
      <c r="M118" s="39">
        <v>0</v>
      </c>
      <c r="N118" s="39">
        <v>0</v>
      </c>
      <c r="O118" s="39">
        <v>0</v>
      </c>
      <c r="P118" s="39">
        <v>0</v>
      </c>
      <c r="Q118" s="39">
        <v>0</v>
      </c>
      <c r="R118" s="39">
        <v>0</v>
      </c>
      <c r="S118" s="39">
        <v>0</v>
      </c>
      <c r="T118" s="39">
        <v>0</v>
      </c>
      <c r="U118" s="39">
        <v>0</v>
      </c>
      <c r="V118" s="39">
        <v>0</v>
      </c>
      <c r="W118" s="39">
        <v>0</v>
      </c>
      <c r="X118" s="39">
        <v>1</v>
      </c>
      <c r="Y118" s="39">
        <v>1</v>
      </c>
      <c r="Z118" s="39">
        <v>0</v>
      </c>
    </row>
    <row r="119" spans="1:26" x14ac:dyDescent="0.3">
      <c r="A119" s="39">
        <v>203020</v>
      </c>
      <c r="B119" s="39">
        <v>0</v>
      </c>
      <c r="C119" s="39">
        <v>0</v>
      </c>
      <c r="D119" s="39">
        <v>0</v>
      </c>
      <c r="E119" s="39">
        <v>0</v>
      </c>
      <c r="F119" s="39">
        <v>0</v>
      </c>
      <c r="G119" s="39">
        <v>0</v>
      </c>
      <c r="H119" s="39">
        <v>0</v>
      </c>
      <c r="I119" s="39">
        <v>0</v>
      </c>
      <c r="J119" s="39">
        <v>0</v>
      </c>
      <c r="K119" s="39">
        <v>0</v>
      </c>
      <c r="L119" s="39">
        <v>0</v>
      </c>
      <c r="M119" s="39">
        <v>0</v>
      </c>
      <c r="N119" s="39">
        <v>0</v>
      </c>
      <c r="O119" s="39">
        <v>0</v>
      </c>
      <c r="P119" s="39">
        <v>0</v>
      </c>
      <c r="Q119" s="39">
        <v>0</v>
      </c>
      <c r="R119" s="39">
        <v>0</v>
      </c>
      <c r="S119" s="39">
        <v>0</v>
      </c>
      <c r="T119" s="39">
        <v>0</v>
      </c>
      <c r="U119" s="39">
        <v>0</v>
      </c>
      <c r="V119" s="39">
        <v>0</v>
      </c>
      <c r="W119" s="39">
        <v>0</v>
      </c>
      <c r="X119" s="39">
        <v>0</v>
      </c>
      <c r="Y119" s="39">
        <v>1</v>
      </c>
      <c r="Z119" s="39">
        <v>0</v>
      </c>
    </row>
    <row r="120" spans="1:26" x14ac:dyDescent="0.3">
      <c r="A120" s="39">
        <v>203030</v>
      </c>
      <c r="B120" s="39">
        <v>0</v>
      </c>
      <c r="C120" s="39">
        <v>0</v>
      </c>
      <c r="D120" s="39">
        <v>0</v>
      </c>
      <c r="E120" s="39">
        <v>0</v>
      </c>
      <c r="F120" s="39">
        <v>0</v>
      </c>
      <c r="G120" s="39">
        <v>0</v>
      </c>
      <c r="H120" s="39">
        <v>0</v>
      </c>
      <c r="I120" s="39">
        <v>1</v>
      </c>
      <c r="J120" s="39">
        <v>0</v>
      </c>
      <c r="K120" s="39">
        <v>0</v>
      </c>
      <c r="L120" s="39">
        <v>0</v>
      </c>
      <c r="M120" s="39">
        <v>0</v>
      </c>
      <c r="N120" s="39">
        <v>0</v>
      </c>
      <c r="O120" s="39">
        <v>0</v>
      </c>
      <c r="P120" s="39">
        <v>0</v>
      </c>
      <c r="Q120" s="39">
        <v>0</v>
      </c>
      <c r="R120" s="39">
        <v>0</v>
      </c>
      <c r="S120" s="39">
        <v>0</v>
      </c>
      <c r="T120" s="39">
        <v>0</v>
      </c>
      <c r="U120" s="39">
        <v>0</v>
      </c>
      <c r="V120" s="39">
        <v>0</v>
      </c>
      <c r="W120" s="39">
        <v>0</v>
      </c>
      <c r="X120" s="39">
        <v>0</v>
      </c>
      <c r="Y120" s="39">
        <v>0</v>
      </c>
      <c r="Z120" s="39">
        <v>0</v>
      </c>
    </row>
    <row r="121" spans="1:26" x14ac:dyDescent="0.3">
      <c r="A121" s="39">
        <v>203050</v>
      </c>
      <c r="B121" s="39">
        <v>0</v>
      </c>
      <c r="C121" s="39">
        <v>0</v>
      </c>
      <c r="D121" s="39">
        <v>0</v>
      </c>
      <c r="E121" s="39">
        <v>0</v>
      </c>
      <c r="F121" s="39">
        <v>0</v>
      </c>
      <c r="G121" s="39">
        <v>0</v>
      </c>
      <c r="H121" s="39">
        <v>0</v>
      </c>
      <c r="I121" s="39">
        <v>1</v>
      </c>
      <c r="J121" s="39">
        <v>0</v>
      </c>
      <c r="K121" s="39">
        <v>0</v>
      </c>
      <c r="L121" s="39">
        <v>0</v>
      </c>
      <c r="M121" s="39">
        <v>0</v>
      </c>
      <c r="N121" s="39">
        <v>0</v>
      </c>
      <c r="O121" s="39">
        <v>0</v>
      </c>
      <c r="P121" s="39">
        <v>0</v>
      </c>
      <c r="Q121" s="39">
        <v>0</v>
      </c>
      <c r="R121" s="39">
        <v>0</v>
      </c>
      <c r="S121" s="39">
        <v>0</v>
      </c>
      <c r="T121" s="39">
        <v>0</v>
      </c>
      <c r="U121" s="39">
        <v>0</v>
      </c>
      <c r="V121" s="39">
        <v>0</v>
      </c>
      <c r="W121" s="39">
        <v>0</v>
      </c>
      <c r="X121" s="39">
        <v>0</v>
      </c>
      <c r="Y121" s="39">
        <v>0</v>
      </c>
      <c r="Z121" s="39">
        <v>0</v>
      </c>
    </row>
    <row r="122" spans="1:26" x14ac:dyDescent="0.3">
      <c r="A122" s="39">
        <v>203051</v>
      </c>
      <c r="B122" s="39">
        <v>0</v>
      </c>
      <c r="C122" s="39">
        <v>0</v>
      </c>
      <c r="D122" s="39">
        <v>0</v>
      </c>
      <c r="E122" s="39">
        <v>0</v>
      </c>
      <c r="F122" s="39">
        <v>0</v>
      </c>
      <c r="G122" s="39">
        <v>0</v>
      </c>
      <c r="H122" s="39">
        <v>0</v>
      </c>
      <c r="I122" s="39">
        <v>1</v>
      </c>
      <c r="J122" s="39">
        <v>0</v>
      </c>
      <c r="K122" s="39">
        <v>0</v>
      </c>
      <c r="L122" s="39">
        <v>0</v>
      </c>
      <c r="M122" s="39">
        <v>0</v>
      </c>
      <c r="N122" s="39">
        <v>0</v>
      </c>
      <c r="O122" s="39">
        <v>0</v>
      </c>
      <c r="P122" s="39">
        <v>0</v>
      </c>
      <c r="Q122" s="39">
        <v>0</v>
      </c>
      <c r="R122" s="39">
        <v>0</v>
      </c>
      <c r="S122" s="39">
        <v>0</v>
      </c>
      <c r="T122" s="39">
        <v>0</v>
      </c>
      <c r="U122" s="39">
        <v>0</v>
      </c>
      <c r="V122" s="39">
        <v>0</v>
      </c>
      <c r="W122" s="39">
        <v>0</v>
      </c>
      <c r="X122" s="39">
        <v>0</v>
      </c>
      <c r="Y122" s="39">
        <v>0</v>
      </c>
      <c r="Z122" s="39">
        <v>0</v>
      </c>
    </row>
    <row r="123" spans="1:26" x14ac:dyDescent="0.3">
      <c r="A123" s="39">
        <v>203060</v>
      </c>
      <c r="B123" s="39">
        <v>1</v>
      </c>
      <c r="C123" s="39">
        <v>0</v>
      </c>
      <c r="D123" s="39">
        <v>1</v>
      </c>
      <c r="E123" s="39">
        <v>0</v>
      </c>
      <c r="F123" s="39">
        <v>0</v>
      </c>
      <c r="G123" s="39">
        <v>1</v>
      </c>
      <c r="H123" s="39">
        <v>0</v>
      </c>
      <c r="I123" s="39">
        <v>1</v>
      </c>
      <c r="J123" s="39">
        <v>0</v>
      </c>
      <c r="K123" s="39">
        <v>0</v>
      </c>
      <c r="L123" s="39">
        <v>0</v>
      </c>
      <c r="M123" s="39">
        <v>0</v>
      </c>
      <c r="N123" s="39">
        <v>0</v>
      </c>
      <c r="O123" s="39">
        <v>0</v>
      </c>
      <c r="P123" s="39">
        <v>0</v>
      </c>
      <c r="Q123" s="39">
        <v>0</v>
      </c>
      <c r="R123" s="39">
        <v>0</v>
      </c>
      <c r="S123" s="39">
        <v>0</v>
      </c>
      <c r="T123" s="39">
        <v>0</v>
      </c>
      <c r="U123" s="39">
        <v>0</v>
      </c>
      <c r="V123" s="39">
        <v>0</v>
      </c>
      <c r="W123" s="39">
        <v>0</v>
      </c>
      <c r="X123" s="39">
        <v>0</v>
      </c>
      <c r="Y123" s="39">
        <v>0</v>
      </c>
      <c r="Z123" s="39">
        <v>0</v>
      </c>
    </row>
    <row r="124" spans="1:26" x14ac:dyDescent="0.3">
      <c r="A124" s="39">
        <v>203070</v>
      </c>
      <c r="B124" s="39">
        <v>1</v>
      </c>
      <c r="C124" s="39">
        <v>0</v>
      </c>
      <c r="D124" s="39">
        <v>1</v>
      </c>
      <c r="E124" s="39">
        <v>0</v>
      </c>
      <c r="F124" s="39">
        <v>0</v>
      </c>
      <c r="G124" s="39">
        <v>1</v>
      </c>
      <c r="H124" s="39">
        <v>0</v>
      </c>
      <c r="I124" s="39">
        <v>1</v>
      </c>
      <c r="J124" s="39">
        <v>0</v>
      </c>
      <c r="K124" s="39">
        <v>0</v>
      </c>
      <c r="L124" s="39">
        <v>0</v>
      </c>
      <c r="M124" s="39">
        <v>0</v>
      </c>
      <c r="N124" s="39">
        <v>0</v>
      </c>
      <c r="O124" s="39">
        <v>0</v>
      </c>
      <c r="P124" s="39">
        <v>0</v>
      </c>
      <c r="Q124" s="39">
        <v>0</v>
      </c>
      <c r="R124" s="39">
        <v>0</v>
      </c>
      <c r="S124" s="39">
        <v>0</v>
      </c>
      <c r="T124" s="39">
        <v>0</v>
      </c>
      <c r="U124" s="39">
        <v>0</v>
      </c>
      <c r="V124" s="39">
        <v>0</v>
      </c>
      <c r="W124" s="39">
        <v>0</v>
      </c>
      <c r="X124" s="39">
        <v>0</v>
      </c>
      <c r="Y124" s="39">
        <v>0</v>
      </c>
      <c r="Z124" s="39">
        <v>0</v>
      </c>
    </row>
    <row r="125" spans="1:26" x14ac:dyDescent="0.3">
      <c r="A125" s="39">
        <v>203080</v>
      </c>
      <c r="B125" s="39">
        <v>0</v>
      </c>
      <c r="C125" s="39">
        <v>0</v>
      </c>
      <c r="D125" s="39">
        <v>0</v>
      </c>
      <c r="E125" s="39">
        <v>0</v>
      </c>
      <c r="F125" s="39">
        <v>0</v>
      </c>
      <c r="G125" s="39">
        <v>0</v>
      </c>
      <c r="H125" s="39">
        <v>0</v>
      </c>
      <c r="I125" s="39">
        <v>1</v>
      </c>
      <c r="J125" s="39">
        <v>1</v>
      </c>
      <c r="K125" s="39">
        <v>0</v>
      </c>
      <c r="L125" s="39">
        <v>0</v>
      </c>
      <c r="M125" s="39">
        <v>0</v>
      </c>
      <c r="N125" s="39">
        <v>0</v>
      </c>
      <c r="O125" s="39">
        <v>0</v>
      </c>
      <c r="P125" s="39">
        <v>0</v>
      </c>
      <c r="Q125" s="39">
        <v>0</v>
      </c>
      <c r="R125" s="39">
        <v>0</v>
      </c>
      <c r="S125" s="39">
        <v>0</v>
      </c>
      <c r="T125" s="39">
        <v>0</v>
      </c>
      <c r="U125" s="39">
        <v>0</v>
      </c>
      <c r="V125" s="39">
        <v>0</v>
      </c>
      <c r="W125" s="39">
        <v>0</v>
      </c>
      <c r="X125" s="39">
        <v>0</v>
      </c>
      <c r="Y125" s="39">
        <v>0</v>
      </c>
      <c r="Z125" s="39">
        <v>0</v>
      </c>
    </row>
    <row r="126" spans="1:26" x14ac:dyDescent="0.3">
      <c r="A126" s="39">
        <v>203510</v>
      </c>
      <c r="B126" s="39">
        <v>0</v>
      </c>
      <c r="C126" s="39">
        <v>0</v>
      </c>
      <c r="D126" s="39">
        <v>0</v>
      </c>
      <c r="E126" s="39">
        <v>0</v>
      </c>
      <c r="F126" s="39">
        <v>0</v>
      </c>
      <c r="G126" s="39">
        <v>0</v>
      </c>
      <c r="H126" s="39">
        <v>0</v>
      </c>
      <c r="I126" s="39">
        <v>0</v>
      </c>
      <c r="J126" s="39">
        <v>0</v>
      </c>
      <c r="K126" s="39">
        <v>0</v>
      </c>
      <c r="L126" s="39">
        <v>1</v>
      </c>
      <c r="M126" s="39">
        <v>1</v>
      </c>
      <c r="N126" s="39">
        <v>1</v>
      </c>
      <c r="O126" s="39">
        <v>0</v>
      </c>
      <c r="P126" s="39">
        <v>0</v>
      </c>
      <c r="Q126" s="39">
        <v>0</v>
      </c>
      <c r="R126" s="39">
        <v>0</v>
      </c>
      <c r="S126" s="39">
        <v>0</v>
      </c>
      <c r="T126" s="39">
        <v>0</v>
      </c>
      <c r="U126" s="39">
        <v>0</v>
      </c>
      <c r="V126" s="39">
        <v>0</v>
      </c>
      <c r="W126" s="39">
        <v>0</v>
      </c>
      <c r="X126" s="39">
        <v>0</v>
      </c>
      <c r="Y126" s="39">
        <v>0</v>
      </c>
      <c r="Z126" s="39">
        <v>0</v>
      </c>
    </row>
    <row r="127" spans="1:26" x14ac:dyDescent="0.3">
      <c r="A127" s="39">
        <v>203580</v>
      </c>
      <c r="B127" s="39">
        <v>0</v>
      </c>
      <c r="C127" s="39">
        <v>0</v>
      </c>
      <c r="D127" s="39">
        <v>0</v>
      </c>
      <c r="E127" s="39">
        <v>0</v>
      </c>
      <c r="F127" s="39">
        <v>1</v>
      </c>
      <c r="G127" s="39">
        <v>0</v>
      </c>
      <c r="H127" s="39">
        <v>0</v>
      </c>
      <c r="I127" s="39">
        <v>0</v>
      </c>
      <c r="J127" s="39">
        <v>0</v>
      </c>
      <c r="K127" s="39">
        <v>0</v>
      </c>
      <c r="L127" s="39">
        <v>0</v>
      </c>
      <c r="M127" s="39">
        <v>0</v>
      </c>
      <c r="N127" s="39">
        <v>0</v>
      </c>
      <c r="O127" s="39">
        <v>0</v>
      </c>
      <c r="P127" s="39">
        <v>0</v>
      </c>
      <c r="Q127" s="39">
        <v>0</v>
      </c>
      <c r="R127" s="39">
        <v>0</v>
      </c>
      <c r="S127" s="39">
        <v>0</v>
      </c>
      <c r="T127" s="39">
        <v>0</v>
      </c>
      <c r="U127" s="39">
        <v>0</v>
      </c>
      <c r="V127" s="39">
        <v>0</v>
      </c>
      <c r="W127" s="39">
        <v>0</v>
      </c>
      <c r="X127" s="39">
        <v>0</v>
      </c>
      <c r="Y127" s="39">
        <v>0</v>
      </c>
      <c r="Z127" s="39">
        <v>0</v>
      </c>
    </row>
    <row r="128" spans="1:26" x14ac:dyDescent="0.3">
      <c r="A128" s="39">
        <v>203610</v>
      </c>
      <c r="B128" s="39">
        <v>1</v>
      </c>
      <c r="C128" s="39">
        <v>1</v>
      </c>
      <c r="D128" s="39">
        <v>0</v>
      </c>
      <c r="E128" s="39">
        <v>0</v>
      </c>
      <c r="F128" s="39">
        <v>1</v>
      </c>
      <c r="G128" s="39">
        <v>0</v>
      </c>
      <c r="H128" s="39">
        <v>0</v>
      </c>
      <c r="I128" s="39">
        <v>0</v>
      </c>
      <c r="J128" s="39">
        <v>0</v>
      </c>
      <c r="K128" s="39">
        <v>0</v>
      </c>
      <c r="L128" s="39">
        <v>0</v>
      </c>
      <c r="M128" s="39">
        <v>0</v>
      </c>
      <c r="N128" s="39">
        <v>0</v>
      </c>
      <c r="O128" s="39">
        <v>0</v>
      </c>
      <c r="P128" s="39">
        <v>0</v>
      </c>
      <c r="Q128" s="39">
        <v>0</v>
      </c>
      <c r="R128" s="39">
        <v>0</v>
      </c>
      <c r="S128" s="39">
        <v>0</v>
      </c>
      <c r="T128" s="39">
        <v>0</v>
      </c>
      <c r="U128" s="39">
        <v>0</v>
      </c>
      <c r="V128" s="39">
        <v>0</v>
      </c>
      <c r="W128" s="39">
        <v>0</v>
      </c>
      <c r="X128" s="39">
        <v>0</v>
      </c>
      <c r="Y128" s="39">
        <v>0</v>
      </c>
      <c r="Z128" s="39">
        <v>0</v>
      </c>
    </row>
    <row r="129" spans="1:26" x14ac:dyDescent="0.3">
      <c r="A129" s="39">
        <v>10010000</v>
      </c>
      <c r="B129" s="39">
        <v>1</v>
      </c>
      <c r="C129" s="39">
        <v>1</v>
      </c>
      <c r="D129" s="39">
        <v>0</v>
      </c>
      <c r="E129" s="39">
        <v>0</v>
      </c>
      <c r="F129" s="39">
        <v>0</v>
      </c>
      <c r="G129" s="39">
        <v>0</v>
      </c>
      <c r="H129" s="39">
        <v>0</v>
      </c>
      <c r="I129" s="39">
        <v>1</v>
      </c>
      <c r="J129" s="39">
        <v>0</v>
      </c>
      <c r="K129" s="39">
        <v>0</v>
      </c>
      <c r="L129" s="39">
        <v>0</v>
      </c>
      <c r="M129" s="39">
        <v>0</v>
      </c>
      <c r="N129" s="39">
        <v>1</v>
      </c>
      <c r="O129" s="39">
        <v>1</v>
      </c>
      <c r="P129" s="39">
        <v>0</v>
      </c>
      <c r="Q129" s="39">
        <v>0</v>
      </c>
      <c r="R129" s="39">
        <v>0</v>
      </c>
      <c r="S129" s="39">
        <v>0</v>
      </c>
      <c r="T129" s="39">
        <v>1</v>
      </c>
      <c r="U129" s="39">
        <v>0</v>
      </c>
      <c r="V129" s="39">
        <v>0</v>
      </c>
      <c r="W129" s="39">
        <v>0</v>
      </c>
      <c r="X129" s="39">
        <v>1</v>
      </c>
      <c r="Y129" s="39">
        <v>1</v>
      </c>
      <c r="Z129" s="39">
        <v>0</v>
      </c>
    </row>
    <row r="130" spans="1:26" x14ac:dyDescent="0.3">
      <c r="A130" s="39">
        <v>10010010</v>
      </c>
      <c r="B130" s="39">
        <v>1</v>
      </c>
      <c r="C130" s="39">
        <v>1</v>
      </c>
      <c r="D130" s="39">
        <v>0</v>
      </c>
      <c r="E130" s="39">
        <v>0</v>
      </c>
      <c r="F130" s="39">
        <v>0</v>
      </c>
      <c r="G130" s="39">
        <v>0</v>
      </c>
      <c r="H130" s="39">
        <v>0</v>
      </c>
      <c r="I130" s="39">
        <v>1</v>
      </c>
      <c r="J130" s="39">
        <v>0</v>
      </c>
      <c r="K130" s="39">
        <v>0</v>
      </c>
      <c r="L130" s="39">
        <v>0</v>
      </c>
      <c r="M130" s="39">
        <v>0</v>
      </c>
      <c r="N130" s="39">
        <v>1</v>
      </c>
      <c r="O130" s="39">
        <v>1</v>
      </c>
      <c r="P130" s="39">
        <v>0</v>
      </c>
      <c r="Q130" s="39">
        <v>0</v>
      </c>
      <c r="R130" s="39">
        <v>0</v>
      </c>
      <c r="S130" s="39">
        <v>0</v>
      </c>
      <c r="T130" s="39">
        <v>1</v>
      </c>
      <c r="U130" s="39">
        <v>0</v>
      </c>
      <c r="V130" s="39">
        <v>0</v>
      </c>
      <c r="W130" s="39">
        <v>0</v>
      </c>
      <c r="X130" s="39">
        <v>1</v>
      </c>
      <c r="Y130" s="39">
        <v>1</v>
      </c>
      <c r="Z130" s="39">
        <v>0</v>
      </c>
    </row>
    <row r="131" spans="1:26" x14ac:dyDescent="0.3">
      <c r="A131" s="39">
        <v>10010020</v>
      </c>
      <c r="B131" s="39">
        <v>1</v>
      </c>
      <c r="C131" s="39">
        <v>1</v>
      </c>
      <c r="D131" s="39">
        <v>0</v>
      </c>
      <c r="E131" s="39">
        <v>0</v>
      </c>
      <c r="F131" s="39">
        <v>0</v>
      </c>
      <c r="G131" s="39">
        <v>0</v>
      </c>
      <c r="H131" s="39">
        <v>0</v>
      </c>
      <c r="I131" s="39">
        <v>1</v>
      </c>
      <c r="J131" s="39">
        <v>0</v>
      </c>
      <c r="K131" s="39">
        <v>0</v>
      </c>
      <c r="L131" s="39">
        <v>0</v>
      </c>
      <c r="M131" s="39">
        <v>0</v>
      </c>
      <c r="N131" s="39">
        <v>1</v>
      </c>
      <c r="O131" s="39">
        <v>1</v>
      </c>
      <c r="P131" s="39">
        <v>0</v>
      </c>
      <c r="Q131" s="39">
        <v>0</v>
      </c>
      <c r="R131" s="39">
        <v>0</v>
      </c>
      <c r="S131" s="39">
        <v>0</v>
      </c>
      <c r="T131" s="39">
        <v>1</v>
      </c>
      <c r="U131" s="39">
        <v>0</v>
      </c>
      <c r="V131" s="39">
        <v>0</v>
      </c>
      <c r="W131" s="39">
        <v>0</v>
      </c>
      <c r="X131" s="39">
        <v>1</v>
      </c>
      <c r="Y131" s="39">
        <v>1</v>
      </c>
      <c r="Z131" s="39">
        <v>0</v>
      </c>
    </row>
    <row r="132" spans="1:26" x14ac:dyDescent="0.3">
      <c r="A132" s="39">
        <v>10010030</v>
      </c>
      <c r="B132" s="39">
        <v>1</v>
      </c>
      <c r="C132" s="39">
        <v>1</v>
      </c>
      <c r="D132" s="39">
        <v>0</v>
      </c>
      <c r="E132" s="39">
        <v>0</v>
      </c>
      <c r="F132" s="39">
        <v>0</v>
      </c>
      <c r="G132" s="39">
        <v>0</v>
      </c>
      <c r="H132" s="39">
        <v>0</v>
      </c>
      <c r="I132" s="39">
        <v>1</v>
      </c>
      <c r="J132" s="39">
        <v>1</v>
      </c>
      <c r="K132" s="39">
        <v>0</v>
      </c>
      <c r="L132" s="39">
        <v>0</v>
      </c>
      <c r="M132" s="39">
        <v>0</v>
      </c>
      <c r="N132" s="39">
        <v>1</v>
      </c>
      <c r="O132" s="39">
        <v>1</v>
      </c>
      <c r="P132" s="39">
        <v>0</v>
      </c>
      <c r="Q132" s="39">
        <v>0</v>
      </c>
      <c r="R132" s="39">
        <v>0</v>
      </c>
      <c r="S132" s="39">
        <v>1</v>
      </c>
      <c r="T132" s="39">
        <v>1</v>
      </c>
      <c r="U132" s="39">
        <v>0</v>
      </c>
      <c r="V132" s="39">
        <v>0</v>
      </c>
      <c r="W132" s="39">
        <v>0</v>
      </c>
      <c r="X132" s="39">
        <v>1</v>
      </c>
      <c r="Y132" s="39">
        <v>1</v>
      </c>
      <c r="Z132" s="39">
        <v>0</v>
      </c>
    </row>
    <row r="133" spans="1:26" x14ac:dyDescent="0.3">
      <c r="A133" s="39">
        <v>10041000</v>
      </c>
      <c r="B133" s="39">
        <v>0</v>
      </c>
      <c r="C133" s="39">
        <v>0</v>
      </c>
      <c r="D133" s="39">
        <v>0</v>
      </c>
      <c r="E133" s="39">
        <v>0</v>
      </c>
      <c r="F133" s="39">
        <v>0</v>
      </c>
      <c r="G133" s="39">
        <v>1</v>
      </c>
      <c r="H133" s="39">
        <v>1</v>
      </c>
      <c r="I133" s="39">
        <v>1</v>
      </c>
      <c r="J133" s="39">
        <v>0</v>
      </c>
      <c r="K133" s="39">
        <v>0</v>
      </c>
      <c r="L133" s="39">
        <v>0</v>
      </c>
      <c r="M133" s="39">
        <v>0</v>
      </c>
      <c r="N133" s="39">
        <v>0</v>
      </c>
      <c r="O133" s="39">
        <v>0</v>
      </c>
      <c r="P133" s="39">
        <v>0</v>
      </c>
      <c r="Q133" s="39">
        <v>0</v>
      </c>
      <c r="R133" s="39">
        <v>0</v>
      </c>
      <c r="S133" s="39">
        <v>0</v>
      </c>
      <c r="T133" s="39">
        <v>0</v>
      </c>
      <c r="U133" s="39">
        <v>0</v>
      </c>
      <c r="V133" s="39">
        <v>0</v>
      </c>
      <c r="W133" s="39">
        <v>0</v>
      </c>
      <c r="X133" s="39">
        <v>0</v>
      </c>
      <c r="Y133" s="39">
        <v>0</v>
      </c>
      <c r="Z133" s="39">
        <v>0</v>
      </c>
    </row>
    <row r="134" spans="1:26" x14ac:dyDescent="0.3">
      <c r="A134" s="39">
        <v>10061700</v>
      </c>
      <c r="B134" s="39">
        <v>0</v>
      </c>
      <c r="C134" s="39">
        <v>0</v>
      </c>
      <c r="D134" s="39">
        <v>0</v>
      </c>
      <c r="E134" s="39">
        <v>0</v>
      </c>
      <c r="F134" s="39">
        <v>0</v>
      </c>
      <c r="G134" s="39">
        <v>1</v>
      </c>
      <c r="H134" s="39">
        <v>1</v>
      </c>
      <c r="I134" s="39">
        <v>1</v>
      </c>
      <c r="J134" s="39">
        <v>0</v>
      </c>
      <c r="K134" s="39">
        <v>0</v>
      </c>
      <c r="L134" s="39">
        <v>0</v>
      </c>
      <c r="M134" s="39">
        <v>0</v>
      </c>
      <c r="N134" s="39">
        <v>0</v>
      </c>
      <c r="O134" s="39">
        <v>0</v>
      </c>
      <c r="P134" s="39">
        <v>0</v>
      </c>
      <c r="Q134" s="39">
        <v>0</v>
      </c>
      <c r="R134" s="39">
        <v>0</v>
      </c>
      <c r="S134" s="39">
        <v>0</v>
      </c>
      <c r="T134" s="39">
        <v>0</v>
      </c>
      <c r="U134" s="39">
        <v>0</v>
      </c>
      <c r="V134" s="39">
        <v>0</v>
      </c>
      <c r="W134" s="39">
        <v>0</v>
      </c>
      <c r="X134" s="39">
        <v>0</v>
      </c>
      <c r="Y134" s="39">
        <v>0</v>
      </c>
      <c r="Z134" s="39">
        <v>0</v>
      </c>
    </row>
    <row r="135" spans="1:26" x14ac:dyDescent="0.3">
      <c r="A135" s="39">
        <v>10062600</v>
      </c>
      <c r="B135" s="39">
        <v>0</v>
      </c>
      <c r="C135" s="39">
        <v>0</v>
      </c>
      <c r="D135" s="39">
        <v>0</v>
      </c>
      <c r="E135" s="39">
        <v>0</v>
      </c>
      <c r="F135" s="39">
        <v>0</v>
      </c>
      <c r="G135" s="39">
        <v>0</v>
      </c>
      <c r="H135" s="39">
        <v>0</v>
      </c>
      <c r="I135" s="39">
        <v>0</v>
      </c>
      <c r="J135" s="39">
        <v>0</v>
      </c>
      <c r="K135" s="39">
        <v>0</v>
      </c>
      <c r="L135" s="39">
        <v>1</v>
      </c>
      <c r="M135" s="39">
        <v>1</v>
      </c>
      <c r="N135" s="39">
        <v>1</v>
      </c>
      <c r="O135" s="39">
        <v>1</v>
      </c>
      <c r="P135" s="39">
        <v>0</v>
      </c>
      <c r="Q135" s="39">
        <v>0</v>
      </c>
      <c r="R135" s="39">
        <v>0</v>
      </c>
      <c r="S135" s="39">
        <v>0</v>
      </c>
      <c r="T135" s="39">
        <v>0</v>
      </c>
      <c r="U135" s="39">
        <v>0</v>
      </c>
      <c r="V135" s="39">
        <v>0</v>
      </c>
      <c r="W135" s="39">
        <v>0</v>
      </c>
      <c r="X135" s="39">
        <v>0</v>
      </c>
      <c r="Y135" s="39">
        <v>0</v>
      </c>
      <c r="Z135" s="39">
        <v>0</v>
      </c>
    </row>
    <row r="136" spans="1:26" x14ac:dyDescent="0.3">
      <c r="A136" s="39">
        <v>10062700</v>
      </c>
      <c r="B136" s="39">
        <v>0</v>
      </c>
      <c r="C136" s="39">
        <v>0</v>
      </c>
      <c r="D136" s="39">
        <v>0</v>
      </c>
      <c r="E136" s="39">
        <v>0</v>
      </c>
      <c r="F136" s="39">
        <v>0</v>
      </c>
      <c r="G136" s="39">
        <v>0</v>
      </c>
      <c r="H136" s="39">
        <v>0</v>
      </c>
      <c r="I136" s="39">
        <v>0</v>
      </c>
      <c r="J136" s="39">
        <v>0</v>
      </c>
      <c r="K136" s="39">
        <v>0</v>
      </c>
      <c r="L136" s="39">
        <v>1</v>
      </c>
      <c r="M136" s="39">
        <v>1</v>
      </c>
      <c r="N136" s="39">
        <v>1</v>
      </c>
      <c r="O136" s="39">
        <v>1</v>
      </c>
      <c r="P136" s="39">
        <v>0</v>
      </c>
      <c r="Q136" s="39">
        <v>0</v>
      </c>
      <c r="R136" s="39">
        <v>0</v>
      </c>
      <c r="S136" s="39">
        <v>0</v>
      </c>
      <c r="T136" s="39">
        <v>0</v>
      </c>
      <c r="U136" s="39">
        <v>0</v>
      </c>
      <c r="V136" s="39">
        <v>0</v>
      </c>
      <c r="W136" s="39">
        <v>0</v>
      </c>
      <c r="X136" s="39">
        <v>0</v>
      </c>
      <c r="Y136" s="39">
        <v>0</v>
      </c>
      <c r="Z136" s="39">
        <v>0</v>
      </c>
    </row>
    <row r="137" spans="1:26" x14ac:dyDescent="0.3">
      <c r="A137" s="39">
        <v>10063200</v>
      </c>
      <c r="B137" s="39">
        <v>0</v>
      </c>
      <c r="C137" s="39">
        <v>0</v>
      </c>
      <c r="D137" s="39">
        <v>0</v>
      </c>
      <c r="E137" s="39">
        <v>0</v>
      </c>
      <c r="F137" s="39">
        <v>0</v>
      </c>
      <c r="G137" s="39">
        <v>1</v>
      </c>
      <c r="H137" s="39">
        <v>1</v>
      </c>
      <c r="I137" s="39">
        <v>1</v>
      </c>
      <c r="J137" s="39">
        <v>0</v>
      </c>
      <c r="K137" s="39">
        <v>0</v>
      </c>
      <c r="L137" s="39">
        <v>0</v>
      </c>
      <c r="M137" s="39">
        <v>0</v>
      </c>
      <c r="N137" s="39">
        <v>0</v>
      </c>
      <c r="O137" s="39">
        <v>0</v>
      </c>
      <c r="P137" s="39">
        <v>0</v>
      </c>
      <c r="Q137" s="39">
        <v>0</v>
      </c>
      <c r="R137" s="39">
        <v>0</v>
      </c>
      <c r="S137" s="39">
        <v>0</v>
      </c>
      <c r="T137" s="39">
        <v>0</v>
      </c>
      <c r="U137" s="39">
        <v>0</v>
      </c>
      <c r="V137" s="39">
        <v>0</v>
      </c>
      <c r="W137" s="39">
        <v>0</v>
      </c>
      <c r="X137" s="39">
        <v>0</v>
      </c>
      <c r="Y137" s="39">
        <v>0</v>
      </c>
      <c r="Z137" s="39">
        <v>0</v>
      </c>
    </row>
    <row r="138" spans="1:26" x14ac:dyDescent="0.3">
      <c r="A138" s="39">
        <v>10063210</v>
      </c>
      <c r="B138" s="39">
        <v>0</v>
      </c>
      <c r="C138" s="39">
        <v>0</v>
      </c>
      <c r="D138" s="39">
        <v>0</v>
      </c>
      <c r="E138" s="39">
        <v>0</v>
      </c>
      <c r="F138" s="39">
        <v>0</v>
      </c>
      <c r="G138" s="39">
        <v>1</v>
      </c>
      <c r="H138" s="39">
        <v>1</v>
      </c>
      <c r="I138" s="39">
        <v>1</v>
      </c>
      <c r="J138" s="39">
        <v>0</v>
      </c>
      <c r="K138" s="39">
        <v>0</v>
      </c>
      <c r="L138" s="39">
        <v>0</v>
      </c>
      <c r="M138" s="39">
        <v>0</v>
      </c>
      <c r="N138" s="39">
        <v>0</v>
      </c>
      <c r="O138" s="39">
        <v>0</v>
      </c>
      <c r="P138" s="39">
        <v>0</v>
      </c>
      <c r="Q138" s="39">
        <v>0</v>
      </c>
      <c r="R138" s="39">
        <v>0</v>
      </c>
      <c r="S138" s="39">
        <v>0</v>
      </c>
      <c r="T138" s="39">
        <v>0</v>
      </c>
      <c r="U138" s="39">
        <v>0</v>
      </c>
      <c r="V138" s="39">
        <v>0</v>
      </c>
      <c r="W138" s="39">
        <v>0</v>
      </c>
      <c r="X138" s="39">
        <v>0</v>
      </c>
      <c r="Y138" s="39">
        <v>0</v>
      </c>
      <c r="Z138" s="39">
        <v>0</v>
      </c>
    </row>
    <row r="139" spans="1:26" x14ac:dyDescent="0.3">
      <c r="A139" s="39">
        <v>10063400</v>
      </c>
      <c r="B139" s="39">
        <v>0</v>
      </c>
      <c r="C139" s="39">
        <v>0</v>
      </c>
      <c r="D139" s="39">
        <v>0</v>
      </c>
      <c r="E139" s="39">
        <v>0</v>
      </c>
      <c r="F139" s="39">
        <v>0</v>
      </c>
      <c r="G139" s="39">
        <v>0</v>
      </c>
      <c r="H139" s="39">
        <v>0</v>
      </c>
      <c r="I139" s="39">
        <v>0</v>
      </c>
      <c r="J139" s="39">
        <v>0</v>
      </c>
      <c r="K139" s="39">
        <v>0</v>
      </c>
      <c r="L139" s="39">
        <v>1</v>
      </c>
      <c r="M139" s="39">
        <v>1</v>
      </c>
      <c r="N139" s="39">
        <v>0</v>
      </c>
      <c r="O139" s="39">
        <v>0</v>
      </c>
      <c r="P139" s="39">
        <v>0</v>
      </c>
      <c r="Q139" s="39">
        <v>0</v>
      </c>
      <c r="R139" s="39">
        <v>0</v>
      </c>
      <c r="S139" s="39">
        <v>0</v>
      </c>
      <c r="T139" s="39">
        <v>0</v>
      </c>
      <c r="U139" s="39">
        <v>0</v>
      </c>
      <c r="V139" s="39">
        <v>0</v>
      </c>
      <c r="W139" s="39">
        <v>0</v>
      </c>
      <c r="X139" s="39">
        <v>0</v>
      </c>
      <c r="Y139" s="39">
        <v>0</v>
      </c>
      <c r="Z139" s="39">
        <v>0</v>
      </c>
    </row>
    <row r="140" spans="1:26" x14ac:dyDescent="0.3">
      <c r="A140" s="39">
        <v>10071100</v>
      </c>
      <c r="B140" s="39">
        <v>0</v>
      </c>
      <c r="C140" s="39">
        <v>0</v>
      </c>
      <c r="D140" s="39">
        <v>0</v>
      </c>
      <c r="E140" s="39">
        <v>0</v>
      </c>
      <c r="F140" s="39">
        <v>0</v>
      </c>
      <c r="G140" s="39">
        <v>0</v>
      </c>
      <c r="H140" s="39">
        <v>0</v>
      </c>
      <c r="I140" s="39">
        <v>0</v>
      </c>
      <c r="J140" s="39">
        <v>0</v>
      </c>
      <c r="K140" s="39">
        <v>0</v>
      </c>
      <c r="L140" s="39">
        <v>0</v>
      </c>
      <c r="M140" s="39">
        <v>0</v>
      </c>
      <c r="N140" s="39">
        <v>0</v>
      </c>
      <c r="O140" s="39">
        <v>0</v>
      </c>
      <c r="P140" s="39">
        <v>0</v>
      </c>
      <c r="Q140" s="39">
        <v>1</v>
      </c>
      <c r="R140" s="39">
        <v>1</v>
      </c>
      <c r="S140" s="39">
        <v>0</v>
      </c>
      <c r="T140" s="39">
        <v>1</v>
      </c>
      <c r="U140" s="39">
        <v>0</v>
      </c>
      <c r="V140" s="39">
        <v>0</v>
      </c>
      <c r="W140" s="39">
        <v>0</v>
      </c>
      <c r="X140" s="39">
        <v>0</v>
      </c>
      <c r="Y140" s="39">
        <v>0</v>
      </c>
      <c r="Z140" s="39">
        <v>0</v>
      </c>
    </row>
    <row r="141" spans="1:26" x14ac:dyDescent="0.3">
      <c r="A141" s="39">
        <v>10071200</v>
      </c>
      <c r="B141" s="39">
        <v>0</v>
      </c>
      <c r="C141" s="39">
        <v>0</v>
      </c>
      <c r="D141" s="39">
        <v>0</v>
      </c>
      <c r="E141" s="39">
        <v>0</v>
      </c>
      <c r="F141" s="39">
        <v>0</v>
      </c>
      <c r="G141" s="39">
        <v>0</v>
      </c>
      <c r="H141" s="39">
        <v>0</v>
      </c>
      <c r="I141" s="39">
        <v>0</v>
      </c>
      <c r="J141" s="39">
        <v>0</v>
      </c>
      <c r="K141" s="39">
        <v>0</v>
      </c>
      <c r="L141" s="39">
        <v>1</v>
      </c>
      <c r="M141" s="39">
        <v>1</v>
      </c>
      <c r="N141" s="39">
        <v>1</v>
      </c>
      <c r="O141" s="39">
        <v>1</v>
      </c>
      <c r="P141" s="39">
        <v>0</v>
      </c>
      <c r="Q141" s="39">
        <v>0</v>
      </c>
      <c r="R141" s="39">
        <v>0</v>
      </c>
      <c r="S141" s="39">
        <v>0</v>
      </c>
      <c r="T141" s="39">
        <v>0</v>
      </c>
      <c r="U141" s="39">
        <v>0</v>
      </c>
      <c r="V141" s="39">
        <v>0</v>
      </c>
      <c r="W141" s="39">
        <v>0</v>
      </c>
      <c r="X141" s="39">
        <v>0</v>
      </c>
      <c r="Y141" s="39">
        <v>0</v>
      </c>
      <c r="Z141" s="39">
        <v>0</v>
      </c>
    </row>
    <row r="142" spans="1:26" x14ac:dyDescent="0.3">
      <c r="A142" s="39">
        <v>10081700</v>
      </c>
      <c r="B142" s="39">
        <v>0</v>
      </c>
      <c r="C142" s="39">
        <v>0</v>
      </c>
      <c r="D142" s="39">
        <v>0</v>
      </c>
      <c r="E142" s="39">
        <v>0</v>
      </c>
      <c r="F142" s="39">
        <v>0</v>
      </c>
      <c r="G142" s="39">
        <v>0</v>
      </c>
      <c r="H142" s="39">
        <v>0</v>
      </c>
      <c r="I142" s="39">
        <v>0</v>
      </c>
      <c r="J142" s="39">
        <v>0</v>
      </c>
      <c r="K142" s="39">
        <v>0</v>
      </c>
      <c r="L142" s="39">
        <v>1</v>
      </c>
      <c r="M142" s="39">
        <v>1</v>
      </c>
      <c r="N142" s="39">
        <v>1</v>
      </c>
      <c r="O142" s="39">
        <v>1</v>
      </c>
      <c r="P142" s="39">
        <v>0</v>
      </c>
      <c r="Q142" s="39">
        <v>0</v>
      </c>
      <c r="R142" s="39">
        <v>0</v>
      </c>
      <c r="S142" s="39">
        <v>0</v>
      </c>
      <c r="T142" s="39">
        <v>0</v>
      </c>
      <c r="U142" s="39">
        <v>0</v>
      </c>
      <c r="V142" s="39">
        <v>0</v>
      </c>
      <c r="W142" s="39">
        <v>0</v>
      </c>
      <c r="X142" s="39">
        <v>0</v>
      </c>
      <c r="Y142" s="39">
        <v>0</v>
      </c>
      <c r="Z142" s="39">
        <v>0</v>
      </c>
    </row>
    <row r="143" spans="1:26" x14ac:dyDescent="0.3">
      <c r="A143" s="39">
        <v>10081900</v>
      </c>
      <c r="B143" s="39">
        <v>0</v>
      </c>
      <c r="C143" s="39">
        <v>0</v>
      </c>
      <c r="D143" s="39">
        <v>0</v>
      </c>
      <c r="E143" s="39">
        <v>0</v>
      </c>
      <c r="F143" s="39">
        <v>0</v>
      </c>
      <c r="G143" s="39">
        <v>0</v>
      </c>
      <c r="H143" s="39">
        <v>0</v>
      </c>
      <c r="I143" s="39">
        <v>0</v>
      </c>
      <c r="J143" s="39">
        <v>0</v>
      </c>
      <c r="K143" s="39">
        <v>0</v>
      </c>
      <c r="L143" s="39">
        <v>1</v>
      </c>
      <c r="M143" s="39">
        <v>1</v>
      </c>
      <c r="N143" s="39">
        <v>1</v>
      </c>
      <c r="O143" s="39">
        <v>1</v>
      </c>
      <c r="P143" s="39">
        <v>0</v>
      </c>
      <c r="Q143" s="39">
        <v>0</v>
      </c>
      <c r="R143" s="39">
        <v>0</v>
      </c>
      <c r="S143" s="39">
        <v>0</v>
      </c>
      <c r="T143" s="39">
        <v>0</v>
      </c>
      <c r="U143" s="39">
        <v>0</v>
      </c>
      <c r="V143" s="39">
        <v>0</v>
      </c>
      <c r="W143" s="39">
        <v>0</v>
      </c>
      <c r="X143" s="39">
        <v>0</v>
      </c>
      <c r="Y143" s="39">
        <v>0</v>
      </c>
      <c r="Z143" s="39">
        <v>0</v>
      </c>
    </row>
    <row r="144" spans="1:26" x14ac:dyDescent="0.3">
      <c r="A144" s="39">
        <v>10091100</v>
      </c>
      <c r="B144" s="39">
        <v>0</v>
      </c>
      <c r="C144" s="39">
        <v>0</v>
      </c>
      <c r="D144" s="39">
        <v>0</v>
      </c>
      <c r="E144" s="39">
        <v>0</v>
      </c>
      <c r="F144" s="39">
        <v>0</v>
      </c>
      <c r="G144" s="39">
        <v>0</v>
      </c>
      <c r="H144" s="39">
        <v>0</v>
      </c>
      <c r="I144" s="39">
        <v>0</v>
      </c>
      <c r="J144" s="39">
        <v>0</v>
      </c>
      <c r="K144" s="39">
        <v>0</v>
      </c>
      <c r="L144" s="39">
        <v>1</v>
      </c>
      <c r="M144" s="39">
        <v>1</v>
      </c>
      <c r="N144" s="39">
        <v>1</v>
      </c>
      <c r="O144" s="39">
        <v>1</v>
      </c>
      <c r="P144" s="39">
        <v>0</v>
      </c>
      <c r="Q144" s="39">
        <v>0</v>
      </c>
      <c r="R144" s="39">
        <v>0</v>
      </c>
      <c r="S144" s="39">
        <v>0</v>
      </c>
      <c r="T144" s="39">
        <v>0</v>
      </c>
      <c r="U144" s="39">
        <v>0</v>
      </c>
      <c r="V144" s="39">
        <v>0</v>
      </c>
      <c r="W144" s="39">
        <v>0</v>
      </c>
      <c r="X144" s="39">
        <v>0</v>
      </c>
      <c r="Y144" s="39">
        <v>0</v>
      </c>
      <c r="Z144" s="39">
        <v>0</v>
      </c>
    </row>
    <row r="145" spans="1:26" x14ac:dyDescent="0.3">
      <c r="A145" s="39">
        <v>10091600</v>
      </c>
      <c r="B145" s="39">
        <v>0</v>
      </c>
      <c r="C145" s="39">
        <v>0</v>
      </c>
      <c r="D145" s="39">
        <v>0</v>
      </c>
      <c r="E145" s="39">
        <v>0</v>
      </c>
      <c r="F145" s="39">
        <v>0</v>
      </c>
      <c r="G145" s="39">
        <v>0</v>
      </c>
      <c r="H145" s="39">
        <v>0</v>
      </c>
      <c r="I145" s="39">
        <v>0</v>
      </c>
      <c r="J145" s="39">
        <v>0</v>
      </c>
      <c r="K145" s="39">
        <v>0</v>
      </c>
      <c r="L145" s="39">
        <v>0</v>
      </c>
      <c r="M145" s="39">
        <v>0</v>
      </c>
      <c r="N145" s="39">
        <v>0</v>
      </c>
      <c r="O145" s="39">
        <v>0</v>
      </c>
      <c r="P145" s="39">
        <v>0</v>
      </c>
      <c r="Q145" s="39">
        <v>1</v>
      </c>
      <c r="R145" s="39">
        <v>1</v>
      </c>
      <c r="S145" s="39">
        <v>0</v>
      </c>
      <c r="T145" s="39">
        <v>1</v>
      </c>
      <c r="U145" s="39">
        <v>0</v>
      </c>
      <c r="V145" s="39">
        <v>0</v>
      </c>
      <c r="W145" s="39">
        <v>0</v>
      </c>
      <c r="X145" s="39">
        <v>0</v>
      </c>
      <c r="Y145" s="39">
        <v>0</v>
      </c>
      <c r="Z145" s="39">
        <v>0</v>
      </c>
    </row>
    <row r="146" spans="1:26" x14ac:dyDescent="0.3">
      <c r="A146" s="39">
        <v>10091800</v>
      </c>
      <c r="B146" s="39">
        <v>1</v>
      </c>
      <c r="C146" s="39">
        <v>1</v>
      </c>
      <c r="D146" s="39">
        <v>0</v>
      </c>
      <c r="E146" s="39">
        <v>1</v>
      </c>
      <c r="F146" s="39">
        <v>0</v>
      </c>
      <c r="G146" s="39">
        <v>0</v>
      </c>
      <c r="H146" s="39">
        <v>0</v>
      </c>
      <c r="I146" s="39">
        <v>1</v>
      </c>
      <c r="J146" s="39">
        <v>0</v>
      </c>
      <c r="K146" s="39">
        <v>0</v>
      </c>
      <c r="L146" s="39">
        <v>0</v>
      </c>
      <c r="M146" s="39">
        <v>0</v>
      </c>
      <c r="N146" s="39">
        <v>1</v>
      </c>
      <c r="O146" s="39">
        <v>1</v>
      </c>
      <c r="P146" s="39">
        <v>0</v>
      </c>
      <c r="Q146" s="39">
        <v>0</v>
      </c>
      <c r="R146" s="39">
        <v>0</v>
      </c>
      <c r="S146" s="39">
        <v>0</v>
      </c>
      <c r="T146" s="39">
        <v>1</v>
      </c>
      <c r="U146" s="39">
        <v>0</v>
      </c>
      <c r="V146" s="39">
        <v>0</v>
      </c>
      <c r="W146" s="39">
        <v>0</v>
      </c>
      <c r="X146" s="39">
        <v>1</v>
      </c>
      <c r="Y146" s="39">
        <v>1</v>
      </c>
      <c r="Z146" s="39">
        <v>0</v>
      </c>
    </row>
    <row r="147" spans="1:26" x14ac:dyDescent="0.3">
      <c r="A147" s="39">
        <v>10091814</v>
      </c>
      <c r="B147" s="39">
        <v>1</v>
      </c>
      <c r="C147" s="39">
        <v>1</v>
      </c>
      <c r="D147" s="39">
        <v>0</v>
      </c>
      <c r="E147" s="39">
        <v>1</v>
      </c>
      <c r="F147" s="39">
        <v>0</v>
      </c>
      <c r="G147" s="39">
        <v>0</v>
      </c>
      <c r="H147" s="39">
        <v>0</v>
      </c>
      <c r="I147" s="39">
        <v>1</v>
      </c>
      <c r="J147" s="39">
        <v>0</v>
      </c>
      <c r="K147" s="39">
        <v>0</v>
      </c>
      <c r="L147" s="39">
        <v>0</v>
      </c>
      <c r="M147" s="39">
        <v>0</v>
      </c>
      <c r="N147" s="39">
        <v>1</v>
      </c>
      <c r="O147" s="39">
        <v>1</v>
      </c>
      <c r="P147" s="39">
        <v>0</v>
      </c>
      <c r="Q147" s="39">
        <v>0</v>
      </c>
      <c r="R147" s="39">
        <v>0</v>
      </c>
      <c r="S147" s="39">
        <v>0</v>
      </c>
      <c r="T147" s="39">
        <v>1</v>
      </c>
      <c r="U147" s="39">
        <v>0</v>
      </c>
      <c r="V147" s="39">
        <v>0</v>
      </c>
      <c r="W147" s="39">
        <v>0</v>
      </c>
      <c r="X147" s="39">
        <v>1</v>
      </c>
      <c r="Y147" s="39">
        <v>1</v>
      </c>
      <c r="Z147" s="39">
        <v>0</v>
      </c>
    </row>
    <row r="148" spans="1:26" x14ac:dyDescent="0.3">
      <c r="A148" s="39">
        <v>10091815</v>
      </c>
      <c r="B148" s="39">
        <v>1</v>
      </c>
      <c r="C148" s="39">
        <v>1</v>
      </c>
      <c r="D148" s="39">
        <v>0</v>
      </c>
      <c r="E148" s="39">
        <v>1</v>
      </c>
      <c r="F148" s="39">
        <v>1</v>
      </c>
      <c r="G148" s="39">
        <v>0</v>
      </c>
      <c r="H148" s="39">
        <v>0</v>
      </c>
      <c r="I148" s="39">
        <v>1</v>
      </c>
      <c r="J148" s="39">
        <v>0</v>
      </c>
      <c r="K148" s="39">
        <v>0</v>
      </c>
      <c r="L148" s="39">
        <v>0</v>
      </c>
      <c r="M148" s="39">
        <v>0</v>
      </c>
      <c r="N148" s="39">
        <v>1</v>
      </c>
      <c r="O148" s="39">
        <v>1</v>
      </c>
      <c r="P148" s="39">
        <v>0</v>
      </c>
      <c r="Q148" s="39">
        <v>0</v>
      </c>
      <c r="R148" s="39">
        <v>0</v>
      </c>
      <c r="S148" s="39">
        <v>0</v>
      </c>
      <c r="T148" s="39">
        <v>1</v>
      </c>
      <c r="U148" s="39">
        <v>0</v>
      </c>
      <c r="V148" s="39">
        <v>0</v>
      </c>
      <c r="W148" s="39">
        <v>0</v>
      </c>
      <c r="X148" s="39">
        <v>1</v>
      </c>
      <c r="Y148" s="39">
        <v>1</v>
      </c>
      <c r="Z148" s="39">
        <v>0</v>
      </c>
    </row>
    <row r="149" spans="1:26" x14ac:dyDescent="0.3">
      <c r="A149" s="39">
        <v>10092200</v>
      </c>
      <c r="B149" s="39">
        <v>0</v>
      </c>
      <c r="C149" s="39">
        <v>0</v>
      </c>
      <c r="D149" s="39">
        <v>0</v>
      </c>
      <c r="E149" s="39">
        <v>0</v>
      </c>
      <c r="F149" s="39">
        <v>0</v>
      </c>
      <c r="G149" s="39">
        <v>0</v>
      </c>
      <c r="H149" s="39">
        <v>0</v>
      </c>
      <c r="I149" s="39">
        <v>0</v>
      </c>
      <c r="J149" s="39">
        <v>0</v>
      </c>
      <c r="K149" s="39">
        <v>0</v>
      </c>
      <c r="L149" s="39">
        <v>0</v>
      </c>
      <c r="M149" s="39">
        <v>0</v>
      </c>
      <c r="N149" s="39">
        <v>0</v>
      </c>
      <c r="O149" s="39">
        <v>0</v>
      </c>
      <c r="P149" s="39">
        <v>0</v>
      </c>
      <c r="Q149" s="39">
        <v>1</v>
      </c>
      <c r="R149" s="39">
        <v>1</v>
      </c>
      <c r="S149" s="39">
        <v>0</v>
      </c>
      <c r="T149" s="39">
        <v>1</v>
      </c>
      <c r="U149" s="39">
        <v>0</v>
      </c>
      <c r="V149" s="39">
        <v>0</v>
      </c>
      <c r="W149" s="39">
        <v>0</v>
      </c>
      <c r="X149" s="39">
        <v>0</v>
      </c>
      <c r="Y149" s="39">
        <v>0</v>
      </c>
      <c r="Z149" s="39">
        <v>0</v>
      </c>
    </row>
    <row r="150" spans="1:26" x14ac:dyDescent="0.3">
      <c r="A150" s="39">
        <v>10101600</v>
      </c>
      <c r="B150" s="39">
        <v>0</v>
      </c>
      <c r="C150" s="39">
        <v>0</v>
      </c>
      <c r="D150" s="39">
        <v>0</v>
      </c>
      <c r="E150" s="39">
        <v>0</v>
      </c>
      <c r="F150" s="39">
        <v>0</v>
      </c>
      <c r="G150" s="39">
        <v>0</v>
      </c>
      <c r="H150" s="39">
        <v>0</v>
      </c>
      <c r="I150" s="39">
        <v>0</v>
      </c>
      <c r="J150" s="39">
        <v>0</v>
      </c>
      <c r="K150" s="39">
        <v>0</v>
      </c>
      <c r="L150" s="39">
        <v>1</v>
      </c>
      <c r="M150" s="39">
        <v>1</v>
      </c>
      <c r="N150" s="39">
        <v>1</v>
      </c>
      <c r="O150" s="39">
        <v>1</v>
      </c>
      <c r="P150" s="39">
        <v>0</v>
      </c>
      <c r="Q150" s="39">
        <v>0</v>
      </c>
      <c r="R150" s="39">
        <v>0</v>
      </c>
      <c r="S150" s="39">
        <v>0</v>
      </c>
      <c r="T150" s="39">
        <v>0</v>
      </c>
      <c r="U150" s="39">
        <v>0</v>
      </c>
      <c r="V150" s="39">
        <v>0</v>
      </c>
      <c r="W150" s="39">
        <v>0</v>
      </c>
      <c r="X150" s="39">
        <v>0</v>
      </c>
      <c r="Y150" s="39">
        <v>0</v>
      </c>
      <c r="Z150" s="39">
        <v>0</v>
      </c>
    </row>
    <row r="151" spans="1:26" x14ac:dyDescent="0.3">
      <c r="A151" s="39">
        <v>10110300</v>
      </c>
      <c r="B151" s="39">
        <v>0</v>
      </c>
      <c r="C151" s="39">
        <v>0</v>
      </c>
      <c r="D151" s="39">
        <v>0</v>
      </c>
      <c r="E151" s="39">
        <v>0</v>
      </c>
      <c r="F151" s="39">
        <v>0</v>
      </c>
      <c r="G151" s="39">
        <v>0</v>
      </c>
      <c r="H151" s="39">
        <v>0</v>
      </c>
      <c r="I151" s="39">
        <v>0</v>
      </c>
      <c r="J151" s="39">
        <v>0</v>
      </c>
      <c r="K151" s="39">
        <v>0</v>
      </c>
      <c r="L151" s="39">
        <v>1</v>
      </c>
      <c r="M151" s="39">
        <v>1</v>
      </c>
      <c r="N151" s="39">
        <v>1</v>
      </c>
      <c r="O151" s="39">
        <v>1</v>
      </c>
      <c r="P151" s="39">
        <v>0</v>
      </c>
      <c r="Q151" s="39">
        <v>0</v>
      </c>
      <c r="R151" s="39">
        <v>0</v>
      </c>
      <c r="S151" s="39">
        <v>0</v>
      </c>
      <c r="T151" s="39">
        <v>0</v>
      </c>
      <c r="U151" s="39">
        <v>0</v>
      </c>
      <c r="V151" s="39">
        <v>0</v>
      </c>
      <c r="W151" s="39">
        <v>0</v>
      </c>
      <c r="X151" s="39">
        <v>0</v>
      </c>
      <c r="Y151" s="39">
        <v>0</v>
      </c>
      <c r="Z151" s="39">
        <v>0</v>
      </c>
    </row>
    <row r="152" spans="1:26" x14ac:dyDescent="0.3">
      <c r="A152" s="39">
        <v>10110310</v>
      </c>
      <c r="B152" s="39">
        <v>0</v>
      </c>
      <c r="C152" s="39">
        <v>0</v>
      </c>
      <c r="D152" s="39">
        <v>0</v>
      </c>
      <c r="E152" s="39">
        <v>0</v>
      </c>
      <c r="F152" s="39">
        <v>0</v>
      </c>
      <c r="G152" s="39">
        <v>0</v>
      </c>
      <c r="H152" s="39">
        <v>0</v>
      </c>
      <c r="I152" s="39">
        <v>0</v>
      </c>
      <c r="J152" s="39">
        <v>0</v>
      </c>
      <c r="K152" s="39">
        <v>0</v>
      </c>
      <c r="L152" s="39">
        <v>1</v>
      </c>
      <c r="M152" s="39">
        <v>1</v>
      </c>
      <c r="N152" s="39">
        <v>1</v>
      </c>
      <c r="O152" s="39">
        <v>1</v>
      </c>
      <c r="P152" s="39">
        <v>0</v>
      </c>
      <c r="Q152" s="39">
        <v>0</v>
      </c>
      <c r="R152" s="39">
        <v>0</v>
      </c>
      <c r="S152" s="39">
        <v>0</v>
      </c>
      <c r="T152" s="39">
        <v>0</v>
      </c>
      <c r="U152" s="39">
        <v>0</v>
      </c>
      <c r="V152" s="39">
        <v>0</v>
      </c>
      <c r="W152" s="39">
        <v>0</v>
      </c>
      <c r="X152" s="39">
        <v>0</v>
      </c>
      <c r="Y152" s="39">
        <v>0</v>
      </c>
      <c r="Z152" s="39">
        <v>0</v>
      </c>
    </row>
    <row r="153" spans="1:26" x14ac:dyDescent="0.3">
      <c r="A153" s="39">
        <v>10131000</v>
      </c>
      <c r="B153" s="39">
        <v>1</v>
      </c>
      <c r="C153" s="39">
        <v>1</v>
      </c>
      <c r="D153" s="39">
        <v>0</v>
      </c>
      <c r="E153" s="39">
        <v>0</v>
      </c>
      <c r="F153" s="39">
        <v>0</v>
      </c>
      <c r="G153" s="39">
        <v>0</v>
      </c>
      <c r="H153" s="39">
        <v>0</v>
      </c>
      <c r="I153" s="39">
        <v>1</v>
      </c>
      <c r="J153" s="39">
        <v>0</v>
      </c>
      <c r="K153" s="39">
        <v>1</v>
      </c>
      <c r="L153" s="39">
        <v>0</v>
      </c>
      <c r="M153" s="39">
        <v>0</v>
      </c>
      <c r="N153" s="39">
        <v>1</v>
      </c>
      <c r="O153" s="39">
        <v>1</v>
      </c>
      <c r="P153" s="39">
        <v>0</v>
      </c>
      <c r="Q153" s="39">
        <v>0</v>
      </c>
      <c r="R153" s="39">
        <v>0</v>
      </c>
      <c r="S153" s="39">
        <v>0</v>
      </c>
      <c r="T153" s="39">
        <v>1</v>
      </c>
      <c r="U153" s="39">
        <v>0</v>
      </c>
      <c r="V153" s="39">
        <v>0</v>
      </c>
      <c r="W153" s="39">
        <v>0</v>
      </c>
      <c r="X153" s="39">
        <v>1</v>
      </c>
      <c r="Y153" s="39">
        <v>1</v>
      </c>
      <c r="Z153" s="39">
        <v>1</v>
      </c>
    </row>
    <row r="154" spans="1:26" x14ac:dyDescent="0.3">
      <c r="A154" s="39">
        <v>10131100</v>
      </c>
      <c r="B154" s="39">
        <v>1</v>
      </c>
      <c r="C154" s="39">
        <v>1</v>
      </c>
      <c r="D154" s="39">
        <v>0</v>
      </c>
      <c r="E154" s="39">
        <v>0</v>
      </c>
      <c r="F154" s="39">
        <v>0</v>
      </c>
      <c r="G154" s="39">
        <v>0</v>
      </c>
      <c r="H154" s="39">
        <v>0</v>
      </c>
      <c r="I154" s="39">
        <v>0</v>
      </c>
      <c r="J154" s="39">
        <v>1</v>
      </c>
      <c r="K154" s="39">
        <v>0</v>
      </c>
      <c r="L154" s="39">
        <v>0</v>
      </c>
      <c r="M154" s="39">
        <v>0</v>
      </c>
      <c r="N154" s="39">
        <v>1</v>
      </c>
      <c r="O154" s="39">
        <v>1</v>
      </c>
      <c r="P154" s="39">
        <v>0</v>
      </c>
      <c r="Q154" s="39">
        <v>0</v>
      </c>
      <c r="R154" s="39">
        <v>0</v>
      </c>
      <c r="S154" s="39">
        <v>0</v>
      </c>
      <c r="T154" s="39">
        <v>1</v>
      </c>
      <c r="U154" s="39">
        <v>0</v>
      </c>
      <c r="V154" s="39">
        <v>0</v>
      </c>
      <c r="W154" s="39">
        <v>0</v>
      </c>
      <c r="X154" s="39">
        <v>1</v>
      </c>
      <c r="Y154" s="39">
        <v>1</v>
      </c>
      <c r="Z154" s="39">
        <v>0</v>
      </c>
    </row>
    <row r="155" spans="1:26" x14ac:dyDescent="0.3">
      <c r="A155" s="39">
        <v>10131200</v>
      </c>
      <c r="B155" s="39">
        <v>1</v>
      </c>
      <c r="C155" s="39">
        <v>1</v>
      </c>
      <c r="D155" s="39">
        <v>0</v>
      </c>
      <c r="E155" s="39">
        <v>0</v>
      </c>
      <c r="F155" s="39">
        <v>0</v>
      </c>
      <c r="G155" s="39">
        <v>0</v>
      </c>
      <c r="H155" s="39">
        <v>0</v>
      </c>
      <c r="I155" s="39">
        <v>0</v>
      </c>
      <c r="J155" s="39">
        <v>1</v>
      </c>
      <c r="K155" s="39">
        <v>0</v>
      </c>
      <c r="L155" s="39">
        <v>0</v>
      </c>
      <c r="M155" s="39">
        <v>0</v>
      </c>
      <c r="N155" s="39">
        <v>1</v>
      </c>
      <c r="O155" s="39">
        <v>1</v>
      </c>
      <c r="P155" s="39">
        <v>0</v>
      </c>
      <c r="Q155" s="39">
        <v>0</v>
      </c>
      <c r="R155" s="39">
        <v>0</v>
      </c>
      <c r="S155" s="39">
        <v>0</v>
      </c>
      <c r="T155" s="39">
        <v>1</v>
      </c>
      <c r="U155" s="39">
        <v>0</v>
      </c>
      <c r="V155" s="39">
        <v>0</v>
      </c>
      <c r="W155" s="39">
        <v>0</v>
      </c>
      <c r="X155" s="39">
        <v>1</v>
      </c>
      <c r="Y155" s="39">
        <v>1</v>
      </c>
      <c r="Z155" s="39">
        <v>0</v>
      </c>
    </row>
    <row r="156" spans="1:26" x14ac:dyDescent="0.3">
      <c r="A156" s="39">
        <v>10141300</v>
      </c>
      <c r="B156" s="39">
        <v>0</v>
      </c>
      <c r="C156" s="39">
        <v>0</v>
      </c>
      <c r="D156" s="39">
        <v>0</v>
      </c>
      <c r="E156" s="39">
        <v>0</v>
      </c>
      <c r="F156" s="39">
        <v>0</v>
      </c>
      <c r="G156" s="39">
        <v>0</v>
      </c>
      <c r="H156" s="39">
        <v>0</v>
      </c>
      <c r="I156" s="39">
        <v>0</v>
      </c>
      <c r="J156" s="39">
        <v>0</v>
      </c>
      <c r="K156" s="39">
        <v>0</v>
      </c>
      <c r="L156" s="39">
        <v>0</v>
      </c>
      <c r="M156" s="39">
        <v>0</v>
      </c>
      <c r="N156" s="39">
        <v>0</v>
      </c>
      <c r="O156" s="39">
        <v>0</v>
      </c>
      <c r="P156" s="39">
        <v>0</v>
      </c>
      <c r="Q156" s="39">
        <v>0</v>
      </c>
      <c r="R156" s="39">
        <v>0</v>
      </c>
      <c r="S156" s="39">
        <v>0</v>
      </c>
      <c r="T156" s="39">
        <v>0</v>
      </c>
      <c r="U156" s="39">
        <v>0</v>
      </c>
      <c r="V156" s="39">
        <v>0</v>
      </c>
      <c r="W156" s="39">
        <v>0</v>
      </c>
      <c r="X156" s="39">
        <v>0</v>
      </c>
      <c r="Y156" s="39">
        <v>0</v>
      </c>
      <c r="Z156" s="39">
        <v>0</v>
      </c>
    </row>
    <row r="157" spans="1:26" x14ac:dyDescent="0.3">
      <c r="A157" s="39">
        <v>10160400</v>
      </c>
      <c r="B157" s="39">
        <v>1</v>
      </c>
      <c r="C157" s="39">
        <v>1</v>
      </c>
      <c r="D157" s="39">
        <v>0</v>
      </c>
      <c r="E157" s="39">
        <v>0</v>
      </c>
      <c r="F157" s="39">
        <v>0</v>
      </c>
      <c r="G157" s="39">
        <v>1</v>
      </c>
      <c r="H157" s="39">
        <v>1</v>
      </c>
      <c r="I157" s="39">
        <v>1</v>
      </c>
      <c r="J157" s="39">
        <v>0</v>
      </c>
      <c r="K157" s="39">
        <v>0</v>
      </c>
      <c r="L157" s="39">
        <v>0</v>
      </c>
      <c r="M157" s="39">
        <v>0</v>
      </c>
      <c r="N157" s="39">
        <v>0</v>
      </c>
      <c r="O157" s="39">
        <v>0</v>
      </c>
      <c r="P157" s="39">
        <v>0</v>
      </c>
      <c r="Q157" s="39">
        <v>0</v>
      </c>
      <c r="R157" s="39">
        <v>0</v>
      </c>
      <c r="S157" s="39">
        <v>0</v>
      </c>
      <c r="T157" s="39">
        <v>0</v>
      </c>
      <c r="U157" s="39">
        <v>0</v>
      </c>
      <c r="V157" s="39">
        <v>0</v>
      </c>
      <c r="W157" s="39">
        <v>0</v>
      </c>
      <c r="X157" s="39">
        <v>0</v>
      </c>
      <c r="Y157" s="39">
        <v>0</v>
      </c>
      <c r="Z157" s="39">
        <v>0</v>
      </c>
    </row>
    <row r="158" spans="1:26" x14ac:dyDescent="0.3">
      <c r="A158" s="39">
        <v>10160410</v>
      </c>
      <c r="B158" s="39">
        <v>1</v>
      </c>
      <c r="C158" s="39">
        <v>1</v>
      </c>
      <c r="D158" s="39">
        <v>0</v>
      </c>
      <c r="E158" s="39">
        <v>0</v>
      </c>
      <c r="F158" s="39">
        <v>0</v>
      </c>
      <c r="G158" s="39">
        <v>0</v>
      </c>
      <c r="H158" s="39">
        <v>0</v>
      </c>
      <c r="I158" s="39">
        <v>0</v>
      </c>
      <c r="J158" s="39">
        <v>0</v>
      </c>
      <c r="K158" s="39">
        <v>0</v>
      </c>
      <c r="L158" s="39">
        <v>1</v>
      </c>
      <c r="M158" s="39">
        <v>1</v>
      </c>
      <c r="N158" s="39">
        <v>1</v>
      </c>
      <c r="O158" s="39">
        <v>1</v>
      </c>
      <c r="P158" s="39">
        <v>0</v>
      </c>
      <c r="Q158" s="39">
        <v>0</v>
      </c>
      <c r="R158" s="39">
        <v>0</v>
      </c>
      <c r="S158" s="39">
        <v>0</v>
      </c>
      <c r="T158" s="39">
        <v>0</v>
      </c>
      <c r="U158" s="39">
        <v>0</v>
      </c>
      <c r="V158" s="39">
        <v>0</v>
      </c>
      <c r="W158" s="39">
        <v>0</v>
      </c>
      <c r="X158" s="39">
        <v>0</v>
      </c>
      <c r="Y158" s="39">
        <v>0</v>
      </c>
      <c r="Z158" s="39">
        <v>0</v>
      </c>
    </row>
    <row r="159" spans="1:26" x14ac:dyDescent="0.3">
      <c r="A159" s="39">
        <v>10160420</v>
      </c>
      <c r="B159" s="39">
        <v>1</v>
      </c>
      <c r="C159" s="39">
        <v>1</v>
      </c>
      <c r="D159" s="39">
        <v>0</v>
      </c>
      <c r="E159" s="39">
        <v>0</v>
      </c>
      <c r="F159" s="39">
        <v>0</v>
      </c>
      <c r="G159" s="39">
        <v>1</v>
      </c>
      <c r="H159" s="39">
        <v>1</v>
      </c>
      <c r="I159" s="39">
        <v>1</v>
      </c>
      <c r="J159" s="39">
        <v>0</v>
      </c>
      <c r="K159" s="39">
        <v>0</v>
      </c>
      <c r="L159" s="39">
        <v>1</v>
      </c>
      <c r="M159" s="39">
        <v>1</v>
      </c>
      <c r="N159" s="39">
        <v>1</v>
      </c>
      <c r="O159" s="39">
        <v>1</v>
      </c>
      <c r="P159" s="39">
        <v>0</v>
      </c>
      <c r="Q159" s="39">
        <v>0</v>
      </c>
      <c r="R159" s="39">
        <v>0</v>
      </c>
      <c r="S159" s="39">
        <v>0</v>
      </c>
      <c r="T159" s="39">
        <v>0</v>
      </c>
      <c r="U159" s="39">
        <v>0</v>
      </c>
      <c r="V159" s="39">
        <v>0</v>
      </c>
      <c r="W159" s="39">
        <v>0</v>
      </c>
      <c r="X159" s="39">
        <v>0</v>
      </c>
      <c r="Y159" s="39">
        <v>0</v>
      </c>
      <c r="Z159" s="39">
        <v>0</v>
      </c>
    </row>
    <row r="160" spans="1:26" x14ac:dyDescent="0.3">
      <c r="A160" s="39">
        <v>20000000</v>
      </c>
      <c r="B160" s="39">
        <v>1</v>
      </c>
      <c r="C160" s="39">
        <v>1</v>
      </c>
      <c r="D160" s="39">
        <v>0</v>
      </c>
      <c r="E160" s="39">
        <v>0</v>
      </c>
      <c r="F160" s="39">
        <v>1</v>
      </c>
      <c r="G160" s="39">
        <v>1</v>
      </c>
      <c r="H160" s="39">
        <v>1</v>
      </c>
      <c r="I160" s="39">
        <v>1</v>
      </c>
      <c r="J160" s="39">
        <v>0</v>
      </c>
      <c r="K160" s="39">
        <v>0</v>
      </c>
      <c r="L160" s="39">
        <v>1</v>
      </c>
      <c r="M160" s="39">
        <v>1</v>
      </c>
      <c r="N160" s="39">
        <v>1</v>
      </c>
      <c r="O160" s="39">
        <v>1</v>
      </c>
      <c r="P160" s="39">
        <v>0</v>
      </c>
      <c r="Q160" s="39">
        <v>1</v>
      </c>
      <c r="R160" s="39">
        <v>1</v>
      </c>
      <c r="S160" s="39">
        <v>0</v>
      </c>
      <c r="T160" s="39">
        <v>1</v>
      </c>
      <c r="U160" s="39">
        <v>0</v>
      </c>
      <c r="V160" s="39">
        <v>1</v>
      </c>
      <c r="W160" s="39">
        <v>1</v>
      </c>
      <c r="X160" s="39">
        <v>0</v>
      </c>
      <c r="Y160" s="39">
        <v>1</v>
      </c>
      <c r="Z160" s="39">
        <v>0</v>
      </c>
    </row>
    <row r="161" spans="1:26" x14ac:dyDescent="0.3">
      <c r="A161" s="39">
        <v>20010000</v>
      </c>
      <c r="B161" s="39">
        <v>1</v>
      </c>
      <c r="C161" s="39">
        <v>1</v>
      </c>
      <c r="D161" s="39">
        <v>0</v>
      </c>
      <c r="E161" s="39">
        <v>0</v>
      </c>
      <c r="F161" s="39">
        <v>0</v>
      </c>
      <c r="G161" s="39">
        <v>0</v>
      </c>
      <c r="H161" s="39">
        <v>1</v>
      </c>
      <c r="I161" s="39">
        <v>1</v>
      </c>
      <c r="J161" s="39">
        <v>0</v>
      </c>
      <c r="K161" s="39">
        <v>0</v>
      </c>
      <c r="L161" s="39">
        <v>0</v>
      </c>
      <c r="M161" s="39">
        <v>0</v>
      </c>
      <c r="N161" s="39">
        <v>0</v>
      </c>
      <c r="O161" s="39">
        <v>1</v>
      </c>
      <c r="P161" s="39">
        <v>0</v>
      </c>
      <c r="Q161" s="39">
        <v>0</v>
      </c>
      <c r="R161" s="39">
        <v>1</v>
      </c>
      <c r="S161" s="39">
        <v>0</v>
      </c>
      <c r="T161" s="39">
        <v>0</v>
      </c>
      <c r="U161" s="39">
        <v>0</v>
      </c>
      <c r="V161" s="39">
        <v>0</v>
      </c>
      <c r="W161" s="39">
        <v>0</v>
      </c>
      <c r="X161" s="39">
        <v>0</v>
      </c>
      <c r="Y161" s="39">
        <v>1</v>
      </c>
      <c r="Z161" s="39">
        <v>0</v>
      </c>
    </row>
    <row r="162" spans="1:26" x14ac:dyDescent="0.3">
      <c r="A162" s="39">
        <v>20010100</v>
      </c>
      <c r="B162" s="39">
        <v>1</v>
      </c>
      <c r="C162" s="39">
        <v>1</v>
      </c>
      <c r="D162" s="39">
        <v>1</v>
      </c>
      <c r="E162" s="39">
        <v>1</v>
      </c>
      <c r="F162" s="39">
        <v>0</v>
      </c>
      <c r="G162" s="39">
        <v>0</v>
      </c>
      <c r="H162" s="39">
        <v>0</v>
      </c>
      <c r="I162" s="39">
        <v>1</v>
      </c>
      <c r="J162" s="39">
        <v>0</v>
      </c>
      <c r="K162" s="39">
        <v>0</v>
      </c>
      <c r="L162" s="39">
        <v>0</v>
      </c>
      <c r="M162" s="39">
        <v>0</v>
      </c>
      <c r="N162" s="39">
        <v>0</v>
      </c>
      <c r="O162" s="39">
        <v>1</v>
      </c>
      <c r="P162" s="39">
        <v>0</v>
      </c>
      <c r="Q162" s="39">
        <v>0</v>
      </c>
      <c r="R162" s="39">
        <v>1</v>
      </c>
      <c r="S162" s="39">
        <v>0</v>
      </c>
      <c r="T162" s="39">
        <v>0</v>
      </c>
      <c r="U162" s="39">
        <v>0</v>
      </c>
      <c r="V162" s="39">
        <v>0</v>
      </c>
      <c r="W162" s="39">
        <v>0</v>
      </c>
      <c r="X162" s="39">
        <v>0</v>
      </c>
      <c r="Y162" s="39">
        <v>1</v>
      </c>
      <c r="Z162" s="39">
        <v>0</v>
      </c>
    </row>
    <row r="163" spans="1:26" x14ac:dyDescent="0.3">
      <c r="A163" s="39">
        <v>20010101</v>
      </c>
      <c r="B163" s="39">
        <v>1</v>
      </c>
      <c r="C163" s="39">
        <v>1</v>
      </c>
      <c r="D163" s="39">
        <v>1</v>
      </c>
      <c r="E163" s="39">
        <v>1</v>
      </c>
      <c r="F163" s="39">
        <v>0</v>
      </c>
      <c r="G163" s="39">
        <v>0</v>
      </c>
      <c r="H163" s="39">
        <v>0</v>
      </c>
      <c r="I163" s="39">
        <v>1</v>
      </c>
      <c r="J163" s="39">
        <v>0</v>
      </c>
      <c r="K163" s="39">
        <v>0</v>
      </c>
      <c r="L163" s="39">
        <v>1</v>
      </c>
      <c r="M163" s="39">
        <v>0</v>
      </c>
      <c r="N163" s="39">
        <v>0</v>
      </c>
      <c r="O163" s="39">
        <v>1</v>
      </c>
      <c r="P163" s="39">
        <v>0</v>
      </c>
      <c r="Q163" s="39">
        <v>0</v>
      </c>
      <c r="R163" s="39">
        <v>1</v>
      </c>
      <c r="S163" s="39">
        <v>0</v>
      </c>
      <c r="T163" s="39">
        <v>0</v>
      </c>
      <c r="U163" s="39">
        <v>0</v>
      </c>
      <c r="V163" s="39">
        <v>0</v>
      </c>
      <c r="W163" s="39">
        <v>0</v>
      </c>
      <c r="X163" s="39">
        <v>0</v>
      </c>
      <c r="Y163" s="39">
        <v>1</v>
      </c>
      <c r="Z163" s="39">
        <v>0</v>
      </c>
    </row>
    <row r="164" spans="1:26" x14ac:dyDescent="0.3">
      <c r="A164" s="39">
        <v>20010102</v>
      </c>
      <c r="B164" s="39">
        <v>1</v>
      </c>
      <c r="C164" s="39">
        <v>1</v>
      </c>
      <c r="D164" s="39">
        <v>1</v>
      </c>
      <c r="E164" s="39">
        <v>1</v>
      </c>
      <c r="F164" s="39">
        <v>1</v>
      </c>
      <c r="G164" s="39">
        <v>0</v>
      </c>
      <c r="H164" s="39">
        <v>0</v>
      </c>
      <c r="I164" s="39">
        <v>1</v>
      </c>
      <c r="J164" s="39">
        <v>0</v>
      </c>
      <c r="K164" s="39">
        <v>0</v>
      </c>
      <c r="L164" s="39">
        <v>0</v>
      </c>
      <c r="M164" s="39">
        <v>0</v>
      </c>
      <c r="N164" s="39">
        <v>0</v>
      </c>
      <c r="O164" s="39">
        <v>1</v>
      </c>
      <c r="P164" s="39">
        <v>0</v>
      </c>
      <c r="Q164" s="39">
        <v>0</v>
      </c>
      <c r="R164" s="39">
        <v>1</v>
      </c>
      <c r="S164" s="39">
        <v>0</v>
      </c>
      <c r="T164" s="39">
        <v>0</v>
      </c>
      <c r="U164" s="39">
        <v>0</v>
      </c>
      <c r="V164" s="39">
        <v>0</v>
      </c>
      <c r="W164" s="39">
        <v>0</v>
      </c>
      <c r="X164" s="39">
        <v>0</v>
      </c>
      <c r="Y164" s="39">
        <v>1</v>
      </c>
      <c r="Z164" s="39">
        <v>0</v>
      </c>
    </row>
    <row r="165" spans="1:26" x14ac:dyDescent="0.3">
      <c r="A165" s="39">
        <v>20010103</v>
      </c>
      <c r="B165" s="39">
        <v>1</v>
      </c>
      <c r="C165" s="39">
        <v>1</v>
      </c>
      <c r="D165" s="39">
        <v>1</v>
      </c>
      <c r="E165" s="39">
        <v>1</v>
      </c>
      <c r="F165" s="39">
        <v>1</v>
      </c>
      <c r="G165" s="39">
        <v>0</v>
      </c>
      <c r="H165" s="39">
        <v>0</v>
      </c>
      <c r="I165" s="39">
        <v>1</v>
      </c>
      <c r="J165" s="39">
        <v>0</v>
      </c>
      <c r="K165" s="39">
        <v>0</v>
      </c>
      <c r="L165" s="39">
        <v>0</v>
      </c>
      <c r="M165" s="39">
        <v>0</v>
      </c>
      <c r="N165" s="39">
        <v>0</v>
      </c>
      <c r="O165" s="39">
        <v>1</v>
      </c>
      <c r="P165" s="39">
        <v>0</v>
      </c>
      <c r="Q165" s="39">
        <v>0</v>
      </c>
      <c r="R165" s="39">
        <v>1</v>
      </c>
      <c r="S165" s="39">
        <v>0</v>
      </c>
      <c r="T165" s="39">
        <v>0</v>
      </c>
      <c r="U165" s="39">
        <v>0</v>
      </c>
      <c r="V165" s="39">
        <v>0</v>
      </c>
      <c r="W165" s="39">
        <v>0</v>
      </c>
      <c r="X165" s="39">
        <v>0</v>
      </c>
      <c r="Y165" s="39">
        <v>1</v>
      </c>
      <c r="Z165" s="39">
        <v>0</v>
      </c>
    </row>
    <row r="166" spans="1:26" x14ac:dyDescent="0.3">
      <c r="A166" s="39">
        <v>20010104</v>
      </c>
      <c r="B166" s="39">
        <v>1</v>
      </c>
      <c r="C166" s="39">
        <v>1</v>
      </c>
      <c r="D166" s="39">
        <v>1</v>
      </c>
      <c r="E166" s="39">
        <v>1</v>
      </c>
      <c r="F166" s="39">
        <v>1</v>
      </c>
      <c r="G166" s="39">
        <v>0</v>
      </c>
      <c r="H166" s="39">
        <v>0</v>
      </c>
      <c r="I166" s="39">
        <v>1</v>
      </c>
      <c r="J166" s="39">
        <v>0</v>
      </c>
      <c r="K166" s="39">
        <v>0</v>
      </c>
      <c r="L166" s="39">
        <v>0</v>
      </c>
      <c r="M166" s="39">
        <v>0</v>
      </c>
      <c r="N166" s="39">
        <v>0</v>
      </c>
      <c r="O166" s="39">
        <v>1</v>
      </c>
      <c r="P166" s="39">
        <v>0</v>
      </c>
      <c r="Q166" s="39">
        <v>0</v>
      </c>
      <c r="R166" s="39">
        <v>1</v>
      </c>
      <c r="S166" s="39">
        <v>0</v>
      </c>
      <c r="T166" s="39">
        <v>0</v>
      </c>
      <c r="U166" s="39">
        <v>0</v>
      </c>
      <c r="V166" s="39">
        <v>0</v>
      </c>
      <c r="W166" s="39">
        <v>0</v>
      </c>
      <c r="X166" s="39">
        <v>0</v>
      </c>
      <c r="Y166" s="39">
        <v>1</v>
      </c>
      <c r="Z166" s="39">
        <v>0</v>
      </c>
    </row>
    <row r="167" spans="1:26" x14ac:dyDescent="0.3">
      <c r="A167" s="39">
        <v>20010105</v>
      </c>
      <c r="B167" s="39">
        <v>1</v>
      </c>
      <c r="C167" s="39">
        <v>1</v>
      </c>
      <c r="D167" s="39">
        <v>1</v>
      </c>
      <c r="E167" s="39">
        <v>1</v>
      </c>
      <c r="F167" s="39">
        <v>1</v>
      </c>
      <c r="G167" s="39">
        <v>0</v>
      </c>
      <c r="H167" s="39">
        <v>0</v>
      </c>
      <c r="I167" s="39">
        <v>1</v>
      </c>
      <c r="J167" s="39">
        <v>0</v>
      </c>
      <c r="K167" s="39">
        <v>0</v>
      </c>
      <c r="L167" s="39">
        <v>0</v>
      </c>
      <c r="M167" s="39">
        <v>0</v>
      </c>
      <c r="N167" s="39">
        <v>0</v>
      </c>
      <c r="O167" s="39">
        <v>1</v>
      </c>
      <c r="P167" s="39">
        <v>0</v>
      </c>
      <c r="Q167" s="39">
        <v>0</v>
      </c>
      <c r="R167" s="39">
        <v>1</v>
      </c>
      <c r="S167" s="39">
        <v>0</v>
      </c>
      <c r="T167" s="39">
        <v>0</v>
      </c>
      <c r="U167" s="39">
        <v>0</v>
      </c>
      <c r="V167" s="39">
        <v>0</v>
      </c>
      <c r="W167" s="39">
        <v>0</v>
      </c>
      <c r="X167" s="39">
        <v>0</v>
      </c>
      <c r="Y167" s="39">
        <v>1</v>
      </c>
      <c r="Z167" s="39">
        <v>0</v>
      </c>
    </row>
    <row r="168" spans="1:26" x14ac:dyDescent="0.3">
      <c r="A168" s="39">
        <v>20010200</v>
      </c>
      <c r="B168" s="39">
        <v>1</v>
      </c>
      <c r="C168" s="39">
        <v>1</v>
      </c>
      <c r="D168" s="39">
        <v>0</v>
      </c>
      <c r="E168" s="39">
        <v>0</v>
      </c>
      <c r="F168" s="39">
        <v>1</v>
      </c>
      <c r="G168" s="39">
        <v>0</v>
      </c>
      <c r="H168" s="39">
        <v>0</v>
      </c>
      <c r="I168" s="39">
        <v>1</v>
      </c>
      <c r="J168" s="39">
        <v>0</v>
      </c>
      <c r="K168" s="39">
        <v>0</v>
      </c>
      <c r="L168" s="39">
        <v>1</v>
      </c>
      <c r="M168" s="39">
        <v>0</v>
      </c>
      <c r="N168" s="39">
        <v>0</v>
      </c>
      <c r="O168" s="39">
        <v>0</v>
      </c>
      <c r="P168" s="39">
        <v>0</v>
      </c>
      <c r="Q168" s="39">
        <v>0</v>
      </c>
      <c r="R168" s="39">
        <v>1</v>
      </c>
      <c r="S168" s="39">
        <v>0</v>
      </c>
      <c r="T168" s="39">
        <v>0</v>
      </c>
      <c r="U168" s="39">
        <v>0</v>
      </c>
      <c r="V168" s="39">
        <v>0</v>
      </c>
      <c r="W168" s="39">
        <v>0</v>
      </c>
      <c r="X168" s="39">
        <v>0</v>
      </c>
      <c r="Y168" s="39">
        <v>1</v>
      </c>
      <c r="Z168" s="39">
        <v>0</v>
      </c>
    </row>
    <row r="169" spans="1:26" x14ac:dyDescent="0.3">
      <c r="A169" s="39">
        <v>20010300</v>
      </c>
      <c r="B169" s="39">
        <v>1</v>
      </c>
      <c r="C169" s="39">
        <v>1</v>
      </c>
      <c r="D169" s="39">
        <v>0</v>
      </c>
      <c r="E169" s="39">
        <v>0</v>
      </c>
      <c r="F169" s="39">
        <v>0</v>
      </c>
      <c r="G169" s="39">
        <v>0</v>
      </c>
      <c r="H169" s="39">
        <v>0</v>
      </c>
      <c r="I169" s="39">
        <v>1</v>
      </c>
      <c r="J169" s="39">
        <v>0</v>
      </c>
      <c r="K169" s="39">
        <v>0</v>
      </c>
      <c r="L169" s="39">
        <v>0</v>
      </c>
      <c r="M169" s="39">
        <v>0</v>
      </c>
      <c r="N169" s="39">
        <v>0</v>
      </c>
      <c r="O169" s="39">
        <v>1</v>
      </c>
      <c r="P169" s="39">
        <v>0</v>
      </c>
      <c r="Q169" s="39">
        <v>0</v>
      </c>
      <c r="R169" s="39">
        <v>0</v>
      </c>
      <c r="S169" s="39">
        <v>0</v>
      </c>
      <c r="T169" s="39">
        <v>1</v>
      </c>
      <c r="U169" s="39">
        <v>0</v>
      </c>
      <c r="V169" s="39">
        <v>0</v>
      </c>
      <c r="W169" s="39">
        <v>0</v>
      </c>
      <c r="X169" s="39">
        <v>0</v>
      </c>
      <c r="Y169" s="39">
        <v>1</v>
      </c>
      <c r="Z169" s="39">
        <v>0</v>
      </c>
    </row>
    <row r="170" spans="1:26" x14ac:dyDescent="0.3">
      <c r="A170" s="39">
        <v>20010301</v>
      </c>
      <c r="B170" s="39">
        <v>1</v>
      </c>
      <c r="C170" s="39">
        <v>1</v>
      </c>
      <c r="D170" s="39">
        <v>0</v>
      </c>
      <c r="E170" s="39">
        <v>0</v>
      </c>
      <c r="F170" s="39">
        <v>0</v>
      </c>
      <c r="G170" s="39">
        <v>0</v>
      </c>
      <c r="H170" s="39">
        <v>0</v>
      </c>
      <c r="I170" s="39">
        <v>1</v>
      </c>
      <c r="J170" s="39">
        <v>0</v>
      </c>
      <c r="K170" s="39">
        <v>0</v>
      </c>
      <c r="L170" s="39">
        <v>1</v>
      </c>
      <c r="M170" s="39">
        <v>0</v>
      </c>
      <c r="N170" s="39">
        <v>0</v>
      </c>
      <c r="O170" s="39">
        <v>0</v>
      </c>
      <c r="P170" s="39">
        <v>0</v>
      </c>
      <c r="Q170" s="39">
        <v>0</v>
      </c>
      <c r="R170" s="39">
        <v>0</v>
      </c>
      <c r="S170" s="39">
        <v>0</v>
      </c>
      <c r="T170" s="39">
        <v>1</v>
      </c>
      <c r="U170" s="39">
        <v>0</v>
      </c>
      <c r="V170" s="39">
        <v>0</v>
      </c>
      <c r="W170" s="39">
        <v>0</v>
      </c>
      <c r="X170" s="39">
        <v>0</v>
      </c>
      <c r="Y170" s="39">
        <v>1</v>
      </c>
      <c r="Z170" s="39">
        <v>0</v>
      </c>
    </row>
    <row r="171" spans="1:26" x14ac:dyDescent="0.3">
      <c r="A171" s="39">
        <v>20010302</v>
      </c>
      <c r="B171" s="39">
        <v>1</v>
      </c>
      <c r="C171" s="39">
        <v>1</v>
      </c>
      <c r="D171" s="39">
        <v>0</v>
      </c>
      <c r="E171" s="39">
        <v>0</v>
      </c>
      <c r="F171" s="39">
        <v>1</v>
      </c>
      <c r="G171" s="39">
        <v>0</v>
      </c>
      <c r="H171" s="39">
        <v>0</v>
      </c>
      <c r="I171" s="39">
        <v>1</v>
      </c>
      <c r="J171" s="39">
        <v>0</v>
      </c>
      <c r="K171" s="39">
        <v>0</v>
      </c>
      <c r="L171" s="39">
        <v>0</v>
      </c>
      <c r="M171" s="39">
        <v>0</v>
      </c>
      <c r="N171" s="39">
        <v>0</v>
      </c>
      <c r="O171" s="39">
        <v>1</v>
      </c>
      <c r="P171" s="39">
        <v>0</v>
      </c>
      <c r="Q171" s="39">
        <v>0</v>
      </c>
      <c r="R171" s="39">
        <v>0</v>
      </c>
      <c r="S171" s="39">
        <v>0</v>
      </c>
      <c r="T171" s="39">
        <v>1</v>
      </c>
      <c r="U171" s="39">
        <v>0</v>
      </c>
      <c r="V171" s="39">
        <v>0</v>
      </c>
      <c r="W171" s="39">
        <v>0</v>
      </c>
      <c r="X171" s="39">
        <v>0</v>
      </c>
      <c r="Y171" s="39">
        <v>1</v>
      </c>
      <c r="Z171" s="39">
        <v>0</v>
      </c>
    </row>
    <row r="172" spans="1:26" x14ac:dyDescent="0.3">
      <c r="A172" s="39">
        <v>20010400</v>
      </c>
      <c r="B172" s="39">
        <v>1</v>
      </c>
      <c r="C172" s="39">
        <v>1</v>
      </c>
      <c r="D172" s="39">
        <v>0</v>
      </c>
      <c r="E172" s="39">
        <v>0</v>
      </c>
      <c r="F172" s="39">
        <v>0</v>
      </c>
      <c r="G172" s="39">
        <v>0</v>
      </c>
      <c r="H172" s="39">
        <v>0</v>
      </c>
      <c r="I172" s="39">
        <v>1</v>
      </c>
      <c r="J172" s="39">
        <v>0</v>
      </c>
      <c r="K172" s="39">
        <v>0</v>
      </c>
      <c r="L172" s="39">
        <v>1</v>
      </c>
      <c r="M172" s="39">
        <v>1</v>
      </c>
      <c r="N172" s="39">
        <v>1</v>
      </c>
      <c r="O172" s="39">
        <v>1</v>
      </c>
      <c r="P172" s="39">
        <v>0</v>
      </c>
      <c r="Q172" s="39">
        <v>0</v>
      </c>
      <c r="R172" s="39">
        <v>1</v>
      </c>
      <c r="S172" s="39">
        <v>0</v>
      </c>
      <c r="T172" s="39">
        <v>0</v>
      </c>
      <c r="U172" s="39">
        <v>0</v>
      </c>
      <c r="V172" s="39">
        <v>0</v>
      </c>
      <c r="W172" s="39">
        <v>0</v>
      </c>
      <c r="X172" s="39">
        <v>0</v>
      </c>
      <c r="Y172" s="39">
        <v>1</v>
      </c>
      <c r="Z172" s="39">
        <v>0</v>
      </c>
    </row>
    <row r="173" spans="1:26" x14ac:dyDescent="0.3">
      <c r="A173" s="39">
        <v>20010500</v>
      </c>
      <c r="B173" s="39">
        <v>1</v>
      </c>
      <c r="C173" s="39">
        <v>1</v>
      </c>
      <c r="D173" s="39">
        <v>0</v>
      </c>
      <c r="E173" s="39">
        <v>0</v>
      </c>
      <c r="F173" s="39">
        <v>0</v>
      </c>
      <c r="G173" s="39">
        <v>0</v>
      </c>
      <c r="H173" s="39">
        <v>0</v>
      </c>
      <c r="I173" s="39">
        <v>1</v>
      </c>
      <c r="J173" s="39">
        <v>0</v>
      </c>
      <c r="K173" s="39">
        <v>0</v>
      </c>
      <c r="L173" s="39">
        <v>1</v>
      </c>
      <c r="M173" s="39">
        <v>0</v>
      </c>
      <c r="N173" s="39">
        <v>0</v>
      </c>
      <c r="O173" s="39">
        <v>1</v>
      </c>
      <c r="P173" s="39">
        <v>0</v>
      </c>
      <c r="Q173" s="39">
        <v>0</v>
      </c>
      <c r="R173" s="39">
        <v>1</v>
      </c>
      <c r="S173" s="39">
        <v>0</v>
      </c>
      <c r="T173" s="39">
        <v>0</v>
      </c>
      <c r="U173" s="39">
        <v>0</v>
      </c>
      <c r="V173" s="39">
        <v>0</v>
      </c>
      <c r="W173" s="39">
        <v>0</v>
      </c>
      <c r="X173" s="39">
        <v>0</v>
      </c>
      <c r="Y173" s="39">
        <v>1</v>
      </c>
      <c r="Z173" s="39">
        <v>0</v>
      </c>
    </row>
    <row r="174" spans="1:26" x14ac:dyDescent="0.3">
      <c r="A174" s="39">
        <v>20010600</v>
      </c>
      <c r="B174" s="39">
        <v>1</v>
      </c>
      <c r="C174" s="39">
        <v>1</v>
      </c>
      <c r="D174" s="39">
        <v>0</v>
      </c>
      <c r="E174" s="39">
        <v>1</v>
      </c>
      <c r="F174" s="39">
        <v>1</v>
      </c>
      <c r="G174" s="39">
        <v>0</v>
      </c>
      <c r="H174" s="39">
        <v>0</v>
      </c>
      <c r="I174" s="39">
        <v>1</v>
      </c>
      <c r="J174" s="39">
        <v>0</v>
      </c>
      <c r="K174" s="39">
        <v>0</v>
      </c>
      <c r="L174" s="39">
        <v>0</v>
      </c>
      <c r="M174" s="39">
        <v>0</v>
      </c>
      <c r="N174" s="39">
        <v>0</v>
      </c>
      <c r="O174" s="39">
        <v>1</v>
      </c>
      <c r="P174" s="39">
        <v>0</v>
      </c>
      <c r="Q174" s="39">
        <v>0</v>
      </c>
      <c r="R174" s="39">
        <v>1</v>
      </c>
      <c r="S174" s="39">
        <v>0</v>
      </c>
      <c r="T174" s="39">
        <v>0</v>
      </c>
      <c r="U174" s="39">
        <v>0</v>
      </c>
      <c r="V174" s="39">
        <v>0</v>
      </c>
      <c r="W174" s="39">
        <v>0</v>
      </c>
      <c r="X174" s="39">
        <v>0</v>
      </c>
      <c r="Y174" s="39">
        <v>1</v>
      </c>
      <c r="Z174" s="39">
        <v>0</v>
      </c>
    </row>
    <row r="175" spans="1:26" x14ac:dyDescent="0.3">
      <c r="A175" s="39">
        <v>20010601</v>
      </c>
      <c r="B175" s="39">
        <v>1</v>
      </c>
      <c r="C175" s="39">
        <v>1</v>
      </c>
      <c r="D175" s="39">
        <v>0</v>
      </c>
      <c r="E175" s="39">
        <v>1</v>
      </c>
      <c r="F175" s="39">
        <v>1</v>
      </c>
      <c r="G175" s="39">
        <v>0</v>
      </c>
      <c r="H175" s="39">
        <v>0</v>
      </c>
      <c r="I175" s="39">
        <v>1</v>
      </c>
      <c r="J175" s="39">
        <v>0</v>
      </c>
      <c r="K175" s="39">
        <v>0</v>
      </c>
      <c r="L175" s="39">
        <v>1</v>
      </c>
      <c r="M175" s="39">
        <v>0</v>
      </c>
      <c r="N175" s="39">
        <v>0</v>
      </c>
      <c r="O175" s="39">
        <v>0</v>
      </c>
      <c r="P175" s="39">
        <v>0</v>
      </c>
      <c r="Q175" s="39">
        <v>0</v>
      </c>
      <c r="R175" s="39">
        <v>1</v>
      </c>
      <c r="S175" s="39">
        <v>0</v>
      </c>
      <c r="T175" s="39">
        <v>0</v>
      </c>
      <c r="U175" s="39">
        <v>0</v>
      </c>
      <c r="V175" s="39">
        <v>0</v>
      </c>
      <c r="W175" s="39">
        <v>0</v>
      </c>
      <c r="X175" s="39">
        <v>0</v>
      </c>
      <c r="Y175" s="39">
        <v>1</v>
      </c>
      <c r="Z175" s="39">
        <v>0</v>
      </c>
    </row>
    <row r="176" spans="1:26" x14ac:dyDescent="0.3">
      <c r="A176" s="39">
        <v>20010700</v>
      </c>
      <c r="B176" s="39">
        <v>1</v>
      </c>
      <c r="C176" s="39">
        <v>1</v>
      </c>
      <c r="D176" s="39">
        <v>0</v>
      </c>
      <c r="E176" s="39">
        <v>0</v>
      </c>
      <c r="F176" s="39">
        <v>0</v>
      </c>
      <c r="G176" s="39">
        <v>0</v>
      </c>
      <c r="H176" s="39">
        <v>0</v>
      </c>
      <c r="I176" s="39">
        <v>1</v>
      </c>
      <c r="J176" s="39">
        <v>1</v>
      </c>
      <c r="K176" s="39">
        <v>0</v>
      </c>
      <c r="L176" s="39">
        <v>0</v>
      </c>
      <c r="M176" s="39">
        <v>0</v>
      </c>
      <c r="N176" s="39">
        <v>0</v>
      </c>
      <c r="O176" s="39">
        <v>1</v>
      </c>
      <c r="P176" s="39">
        <v>0</v>
      </c>
      <c r="Q176" s="39">
        <v>0</v>
      </c>
      <c r="R176" s="39">
        <v>1</v>
      </c>
      <c r="S176" s="39">
        <v>0</v>
      </c>
      <c r="T176" s="39">
        <v>0</v>
      </c>
      <c r="U176" s="39">
        <v>0</v>
      </c>
      <c r="V176" s="39">
        <v>0</v>
      </c>
      <c r="W176" s="39">
        <v>0</v>
      </c>
      <c r="X176" s="39">
        <v>0</v>
      </c>
      <c r="Y176" s="39">
        <v>1</v>
      </c>
      <c r="Z176" s="39">
        <v>0</v>
      </c>
    </row>
    <row r="177" spans="1:26" x14ac:dyDescent="0.3">
      <c r="A177" s="39">
        <v>20050000</v>
      </c>
      <c r="B177" s="39">
        <v>0</v>
      </c>
      <c r="C177" s="39">
        <v>0</v>
      </c>
      <c r="D177" s="39">
        <v>0</v>
      </c>
      <c r="E177" s="39">
        <v>0</v>
      </c>
      <c r="F177" s="39">
        <v>0</v>
      </c>
      <c r="G177" s="39">
        <v>0</v>
      </c>
      <c r="H177" s="39">
        <v>0</v>
      </c>
      <c r="I177" s="39">
        <v>0</v>
      </c>
      <c r="J177" s="39">
        <v>0</v>
      </c>
      <c r="K177" s="39">
        <v>0</v>
      </c>
      <c r="L177" s="39">
        <v>0</v>
      </c>
      <c r="M177" s="39">
        <v>0</v>
      </c>
      <c r="N177" s="39">
        <v>0</v>
      </c>
      <c r="O177" s="39">
        <v>0</v>
      </c>
      <c r="P177" s="39">
        <v>0</v>
      </c>
      <c r="Q177" s="39">
        <v>0</v>
      </c>
      <c r="R177" s="39">
        <v>0</v>
      </c>
      <c r="S177" s="39">
        <v>0</v>
      </c>
      <c r="T177" s="39">
        <v>0</v>
      </c>
      <c r="U177" s="39">
        <v>0</v>
      </c>
      <c r="V177" s="39">
        <v>0</v>
      </c>
      <c r="W177" s="39">
        <v>0</v>
      </c>
      <c r="X177" s="39">
        <v>0</v>
      </c>
      <c r="Y177" s="39">
        <v>1</v>
      </c>
      <c r="Z177" s="39">
        <v>0</v>
      </c>
    </row>
    <row r="178" spans="1:26" x14ac:dyDescent="0.3">
      <c r="A178" s="39">
        <v>20050010</v>
      </c>
      <c r="B178" s="39">
        <v>0</v>
      </c>
      <c r="C178" s="39">
        <v>0</v>
      </c>
      <c r="D178" s="39">
        <v>0</v>
      </c>
      <c r="E178" s="39">
        <v>0</v>
      </c>
      <c r="F178" s="39">
        <v>0</v>
      </c>
      <c r="G178" s="39">
        <v>0</v>
      </c>
      <c r="H178" s="39">
        <v>1</v>
      </c>
      <c r="I178" s="39">
        <v>0</v>
      </c>
      <c r="J178" s="39">
        <v>0</v>
      </c>
      <c r="K178" s="39">
        <v>0</v>
      </c>
      <c r="L178" s="39">
        <v>0</v>
      </c>
      <c r="M178" s="39">
        <v>0</v>
      </c>
      <c r="N178" s="39">
        <v>0</v>
      </c>
      <c r="O178" s="39">
        <v>0</v>
      </c>
      <c r="P178" s="39">
        <v>0</v>
      </c>
      <c r="Q178" s="39">
        <v>0</v>
      </c>
      <c r="R178" s="39">
        <v>0</v>
      </c>
      <c r="S178" s="39">
        <v>0</v>
      </c>
      <c r="T178" s="39">
        <v>0</v>
      </c>
      <c r="U178" s="39">
        <v>0</v>
      </c>
      <c r="V178" s="39">
        <v>0</v>
      </c>
      <c r="W178" s="39">
        <v>0</v>
      </c>
      <c r="X178" s="39">
        <v>0</v>
      </c>
      <c r="Y178" s="39">
        <v>0</v>
      </c>
      <c r="Z178" s="39">
        <v>0</v>
      </c>
    </row>
    <row r="179" spans="1:26" x14ac:dyDescent="0.3">
      <c r="A179" s="39">
        <v>20050020</v>
      </c>
      <c r="B179" s="39">
        <v>0</v>
      </c>
      <c r="C179" s="39">
        <v>0</v>
      </c>
      <c r="D179" s="39">
        <v>0</v>
      </c>
      <c r="E179" s="39">
        <v>0</v>
      </c>
      <c r="F179" s="39">
        <v>0</v>
      </c>
      <c r="G179" s="39">
        <v>0</v>
      </c>
      <c r="H179" s="39">
        <v>0</v>
      </c>
      <c r="I179" s="39">
        <v>0</v>
      </c>
      <c r="J179" s="39">
        <v>0</v>
      </c>
      <c r="K179" s="39">
        <v>0</v>
      </c>
      <c r="L179" s="39">
        <v>0</v>
      </c>
      <c r="M179" s="39">
        <v>0</v>
      </c>
      <c r="N179" s="39">
        <v>0</v>
      </c>
      <c r="O179" s="39">
        <v>0</v>
      </c>
      <c r="P179" s="39">
        <v>0</v>
      </c>
      <c r="Q179" s="39">
        <v>0</v>
      </c>
      <c r="R179" s="39">
        <v>0</v>
      </c>
      <c r="S179" s="39">
        <v>0</v>
      </c>
      <c r="T179" s="39">
        <v>0</v>
      </c>
      <c r="U179" s="39">
        <v>1</v>
      </c>
      <c r="V179" s="39">
        <v>0</v>
      </c>
      <c r="W179" s="39">
        <v>0</v>
      </c>
      <c r="X179" s="39">
        <v>0</v>
      </c>
      <c r="Y179" s="39">
        <v>0</v>
      </c>
      <c r="Z179" s="39">
        <v>0</v>
      </c>
    </row>
    <row r="180" spans="1:26" x14ac:dyDescent="0.3">
      <c r="A180" s="39">
        <v>20200620</v>
      </c>
      <c r="B180" s="39">
        <v>0</v>
      </c>
      <c r="C180" s="39">
        <v>0</v>
      </c>
      <c r="D180" s="39">
        <v>0</v>
      </c>
      <c r="E180" s="39">
        <v>0</v>
      </c>
      <c r="F180" s="39">
        <v>0</v>
      </c>
      <c r="G180" s="39">
        <v>0</v>
      </c>
      <c r="H180" s="39">
        <v>0</v>
      </c>
      <c r="I180" s="39">
        <v>0</v>
      </c>
      <c r="J180" s="39">
        <v>0</v>
      </c>
      <c r="K180" s="39">
        <v>0</v>
      </c>
      <c r="L180" s="39">
        <v>1</v>
      </c>
      <c r="M180" s="39">
        <v>1</v>
      </c>
      <c r="N180" s="39">
        <v>1</v>
      </c>
      <c r="O180" s="39">
        <v>1</v>
      </c>
      <c r="P180" s="39">
        <v>0</v>
      </c>
      <c r="Q180" s="39">
        <v>0</v>
      </c>
      <c r="R180" s="39">
        <v>0</v>
      </c>
      <c r="S180" s="39">
        <v>0</v>
      </c>
      <c r="T180" s="39">
        <v>0</v>
      </c>
      <c r="U180" s="39">
        <v>0</v>
      </c>
      <c r="V180" s="39">
        <v>0</v>
      </c>
      <c r="W180" s="39">
        <v>0</v>
      </c>
      <c r="X180" s="39">
        <v>0</v>
      </c>
      <c r="Y180" s="39">
        <v>0</v>
      </c>
      <c r="Z180" s="39">
        <v>0</v>
      </c>
    </row>
    <row r="181" spans="1:26" x14ac:dyDescent="0.3">
      <c r="A181" s="39">
        <v>20200680</v>
      </c>
      <c r="B181" s="39">
        <v>0</v>
      </c>
      <c r="C181" s="39">
        <v>0</v>
      </c>
      <c r="D181" s="39">
        <v>0</v>
      </c>
      <c r="E181" s="39">
        <v>0</v>
      </c>
      <c r="F181" s="39">
        <v>0</v>
      </c>
      <c r="G181" s="39">
        <v>0</v>
      </c>
      <c r="H181" s="39">
        <v>0</v>
      </c>
      <c r="I181" s="39">
        <v>0</v>
      </c>
      <c r="J181" s="39">
        <v>0</v>
      </c>
      <c r="K181" s="39">
        <v>0</v>
      </c>
      <c r="L181" s="39">
        <v>1</v>
      </c>
      <c r="M181" s="39">
        <v>1</v>
      </c>
      <c r="N181" s="39">
        <v>0</v>
      </c>
      <c r="O181" s="39">
        <v>1</v>
      </c>
      <c r="P181" s="39">
        <v>0</v>
      </c>
      <c r="Q181" s="39">
        <v>0</v>
      </c>
      <c r="R181" s="39">
        <v>0</v>
      </c>
      <c r="S181" s="39">
        <v>0</v>
      </c>
      <c r="T181" s="39">
        <v>0</v>
      </c>
      <c r="U181" s="39">
        <v>0</v>
      </c>
      <c r="V181" s="39">
        <v>0</v>
      </c>
      <c r="W181" s="39">
        <v>0</v>
      </c>
      <c r="X181" s="39">
        <v>0</v>
      </c>
      <c r="Y181" s="39">
        <v>0</v>
      </c>
      <c r="Z181" s="39">
        <v>0</v>
      </c>
    </row>
    <row r="182" spans="1:26" x14ac:dyDescent="0.3">
      <c r="A182" s="39">
        <v>20201700</v>
      </c>
      <c r="B182" s="39">
        <v>1</v>
      </c>
      <c r="C182" s="39">
        <v>0</v>
      </c>
      <c r="D182" s="39">
        <v>1</v>
      </c>
      <c r="E182" s="39">
        <v>0</v>
      </c>
      <c r="F182" s="39">
        <v>1</v>
      </c>
      <c r="G182" s="39">
        <v>1</v>
      </c>
      <c r="H182" s="39">
        <v>0</v>
      </c>
      <c r="I182" s="39">
        <v>1</v>
      </c>
      <c r="J182" s="39">
        <v>0</v>
      </c>
      <c r="K182" s="39">
        <v>1</v>
      </c>
      <c r="L182" s="39">
        <v>0</v>
      </c>
      <c r="M182" s="39">
        <v>0</v>
      </c>
      <c r="N182" s="39">
        <v>0</v>
      </c>
      <c r="O182" s="39">
        <v>0</v>
      </c>
      <c r="P182" s="39">
        <v>0</v>
      </c>
      <c r="Q182" s="39">
        <v>0</v>
      </c>
      <c r="R182" s="39">
        <v>0</v>
      </c>
      <c r="S182" s="39">
        <v>0</v>
      </c>
      <c r="T182" s="39">
        <v>0</v>
      </c>
      <c r="U182" s="39">
        <v>0</v>
      </c>
      <c r="V182" s="39">
        <v>0</v>
      </c>
      <c r="W182" s="39">
        <v>0</v>
      </c>
      <c r="X182" s="39">
        <v>0</v>
      </c>
      <c r="Y182" s="39">
        <v>0</v>
      </c>
      <c r="Z182" s="39">
        <v>0</v>
      </c>
    </row>
    <row r="183" spans="1:26" x14ac:dyDescent="0.3">
      <c r="A183" s="39">
        <v>20202031</v>
      </c>
      <c r="B183" s="39">
        <v>1</v>
      </c>
      <c r="C183" s="39">
        <v>0</v>
      </c>
      <c r="D183" s="39">
        <v>0</v>
      </c>
      <c r="E183" s="39">
        <v>0</v>
      </c>
      <c r="F183" s="39">
        <v>0</v>
      </c>
      <c r="G183" s="39">
        <v>0</v>
      </c>
      <c r="H183" s="39">
        <v>0</v>
      </c>
      <c r="I183" s="39">
        <v>0</v>
      </c>
      <c r="J183" s="39">
        <v>0</v>
      </c>
      <c r="K183" s="39">
        <v>0</v>
      </c>
      <c r="L183" s="39">
        <v>0</v>
      </c>
      <c r="M183" s="39">
        <v>0</v>
      </c>
      <c r="N183" s="39">
        <v>0</v>
      </c>
      <c r="O183" s="39">
        <v>0</v>
      </c>
      <c r="P183" s="39">
        <v>0</v>
      </c>
      <c r="Q183" s="39">
        <v>0</v>
      </c>
      <c r="R183" s="39">
        <v>0</v>
      </c>
      <c r="S183" s="39">
        <v>0</v>
      </c>
      <c r="T183" s="39">
        <v>0</v>
      </c>
      <c r="U183" s="39">
        <v>0</v>
      </c>
      <c r="V183" s="39">
        <v>0</v>
      </c>
      <c r="W183" s="39">
        <v>0</v>
      </c>
      <c r="X183" s="39">
        <v>0</v>
      </c>
      <c r="Y183" s="39">
        <v>0</v>
      </c>
      <c r="Z183" s="39">
        <v>0</v>
      </c>
    </row>
    <row r="184" spans="1:26" x14ac:dyDescent="0.3">
      <c r="A184" s="39">
        <v>20203001</v>
      </c>
      <c r="B184" s="39">
        <v>0</v>
      </c>
      <c r="C184" s="39">
        <v>0</v>
      </c>
      <c r="D184" s="39">
        <v>1</v>
      </c>
      <c r="E184" s="39">
        <v>1</v>
      </c>
      <c r="F184" s="39">
        <v>1</v>
      </c>
      <c r="G184" s="39">
        <v>0</v>
      </c>
      <c r="H184" s="39">
        <v>0</v>
      </c>
      <c r="I184" s="39">
        <v>0</v>
      </c>
      <c r="J184" s="39">
        <v>0</v>
      </c>
      <c r="K184" s="39">
        <v>0</v>
      </c>
      <c r="L184" s="39">
        <v>0</v>
      </c>
      <c r="M184" s="39">
        <v>0</v>
      </c>
      <c r="N184" s="39">
        <v>0</v>
      </c>
      <c r="O184" s="39">
        <v>0</v>
      </c>
      <c r="P184" s="39">
        <v>0</v>
      </c>
      <c r="Q184" s="39">
        <v>0</v>
      </c>
      <c r="R184" s="39">
        <v>0</v>
      </c>
      <c r="S184" s="39">
        <v>0</v>
      </c>
      <c r="T184" s="39">
        <v>0</v>
      </c>
      <c r="U184" s="39">
        <v>0</v>
      </c>
      <c r="V184" s="39">
        <v>0</v>
      </c>
      <c r="W184" s="39">
        <v>0</v>
      </c>
      <c r="X184" s="39">
        <v>0</v>
      </c>
      <c r="Y184" s="39">
        <v>0</v>
      </c>
      <c r="Z184" s="39">
        <v>0</v>
      </c>
    </row>
    <row r="185" spans="1:26" x14ac:dyDescent="0.3">
      <c r="A185" s="39">
        <v>20203190</v>
      </c>
      <c r="B185" s="39">
        <v>0</v>
      </c>
      <c r="C185" s="39">
        <v>0</v>
      </c>
      <c r="D185" s="39">
        <v>0</v>
      </c>
      <c r="E185" s="39">
        <v>0</v>
      </c>
      <c r="F185" s="39">
        <v>0</v>
      </c>
      <c r="G185" s="39">
        <v>0</v>
      </c>
      <c r="H185" s="39">
        <v>0</v>
      </c>
      <c r="I185" s="39">
        <v>0</v>
      </c>
      <c r="J185" s="39">
        <v>0</v>
      </c>
      <c r="K185" s="39">
        <v>0</v>
      </c>
      <c r="L185" s="39">
        <v>0</v>
      </c>
      <c r="M185" s="39">
        <v>0</v>
      </c>
      <c r="N185" s="39">
        <v>1</v>
      </c>
      <c r="O185" s="39">
        <v>1</v>
      </c>
      <c r="P185" s="39">
        <v>1</v>
      </c>
      <c r="Q185" s="39">
        <v>0</v>
      </c>
      <c r="R185" s="39">
        <v>0</v>
      </c>
      <c r="S185" s="39">
        <v>0</v>
      </c>
      <c r="T185" s="39">
        <v>0</v>
      </c>
      <c r="U185" s="39">
        <v>0</v>
      </c>
      <c r="V185" s="39">
        <v>0</v>
      </c>
      <c r="W185" s="39">
        <v>0</v>
      </c>
      <c r="X185" s="39">
        <v>0</v>
      </c>
      <c r="Y185" s="39">
        <v>0</v>
      </c>
      <c r="Z185" s="39">
        <v>0</v>
      </c>
    </row>
  </sheetData>
  <phoneticPr fontId="11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20FD8-8ECA-449C-A676-E34D53416BC9}">
  <sheetPr codeName="Sheet3"/>
  <dimension ref="A1:Z35"/>
  <sheetViews>
    <sheetView zoomScale="70" workbookViewId="0">
      <pane xSplit="2" ySplit="1" topLeftCell="F2" activePane="bottomRight" state="frozen"/>
      <selection pane="topRight"/>
      <selection pane="bottomLeft"/>
      <selection pane="bottomRight" activeCell="Z1" sqref="Z1"/>
    </sheetView>
  </sheetViews>
  <sheetFormatPr defaultColWidth="11" defaultRowHeight="16.2" customHeight="1" x14ac:dyDescent="0.3"/>
  <cols>
    <col min="1" max="1" width="11" style="22"/>
    <col min="2" max="2" width="20" style="22" customWidth="1"/>
    <col min="3" max="3" width="15.23046875" style="22" customWidth="1"/>
    <col min="4" max="5" width="11.765625" style="25" customWidth="1"/>
    <col min="6" max="6" width="12.765625" style="25" customWidth="1"/>
    <col min="7" max="10" width="11.765625" style="22" customWidth="1"/>
    <col min="11" max="13" width="11" style="22"/>
    <col min="14" max="15" width="11.765625" style="22" customWidth="1"/>
    <col min="16" max="21" width="11" style="22"/>
    <col min="22" max="22" width="11" style="26"/>
    <col min="23" max="23" width="10.23046875" style="26" customWidth="1"/>
    <col min="24" max="24" width="11" style="22"/>
    <col min="25" max="25" width="13.23046875" style="22" customWidth="1"/>
    <col min="26" max="26" width="13.765625" style="22" customWidth="1"/>
    <col min="27" max="16384" width="11" style="22"/>
  </cols>
  <sheetData>
    <row r="1" spans="1:26" ht="19.95" customHeight="1" x14ac:dyDescent="0.3">
      <c r="A1" s="21" t="s">
        <v>554</v>
      </c>
      <c r="B1" s="21" t="s">
        <v>508</v>
      </c>
      <c r="C1" s="21" t="s">
        <v>23</v>
      </c>
      <c r="D1" s="21" t="s">
        <v>509</v>
      </c>
      <c r="E1" s="21" t="s">
        <v>510</v>
      </c>
      <c r="F1" s="21" t="s">
        <v>511</v>
      </c>
      <c r="G1" s="21" t="s">
        <v>645</v>
      </c>
      <c r="H1" s="21" t="s">
        <v>669</v>
      </c>
      <c r="I1" s="21" t="s">
        <v>640</v>
      </c>
      <c r="J1" s="21" t="s">
        <v>641</v>
      </c>
      <c r="K1" s="21" t="s">
        <v>642</v>
      </c>
      <c r="L1" s="21" t="s">
        <v>643</v>
      </c>
      <c r="M1" s="21" t="s">
        <v>644</v>
      </c>
      <c r="N1" s="21" t="s">
        <v>663</v>
      </c>
      <c r="O1" s="21" t="s">
        <v>664</v>
      </c>
      <c r="P1" s="21" t="s">
        <v>665</v>
      </c>
      <c r="Q1" s="21" t="s">
        <v>666</v>
      </c>
      <c r="R1" s="21" t="s">
        <v>667</v>
      </c>
      <c r="S1" s="21" t="s">
        <v>860</v>
      </c>
      <c r="T1" s="21" t="s">
        <v>559</v>
      </c>
      <c r="U1" s="21" t="s">
        <v>701</v>
      </c>
      <c r="V1" s="21" t="s">
        <v>512</v>
      </c>
      <c r="W1" s="21" t="s">
        <v>27</v>
      </c>
      <c r="Y1" s="22" t="s">
        <v>651</v>
      </c>
      <c r="Z1" s="22" t="s">
        <v>675</v>
      </c>
    </row>
    <row r="2" spans="1:26" ht="16.2" customHeight="1" x14ac:dyDescent="0.3">
      <c r="A2" s="22">
        <v>33000000</v>
      </c>
      <c r="B2" s="22" t="s">
        <v>513</v>
      </c>
      <c r="C2" s="22" t="s">
        <v>514</v>
      </c>
      <c r="D2" s="23">
        <v>10</v>
      </c>
      <c r="E2" s="23">
        <v>0</v>
      </c>
      <c r="F2" s="23">
        <v>0</v>
      </c>
      <c r="G2" s="23">
        <v>0</v>
      </c>
      <c r="H2" s="23">
        <v>1900</v>
      </c>
      <c r="I2" s="23">
        <v>12</v>
      </c>
      <c r="J2" s="23">
        <v>0</v>
      </c>
      <c r="K2" s="23">
        <v>85</v>
      </c>
      <c r="L2" s="23">
        <v>0</v>
      </c>
      <c r="M2" s="23">
        <v>0</v>
      </c>
      <c r="N2" s="23">
        <v>16</v>
      </c>
      <c r="O2" s="23">
        <v>16</v>
      </c>
      <c r="P2" s="23">
        <v>16</v>
      </c>
      <c r="Q2" s="23">
        <v>16</v>
      </c>
      <c r="R2" s="23">
        <v>16</v>
      </c>
      <c r="S2" s="23">
        <v>6</v>
      </c>
      <c r="T2" s="23">
        <v>20000</v>
      </c>
      <c r="U2" s="23">
        <v>1</v>
      </c>
      <c r="V2" s="23">
        <v>1</v>
      </c>
      <c r="W2" s="23" t="s">
        <v>45</v>
      </c>
      <c r="Y2" s="22" t="str" cm="1">
        <f t="array" ref="Y2:Y22">_xlfn._xlws.FILTER($B$2:$B$35,$C$2:$C$35=Y1)</f>
        <v>辉石杖</v>
      </c>
      <c r="Z2" s="22" t="str" cm="1">
        <f t="array" ref="Z2:Z14">_xlfn._xlws.FILTER($B$2:$B$35,$C$2:$C$35=Z1)</f>
        <v>无上远方杖</v>
      </c>
    </row>
    <row r="3" spans="1:26" ht="16.2" customHeight="1" x14ac:dyDescent="0.3">
      <c r="A3" s="22">
        <v>33040000</v>
      </c>
      <c r="B3" s="22" t="s">
        <v>515</v>
      </c>
      <c r="C3" s="22" t="s">
        <v>514</v>
      </c>
      <c r="D3" s="23">
        <v>48</v>
      </c>
      <c r="E3" s="23">
        <v>0</v>
      </c>
      <c r="F3" s="23">
        <v>0</v>
      </c>
      <c r="G3" s="23">
        <v>2200</v>
      </c>
      <c r="H3" s="23">
        <v>2400</v>
      </c>
      <c r="I3" s="23">
        <v>25</v>
      </c>
      <c r="J3" s="23">
        <v>0</v>
      </c>
      <c r="K3" s="23">
        <v>94</v>
      </c>
      <c r="L3" s="23">
        <v>0</v>
      </c>
      <c r="M3" s="23">
        <v>0</v>
      </c>
      <c r="N3" s="23">
        <v>15</v>
      </c>
      <c r="O3" s="23">
        <v>15</v>
      </c>
      <c r="P3" s="23">
        <v>15</v>
      </c>
      <c r="Q3" s="23">
        <v>15</v>
      </c>
      <c r="R3" s="23">
        <v>15</v>
      </c>
      <c r="S3" s="23">
        <v>6</v>
      </c>
      <c r="T3" s="23">
        <v>20000</v>
      </c>
      <c r="U3" s="23">
        <v>1.0900000000000001</v>
      </c>
      <c r="V3" s="23">
        <v>1.1000000000000001</v>
      </c>
      <c r="W3" s="23" t="s">
        <v>105</v>
      </c>
      <c r="Y3" s="22" t="str">
        <v>结晶杖</v>
      </c>
      <c r="Z3" s="22" t="str">
        <v>指头圣印记</v>
      </c>
    </row>
    <row r="4" spans="1:26" ht="16.2" customHeight="1" x14ac:dyDescent="0.3">
      <c r="A4" s="22">
        <v>33050000</v>
      </c>
      <c r="B4" s="22" t="s">
        <v>516</v>
      </c>
      <c r="C4" s="22" t="s">
        <v>514</v>
      </c>
      <c r="D4" s="23">
        <v>14</v>
      </c>
      <c r="E4" s="23">
        <v>14</v>
      </c>
      <c r="F4" s="23">
        <v>0</v>
      </c>
      <c r="G4" s="23">
        <v>0</v>
      </c>
      <c r="H4" s="23">
        <v>1900</v>
      </c>
      <c r="I4" s="23">
        <v>12</v>
      </c>
      <c r="J4" s="23">
        <v>0</v>
      </c>
      <c r="K4" s="23">
        <v>40</v>
      </c>
      <c r="L4" s="23">
        <v>40</v>
      </c>
      <c r="M4" s="23">
        <v>0</v>
      </c>
      <c r="N4" s="23">
        <v>12</v>
      </c>
      <c r="O4" s="23">
        <v>12</v>
      </c>
      <c r="P4" s="23">
        <v>12</v>
      </c>
      <c r="Q4" s="23">
        <v>12</v>
      </c>
      <c r="R4" s="23">
        <v>12</v>
      </c>
      <c r="S4" s="23">
        <v>6</v>
      </c>
      <c r="T4" s="23">
        <v>20010</v>
      </c>
      <c r="U4" s="23">
        <v>0.97</v>
      </c>
      <c r="V4" s="23">
        <v>1.1499999999999999</v>
      </c>
      <c r="W4" s="23" t="s">
        <v>307</v>
      </c>
      <c r="Y4" s="22" t="str">
        <v>格密尔辉石杖</v>
      </c>
      <c r="Z4" s="22" t="str">
        <v>狩猎神祇圣印记</v>
      </c>
    </row>
    <row r="5" spans="1:26" ht="16.2" customHeight="1" x14ac:dyDescent="0.3">
      <c r="A5" s="22">
        <v>33060000</v>
      </c>
      <c r="B5" s="22" t="s">
        <v>517</v>
      </c>
      <c r="C5" s="22" t="s">
        <v>514</v>
      </c>
      <c r="D5" s="23">
        <v>10</v>
      </c>
      <c r="E5" s="23">
        <v>0</v>
      </c>
      <c r="F5" s="23">
        <v>0</v>
      </c>
      <c r="G5" s="23">
        <v>0</v>
      </c>
      <c r="H5" s="23">
        <v>1900</v>
      </c>
      <c r="I5" s="23">
        <v>25</v>
      </c>
      <c r="J5" s="23">
        <v>0</v>
      </c>
      <c r="K5" s="23">
        <v>75</v>
      </c>
      <c r="L5" s="23">
        <v>0</v>
      </c>
      <c r="M5" s="23">
        <v>0</v>
      </c>
      <c r="N5" s="23">
        <v>14</v>
      </c>
      <c r="O5" s="23">
        <v>14</v>
      </c>
      <c r="P5" s="23">
        <v>14</v>
      </c>
      <c r="Q5" s="23">
        <v>14</v>
      </c>
      <c r="R5" s="23">
        <v>14</v>
      </c>
      <c r="S5" s="23">
        <v>6</v>
      </c>
      <c r="T5" s="23">
        <v>20000</v>
      </c>
      <c r="U5" s="23">
        <v>1</v>
      </c>
      <c r="V5" s="23">
        <v>1</v>
      </c>
      <c r="W5" s="23" t="s">
        <v>45</v>
      </c>
      <c r="Y5" s="22" t="str">
        <v>亚人女王杖</v>
      </c>
      <c r="Z5" s="24" t="str">
        <v>巨人圣印记</v>
      </c>
    </row>
    <row r="6" spans="1:26" ht="16.2" customHeight="1" x14ac:dyDescent="0.3">
      <c r="A6" s="22">
        <v>33090000</v>
      </c>
      <c r="B6" s="22" t="s">
        <v>518</v>
      </c>
      <c r="C6" s="22" t="s">
        <v>514</v>
      </c>
      <c r="D6" s="23">
        <v>60</v>
      </c>
      <c r="E6" s="23">
        <v>0</v>
      </c>
      <c r="F6" s="23">
        <v>0</v>
      </c>
      <c r="G6" s="23">
        <v>2200</v>
      </c>
      <c r="H6" s="23">
        <v>2400</v>
      </c>
      <c r="I6" s="23">
        <v>12</v>
      </c>
      <c r="J6" s="23">
        <v>10</v>
      </c>
      <c r="K6" s="23">
        <v>96</v>
      </c>
      <c r="L6" s="23">
        <v>0</v>
      </c>
      <c r="M6" s="23">
        <v>0</v>
      </c>
      <c r="N6" s="23">
        <v>15</v>
      </c>
      <c r="O6" s="23">
        <v>15</v>
      </c>
      <c r="P6" s="23">
        <v>15</v>
      </c>
      <c r="Q6" s="23">
        <v>15</v>
      </c>
      <c r="R6" s="23">
        <v>15</v>
      </c>
      <c r="S6" s="23">
        <v>6</v>
      </c>
      <c r="T6" s="23">
        <v>20000</v>
      </c>
      <c r="U6" s="23">
        <v>1</v>
      </c>
      <c r="V6" s="23">
        <v>1.1000000000000001</v>
      </c>
      <c r="W6" s="23" t="s">
        <v>82</v>
      </c>
      <c r="Y6" s="22" t="str">
        <v>卡利亚权杖</v>
      </c>
      <c r="Z6" s="22" t="str">
        <v>碎石圣印记</v>
      </c>
    </row>
    <row r="7" spans="1:26" ht="16.2" customHeight="1" x14ac:dyDescent="0.3">
      <c r="A7" s="22">
        <v>33120000</v>
      </c>
      <c r="B7" s="22" t="s">
        <v>519</v>
      </c>
      <c r="C7" s="22" t="s">
        <v>514</v>
      </c>
      <c r="D7" s="23">
        <v>12</v>
      </c>
      <c r="E7" s="23">
        <v>0</v>
      </c>
      <c r="F7" s="23">
        <v>0</v>
      </c>
      <c r="G7" s="23">
        <v>0</v>
      </c>
      <c r="H7" s="23">
        <v>1900</v>
      </c>
      <c r="I7" s="23">
        <v>25</v>
      </c>
      <c r="J7" s="23">
        <v>0</v>
      </c>
      <c r="K7" s="23">
        <v>76</v>
      </c>
      <c r="L7" s="23">
        <v>0</v>
      </c>
      <c r="M7" s="23">
        <v>0</v>
      </c>
      <c r="N7" s="23">
        <v>16</v>
      </c>
      <c r="O7" s="23">
        <v>16</v>
      </c>
      <c r="P7" s="23">
        <v>16</v>
      </c>
      <c r="Q7" s="23">
        <v>16</v>
      </c>
      <c r="R7" s="23">
        <v>16</v>
      </c>
      <c r="S7" s="23">
        <v>6</v>
      </c>
      <c r="T7" s="23">
        <v>20000</v>
      </c>
      <c r="U7" s="23">
        <v>1.0900000000000001</v>
      </c>
      <c r="V7" s="23">
        <v>1.2</v>
      </c>
      <c r="W7" s="23" t="s">
        <v>68</v>
      </c>
      <c r="Y7" s="22" t="str">
        <v>挖石杖</v>
      </c>
      <c r="Z7" s="22" t="str">
        <v>爪痕圣印记</v>
      </c>
    </row>
    <row r="8" spans="1:26" ht="16.2" customHeight="1" x14ac:dyDescent="0.3">
      <c r="A8" s="22">
        <v>33130000</v>
      </c>
      <c r="B8" s="22" t="s">
        <v>520</v>
      </c>
      <c r="C8" s="22" t="s">
        <v>514</v>
      </c>
      <c r="D8" s="23">
        <v>16</v>
      </c>
      <c r="E8" s="23">
        <v>0</v>
      </c>
      <c r="F8" s="23">
        <v>0</v>
      </c>
      <c r="G8" s="23">
        <v>0</v>
      </c>
      <c r="H8" s="23">
        <v>1900</v>
      </c>
      <c r="I8" s="23">
        <v>12</v>
      </c>
      <c r="J8" s="23">
        <v>0</v>
      </c>
      <c r="K8" s="23">
        <v>89</v>
      </c>
      <c r="L8" s="23">
        <v>0</v>
      </c>
      <c r="M8" s="23">
        <v>0</v>
      </c>
      <c r="N8" s="23">
        <v>16</v>
      </c>
      <c r="O8" s="23">
        <v>16</v>
      </c>
      <c r="P8" s="23">
        <v>16</v>
      </c>
      <c r="Q8" s="23">
        <v>16</v>
      </c>
      <c r="R8" s="23">
        <v>16</v>
      </c>
      <c r="S8" s="23">
        <v>6</v>
      </c>
      <c r="T8" s="23">
        <v>20000</v>
      </c>
      <c r="U8" s="23">
        <v>1</v>
      </c>
      <c r="V8" s="23">
        <v>1</v>
      </c>
      <c r="W8" s="23" t="s">
        <v>45</v>
      </c>
      <c r="Y8" s="22" t="str">
        <v>观星杖</v>
      </c>
      <c r="Z8" s="22" t="str">
        <v>黄金律法圣印记</v>
      </c>
    </row>
    <row r="9" spans="1:26" ht="16.2" customHeight="1" x14ac:dyDescent="0.3">
      <c r="A9" s="22">
        <v>33170000</v>
      </c>
      <c r="B9" s="22" t="s">
        <v>521</v>
      </c>
      <c r="C9" s="22" t="s">
        <v>514</v>
      </c>
      <c r="D9" s="23">
        <v>22</v>
      </c>
      <c r="E9" s="23">
        <v>0</v>
      </c>
      <c r="F9" s="23">
        <v>0</v>
      </c>
      <c r="G9" s="23">
        <v>0</v>
      </c>
      <c r="H9" s="23">
        <v>1900</v>
      </c>
      <c r="I9" s="23">
        <v>12</v>
      </c>
      <c r="J9" s="23">
        <v>10</v>
      </c>
      <c r="K9" s="23">
        <v>88</v>
      </c>
      <c r="L9" s="23">
        <v>0</v>
      </c>
      <c r="M9" s="23">
        <v>0</v>
      </c>
      <c r="N9" s="23">
        <v>16</v>
      </c>
      <c r="O9" s="23">
        <v>16</v>
      </c>
      <c r="P9" s="23">
        <v>16</v>
      </c>
      <c r="Q9" s="23">
        <v>16</v>
      </c>
      <c r="R9" s="23">
        <v>16</v>
      </c>
      <c r="S9" s="23">
        <v>6</v>
      </c>
      <c r="T9" s="23">
        <v>20000</v>
      </c>
      <c r="U9" s="23">
        <v>0.97</v>
      </c>
      <c r="V9" s="23">
        <v>1.1499999999999999</v>
      </c>
      <c r="W9" s="23" t="s">
        <v>78</v>
      </c>
      <c r="Y9" s="22" t="str">
        <v>卡利亚辉剑杖</v>
      </c>
      <c r="Z9" s="22" t="str">
        <v>黄金树圣印记</v>
      </c>
    </row>
    <row r="10" spans="1:26" ht="16.2" customHeight="1" x14ac:dyDescent="0.3">
      <c r="A10" s="22">
        <v>33180000</v>
      </c>
      <c r="B10" s="22" t="s">
        <v>522</v>
      </c>
      <c r="C10" s="22" t="s">
        <v>514</v>
      </c>
      <c r="D10" s="23">
        <v>18</v>
      </c>
      <c r="E10" s="23">
        <v>18</v>
      </c>
      <c r="F10" s="23">
        <v>0</v>
      </c>
      <c r="G10" s="23">
        <v>0</v>
      </c>
      <c r="H10" s="23">
        <v>1900</v>
      </c>
      <c r="I10" s="23">
        <v>12</v>
      </c>
      <c r="J10" s="23">
        <v>0</v>
      </c>
      <c r="K10" s="23">
        <v>58</v>
      </c>
      <c r="L10" s="23">
        <v>58</v>
      </c>
      <c r="M10" s="23">
        <v>0</v>
      </c>
      <c r="N10" s="23">
        <v>15</v>
      </c>
      <c r="O10" s="23">
        <v>15</v>
      </c>
      <c r="P10" s="23">
        <v>15</v>
      </c>
      <c r="Q10" s="23">
        <v>15</v>
      </c>
      <c r="R10" s="23">
        <v>15</v>
      </c>
      <c r="S10" s="23">
        <v>6</v>
      </c>
      <c r="T10" s="23">
        <v>20010</v>
      </c>
      <c r="U10" s="23">
        <v>1</v>
      </c>
      <c r="V10" s="23">
        <v>1.1000000000000001</v>
      </c>
      <c r="W10" s="23" t="s">
        <v>138</v>
      </c>
      <c r="Y10" s="22" t="str">
        <v>死王子杖</v>
      </c>
      <c r="Z10" s="22" t="str">
        <v>龙飨印记</v>
      </c>
    </row>
    <row r="11" spans="1:26" ht="16.2" customHeight="1" x14ac:dyDescent="0.3">
      <c r="A11" s="22">
        <v>33190000</v>
      </c>
      <c r="B11" s="22" t="s">
        <v>523</v>
      </c>
      <c r="C11" s="22" t="s">
        <v>514</v>
      </c>
      <c r="D11" s="23">
        <v>10</v>
      </c>
      <c r="E11" s="23">
        <v>0</v>
      </c>
      <c r="F11" s="23">
        <v>12</v>
      </c>
      <c r="G11" s="23">
        <v>0</v>
      </c>
      <c r="H11" s="23">
        <v>1900</v>
      </c>
      <c r="I11" s="23">
        <v>12</v>
      </c>
      <c r="J11" s="23">
        <v>0</v>
      </c>
      <c r="K11" s="23">
        <v>30</v>
      </c>
      <c r="L11" s="23">
        <v>0</v>
      </c>
      <c r="M11" s="23">
        <v>70</v>
      </c>
      <c r="N11" s="23">
        <v>12</v>
      </c>
      <c r="O11" s="23">
        <v>12</v>
      </c>
      <c r="P11" s="23">
        <v>12</v>
      </c>
      <c r="Q11" s="23">
        <v>12</v>
      </c>
      <c r="R11" s="23">
        <v>12</v>
      </c>
      <c r="S11" s="23">
        <v>11</v>
      </c>
      <c r="T11" s="23">
        <v>20030</v>
      </c>
      <c r="U11" s="23">
        <v>0.97</v>
      </c>
      <c r="V11" s="23">
        <v>1</v>
      </c>
      <c r="W11" s="23" t="s">
        <v>45</v>
      </c>
      <c r="Y11" s="22" t="str">
        <v>白金杖</v>
      </c>
      <c r="Z11" s="22" t="str">
        <v>癫火圣印记</v>
      </c>
    </row>
    <row r="12" spans="1:26" ht="16.2" customHeight="1" x14ac:dyDescent="0.3">
      <c r="A12" s="22">
        <v>33200000</v>
      </c>
      <c r="B12" s="22" t="s">
        <v>524</v>
      </c>
      <c r="C12" s="22" t="s">
        <v>514</v>
      </c>
      <c r="D12" s="23">
        <v>28</v>
      </c>
      <c r="E12" s="23">
        <v>0</v>
      </c>
      <c r="F12" s="23">
        <v>0</v>
      </c>
      <c r="G12" s="23">
        <v>0</v>
      </c>
      <c r="H12" s="23">
        <v>1900</v>
      </c>
      <c r="I12" s="23">
        <v>12</v>
      </c>
      <c r="J12" s="23">
        <v>0</v>
      </c>
      <c r="K12" s="23">
        <v>91</v>
      </c>
      <c r="L12" s="23">
        <v>0</v>
      </c>
      <c r="M12" s="23">
        <v>0</v>
      </c>
      <c r="N12" s="23">
        <v>16</v>
      </c>
      <c r="O12" s="23">
        <v>16</v>
      </c>
      <c r="P12" s="23">
        <v>16</v>
      </c>
      <c r="Q12" s="23">
        <v>16</v>
      </c>
      <c r="R12" s="23">
        <v>16</v>
      </c>
      <c r="S12" s="23">
        <v>6</v>
      </c>
      <c r="T12" s="23">
        <v>20000</v>
      </c>
      <c r="U12" s="23">
        <v>1</v>
      </c>
      <c r="V12" s="23">
        <v>1</v>
      </c>
      <c r="W12" s="23" t="s">
        <v>45</v>
      </c>
      <c r="Y12" s="22" t="str">
        <v>学院辉石杖</v>
      </c>
      <c r="Z12" s="22" t="str">
        <v>落叶圣印记</v>
      </c>
    </row>
    <row r="13" spans="1:26" ht="16.2" customHeight="1" x14ac:dyDescent="0.3">
      <c r="A13" s="22">
        <v>33210000</v>
      </c>
      <c r="B13" s="22" t="s">
        <v>525</v>
      </c>
      <c r="C13" s="22" t="s">
        <v>514</v>
      </c>
      <c r="D13" s="23">
        <v>24</v>
      </c>
      <c r="E13" s="23">
        <v>0</v>
      </c>
      <c r="F13" s="23">
        <v>0</v>
      </c>
      <c r="G13" s="23">
        <v>0</v>
      </c>
      <c r="H13" s="23">
        <v>1900</v>
      </c>
      <c r="I13" s="23">
        <v>12</v>
      </c>
      <c r="J13" s="23">
        <v>0</v>
      </c>
      <c r="K13" s="23">
        <v>85</v>
      </c>
      <c r="L13" s="23">
        <v>0</v>
      </c>
      <c r="M13" s="23">
        <v>0</v>
      </c>
      <c r="N13" s="23">
        <v>16</v>
      </c>
      <c r="O13" s="23">
        <v>16</v>
      </c>
      <c r="P13" s="23">
        <v>16</v>
      </c>
      <c r="Q13" s="23">
        <v>16</v>
      </c>
      <c r="R13" s="23">
        <v>16</v>
      </c>
      <c r="S13" s="23">
        <v>6</v>
      </c>
      <c r="T13" s="23">
        <v>20000</v>
      </c>
      <c r="U13" s="23">
        <v>1</v>
      </c>
      <c r="V13" s="23">
        <v>1.1499999999999999</v>
      </c>
      <c r="W13" s="23" t="s">
        <v>98</v>
      </c>
      <c r="Y13" s="22" t="str">
        <v>卡利亚辉石杖</v>
      </c>
      <c r="Z13" s="22" t="str">
        <v>火焰骑士圣印记</v>
      </c>
    </row>
    <row r="14" spans="1:26" ht="16.2" customHeight="1" x14ac:dyDescent="0.3">
      <c r="A14" s="22">
        <v>33230000</v>
      </c>
      <c r="B14" s="22" t="s">
        <v>526</v>
      </c>
      <c r="C14" s="22" t="s">
        <v>514</v>
      </c>
      <c r="D14" s="23">
        <v>52</v>
      </c>
      <c r="E14" s="23">
        <v>0</v>
      </c>
      <c r="F14" s="23">
        <v>0</v>
      </c>
      <c r="G14" s="23">
        <v>2200</v>
      </c>
      <c r="H14" s="23">
        <v>2400</v>
      </c>
      <c r="I14" s="23">
        <v>25</v>
      </c>
      <c r="J14" s="23">
        <v>0</v>
      </c>
      <c r="K14" s="23">
        <v>92</v>
      </c>
      <c r="L14" s="23">
        <v>0</v>
      </c>
      <c r="M14" s="23">
        <v>0</v>
      </c>
      <c r="N14" s="23">
        <v>15</v>
      </c>
      <c r="O14" s="23">
        <v>15</v>
      </c>
      <c r="P14" s="23">
        <v>15</v>
      </c>
      <c r="Q14" s="23">
        <v>15</v>
      </c>
      <c r="R14" s="23">
        <v>15</v>
      </c>
      <c r="S14" s="23">
        <v>6</v>
      </c>
      <c r="T14" s="23">
        <v>20000</v>
      </c>
      <c r="U14" s="23">
        <v>1.0449999999999999</v>
      </c>
      <c r="V14" s="23">
        <v>1</v>
      </c>
      <c r="W14" s="23" t="s">
        <v>45</v>
      </c>
      <c r="Y14" s="22" t="str">
        <v>亚兹勒的辉石杖</v>
      </c>
      <c r="Z14" s="22" t="str">
        <v>螺旋树圣印记</v>
      </c>
    </row>
    <row r="15" spans="1:26" ht="16.2" customHeight="1" x14ac:dyDescent="0.3">
      <c r="A15" s="22">
        <v>33240000</v>
      </c>
      <c r="B15" s="22" t="s">
        <v>527</v>
      </c>
      <c r="C15" s="22" t="s">
        <v>514</v>
      </c>
      <c r="D15" s="23">
        <v>52</v>
      </c>
      <c r="E15" s="23">
        <v>0</v>
      </c>
      <c r="F15" s="23">
        <v>0</v>
      </c>
      <c r="G15" s="23">
        <v>2200</v>
      </c>
      <c r="H15" s="23">
        <v>2400</v>
      </c>
      <c r="I15" s="23">
        <v>25</v>
      </c>
      <c r="J15" s="23">
        <v>0</v>
      </c>
      <c r="K15" s="23">
        <v>110</v>
      </c>
      <c r="L15" s="23">
        <v>0</v>
      </c>
      <c r="M15" s="23">
        <v>0</v>
      </c>
      <c r="N15" s="23">
        <v>15</v>
      </c>
      <c r="O15" s="23">
        <v>15</v>
      </c>
      <c r="P15" s="23">
        <v>15</v>
      </c>
      <c r="Q15" s="23">
        <v>15</v>
      </c>
      <c r="R15" s="23">
        <v>15</v>
      </c>
      <c r="S15" s="23">
        <v>6</v>
      </c>
      <c r="T15" s="23">
        <v>20000</v>
      </c>
      <c r="U15" s="23">
        <v>1.0449999999999999</v>
      </c>
      <c r="V15" s="23">
        <v>1</v>
      </c>
      <c r="W15" s="23" t="s">
        <v>45</v>
      </c>
      <c r="Y15" s="22" t="str">
        <v>卢瑟特的辉石杖</v>
      </c>
    </row>
    <row r="16" spans="1:26" ht="16.2" customHeight="1" x14ac:dyDescent="0.3">
      <c r="A16" s="22">
        <v>33250000</v>
      </c>
      <c r="B16" s="22" t="s">
        <v>528</v>
      </c>
      <c r="C16" s="22" t="s">
        <v>514</v>
      </c>
      <c r="D16" s="23">
        <v>18</v>
      </c>
      <c r="E16" s="23">
        <v>0</v>
      </c>
      <c r="F16" s="23">
        <v>0</v>
      </c>
      <c r="G16" s="23">
        <v>0</v>
      </c>
      <c r="H16" s="23">
        <v>3000</v>
      </c>
      <c r="I16" s="23">
        <v>25</v>
      </c>
      <c r="J16" s="23">
        <v>0</v>
      </c>
      <c r="K16" s="23">
        <v>192</v>
      </c>
      <c r="L16" s="23">
        <v>0</v>
      </c>
      <c r="M16" s="23">
        <v>0</v>
      </c>
      <c r="N16" s="23">
        <v>16</v>
      </c>
      <c r="O16" s="23">
        <v>16</v>
      </c>
      <c r="P16" s="23">
        <v>16</v>
      </c>
      <c r="Q16" s="23">
        <v>16</v>
      </c>
      <c r="R16" s="23">
        <v>16</v>
      </c>
      <c r="S16" s="23">
        <v>6</v>
      </c>
      <c r="T16" s="23">
        <v>20000</v>
      </c>
      <c r="U16" s="23">
        <v>1.0900000000000001</v>
      </c>
      <c r="V16" s="23">
        <v>1.3</v>
      </c>
      <c r="W16" s="23" t="s">
        <v>118</v>
      </c>
      <c r="Y16" s="22" t="str">
        <v>陨石杖</v>
      </c>
    </row>
    <row r="17" spans="1:25" ht="16.2" customHeight="1" x14ac:dyDescent="0.3">
      <c r="A17" s="22">
        <v>33260000</v>
      </c>
      <c r="B17" s="22" t="s">
        <v>529</v>
      </c>
      <c r="C17" s="22" t="s">
        <v>514</v>
      </c>
      <c r="D17" s="23">
        <v>0</v>
      </c>
      <c r="E17" s="23">
        <v>12</v>
      </c>
      <c r="F17" s="23">
        <v>0</v>
      </c>
      <c r="G17" s="23">
        <v>0</v>
      </c>
      <c r="H17" s="23">
        <v>1900</v>
      </c>
      <c r="I17" s="23">
        <v>25</v>
      </c>
      <c r="J17" s="23">
        <v>0</v>
      </c>
      <c r="K17" s="23">
        <v>0</v>
      </c>
      <c r="L17" s="23">
        <v>76</v>
      </c>
      <c r="M17" s="23">
        <v>0</v>
      </c>
      <c r="N17" s="23">
        <v>16</v>
      </c>
      <c r="O17" s="23">
        <v>16</v>
      </c>
      <c r="P17" s="23">
        <v>16</v>
      </c>
      <c r="Q17" s="23">
        <v>16</v>
      </c>
      <c r="R17" s="23">
        <v>16</v>
      </c>
      <c r="S17" s="23">
        <v>6</v>
      </c>
      <c r="T17" s="23">
        <v>20020</v>
      </c>
      <c r="U17" s="23">
        <v>1.0900000000000001</v>
      </c>
      <c r="V17" s="23">
        <v>1.2</v>
      </c>
      <c r="W17" s="23" t="s">
        <v>135</v>
      </c>
      <c r="Y17" s="22" t="str">
        <v>罪人杖</v>
      </c>
    </row>
    <row r="18" spans="1:25" ht="16.2" customHeight="1" x14ac:dyDescent="0.3">
      <c r="A18" s="22">
        <v>33270000</v>
      </c>
      <c r="B18" s="22" t="s">
        <v>530</v>
      </c>
      <c r="C18" s="22" t="s">
        <v>514</v>
      </c>
      <c r="D18" s="23">
        <v>48</v>
      </c>
      <c r="E18" s="23">
        <v>0</v>
      </c>
      <c r="F18" s="23">
        <v>0</v>
      </c>
      <c r="G18" s="23">
        <v>2200</v>
      </c>
      <c r="H18" s="23">
        <v>2400</v>
      </c>
      <c r="I18" s="23">
        <v>25</v>
      </c>
      <c r="J18" s="23">
        <v>0</v>
      </c>
      <c r="K18" s="23">
        <v>93</v>
      </c>
      <c r="L18" s="23">
        <v>0</v>
      </c>
      <c r="M18" s="23">
        <v>0</v>
      </c>
      <c r="N18" s="23">
        <v>15</v>
      </c>
      <c r="O18" s="23">
        <v>15</v>
      </c>
      <c r="P18" s="23">
        <v>15</v>
      </c>
      <c r="Q18" s="23">
        <v>15</v>
      </c>
      <c r="R18" s="23">
        <v>15</v>
      </c>
      <c r="S18" s="23">
        <v>6</v>
      </c>
      <c r="T18" s="23">
        <v>20000</v>
      </c>
      <c r="U18" s="23">
        <v>1.0900000000000001</v>
      </c>
      <c r="V18" s="23">
        <v>1.1000000000000001</v>
      </c>
      <c r="W18" s="23" t="s">
        <v>105</v>
      </c>
      <c r="Y18" s="22" t="str">
        <v>腐败结晶杖</v>
      </c>
    </row>
    <row r="19" spans="1:25" ht="16.2" customHeight="1" x14ac:dyDescent="0.3">
      <c r="A19" s="22">
        <v>33280000</v>
      </c>
      <c r="B19" s="22" t="s">
        <v>531</v>
      </c>
      <c r="C19" s="22" t="s">
        <v>514</v>
      </c>
      <c r="D19" s="23">
        <v>14</v>
      </c>
      <c r="E19" s="23">
        <v>0</v>
      </c>
      <c r="F19" s="23">
        <v>0</v>
      </c>
      <c r="G19" s="23">
        <v>0</v>
      </c>
      <c r="H19" s="23">
        <v>1900</v>
      </c>
      <c r="I19" s="23">
        <v>12</v>
      </c>
      <c r="J19" s="23">
        <v>10</v>
      </c>
      <c r="K19" s="23">
        <v>84</v>
      </c>
      <c r="L19" s="23">
        <v>0</v>
      </c>
      <c r="M19" s="23">
        <v>0</v>
      </c>
      <c r="N19" s="23">
        <v>15</v>
      </c>
      <c r="O19" s="23">
        <v>15</v>
      </c>
      <c r="P19" s="23">
        <v>15</v>
      </c>
      <c r="Q19" s="23">
        <v>15</v>
      </c>
      <c r="R19" s="23">
        <v>15</v>
      </c>
      <c r="S19" s="23">
        <v>6</v>
      </c>
      <c r="T19" s="23">
        <v>20000</v>
      </c>
      <c r="U19" s="23">
        <v>0.97</v>
      </c>
      <c r="V19" s="23">
        <v>1.3</v>
      </c>
      <c r="W19" s="23" t="s">
        <v>115</v>
      </c>
      <c r="Y19" s="22" t="str">
        <v>丧失杖</v>
      </c>
    </row>
    <row r="20" spans="1:25" ht="16.2" customHeight="1" x14ac:dyDescent="0.3">
      <c r="A20" s="22">
        <v>33520000</v>
      </c>
      <c r="B20" s="22" t="s">
        <v>308</v>
      </c>
      <c r="C20" s="22" t="s">
        <v>514</v>
      </c>
      <c r="D20" s="23">
        <v>21</v>
      </c>
      <c r="E20" s="23">
        <v>0</v>
      </c>
      <c r="F20" s="23">
        <v>21</v>
      </c>
      <c r="G20" s="23">
        <v>0</v>
      </c>
      <c r="H20" s="23">
        <v>1900</v>
      </c>
      <c r="I20" s="23">
        <v>12</v>
      </c>
      <c r="J20" s="23">
        <v>0</v>
      </c>
      <c r="K20" s="23">
        <v>55</v>
      </c>
      <c r="L20" s="23">
        <v>0</v>
      </c>
      <c r="M20" s="23">
        <v>55</v>
      </c>
      <c r="N20" s="23">
        <v>15</v>
      </c>
      <c r="O20" s="23">
        <v>15</v>
      </c>
      <c r="P20" s="23">
        <v>15</v>
      </c>
      <c r="Q20" s="23">
        <v>15</v>
      </c>
      <c r="R20" s="23">
        <v>15</v>
      </c>
      <c r="S20" s="23">
        <v>6</v>
      </c>
      <c r="T20" s="23">
        <v>20030</v>
      </c>
      <c r="U20" s="23">
        <v>1.03</v>
      </c>
      <c r="V20" s="23">
        <v>1.1499999999999999</v>
      </c>
      <c r="W20" s="23" t="s">
        <v>312</v>
      </c>
      <c r="Y20" s="22" t="str">
        <v>母亲杖</v>
      </c>
    </row>
    <row r="21" spans="1:25" ht="16.2" customHeight="1" x14ac:dyDescent="0.3">
      <c r="A21" s="22">
        <v>33510000</v>
      </c>
      <c r="B21" s="22" t="s">
        <v>532</v>
      </c>
      <c r="C21" s="22" t="s">
        <v>514</v>
      </c>
      <c r="D21" s="23">
        <v>25</v>
      </c>
      <c r="E21" s="23">
        <v>25</v>
      </c>
      <c r="F21" s="23">
        <v>0</v>
      </c>
      <c r="G21" s="23">
        <v>2200</v>
      </c>
      <c r="H21" s="23">
        <v>2400</v>
      </c>
      <c r="I21" s="23">
        <v>12</v>
      </c>
      <c r="J21" s="23">
        <v>0</v>
      </c>
      <c r="K21" s="23">
        <v>46</v>
      </c>
      <c r="L21" s="23">
        <v>46</v>
      </c>
      <c r="M21" s="23">
        <v>0</v>
      </c>
      <c r="N21" s="23">
        <v>12</v>
      </c>
      <c r="O21" s="23">
        <v>12</v>
      </c>
      <c r="P21" s="23">
        <v>12</v>
      </c>
      <c r="Q21" s="23">
        <v>12</v>
      </c>
      <c r="R21" s="23">
        <v>12</v>
      </c>
      <c r="S21" s="23">
        <v>6</v>
      </c>
      <c r="T21" s="23">
        <v>20010</v>
      </c>
      <c r="U21" s="23">
        <v>1.03</v>
      </c>
      <c r="V21" s="23">
        <v>1</v>
      </c>
      <c r="W21" s="23" t="s">
        <v>45</v>
      </c>
      <c r="Y21" s="22" t="str">
        <v>无上远方杖</v>
      </c>
    </row>
    <row r="22" spans="1:25" ht="16.2" customHeight="1" x14ac:dyDescent="0.3">
      <c r="A22" s="22">
        <v>2530000</v>
      </c>
      <c r="B22" s="22" t="s">
        <v>668</v>
      </c>
      <c r="C22" s="22" t="s">
        <v>514</v>
      </c>
      <c r="D22" s="23">
        <v>16</v>
      </c>
      <c r="E22" s="23">
        <v>0</v>
      </c>
      <c r="F22" s="23">
        <v>0</v>
      </c>
      <c r="G22" s="23">
        <v>0</v>
      </c>
      <c r="H22" s="23">
        <v>1300</v>
      </c>
      <c r="I22" s="23">
        <v>10</v>
      </c>
      <c r="J22" s="23">
        <v>39</v>
      </c>
      <c r="K22" s="23">
        <v>47</v>
      </c>
      <c r="L22" s="23">
        <v>0</v>
      </c>
      <c r="M22" s="23">
        <v>0</v>
      </c>
      <c r="N22" s="23">
        <v>0</v>
      </c>
      <c r="O22" s="23">
        <v>4</v>
      </c>
      <c r="P22" s="23">
        <v>0</v>
      </c>
      <c r="Q22" s="23">
        <v>0</v>
      </c>
      <c r="R22" s="23">
        <v>0</v>
      </c>
      <c r="S22" s="23">
        <v>6</v>
      </c>
      <c r="T22" s="23">
        <v>10000</v>
      </c>
      <c r="U22" s="23">
        <v>0.98499999999999999</v>
      </c>
      <c r="V22" s="23">
        <v>1</v>
      </c>
      <c r="W22" s="23" t="s">
        <v>45</v>
      </c>
      <c r="Y22" s="22" t="str">
        <v>卡利亚魔法剑</v>
      </c>
    </row>
    <row r="23" spans="1:25" ht="16.2" customHeight="1" x14ac:dyDescent="0.3">
      <c r="A23" s="22">
        <v>33510000</v>
      </c>
      <c r="B23" s="22" t="s">
        <v>532</v>
      </c>
      <c r="C23" s="22" t="s">
        <v>533</v>
      </c>
      <c r="D23" s="23">
        <v>25</v>
      </c>
      <c r="E23" s="23">
        <v>25</v>
      </c>
      <c r="F23" s="23">
        <v>0</v>
      </c>
      <c r="G23" s="23">
        <v>2200</v>
      </c>
      <c r="H23" s="23">
        <v>2400</v>
      </c>
      <c r="I23" s="23">
        <v>12</v>
      </c>
      <c r="J23" s="23">
        <v>0</v>
      </c>
      <c r="K23" s="23">
        <v>46</v>
      </c>
      <c r="L23" s="23">
        <v>46</v>
      </c>
      <c r="M23" s="23">
        <v>0</v>
      </c>
      <c r="N23" s="23">
        <v>12</v>
      </c>
      <c r="O23" s="23">
        <v>12</v>
      </c>
      <c r="P23" s="23">
        <v>12</v>
      </c>
      <c r="Q23" s="23">
        <v>12</v>
      </c>
      <c r="R23" s="23">
        <v>12</v>
      </c>
      <c r="S23" s="23">
        <v>6</v>
      </c>
      <c r="T23" s="23">
        <v>20010</v>
      </c>
      <c r="U23" s="23">
        <v>1.03</v>
      </c>
      <c r="V23" s="23">
        <v>1</v>
      </c>
      <c r="W23" s="23" t="s">
        <v>45</v>
      </c>
    </row>
    <row r="24" spans="1:25" ht="16.2" customHeight="1" x14ac:dyDescent="0.3">
      <c r="A24" s="22">
        <v>34000000</v>
      </c>
      <c r="B24" s="22" t="s">
        <v>534</v>
      </c>
      <c r="C24" s="22" t="s">
        <v>533</v>
      </c>
      <c r="D24" s="23">
        <v>0</v>
      </c>
      <c r="E24" s="23">
        <v>10</v>
      </c>
      <c r="F24" s="23">
        <v>0</v>
      </c>
      <c r="G24" s="23">
        <v>0</v>
      </c>
      <c r="H24" s="23">
        <v>1900</v>
      </c>
      <c r="I24" s="23">
        <v>15</v>
      </c>
      <c r="J24" s="23">
        <v>0</v>
      </c>
      <c r="K24" s="23">
        <v>0</v>
      </c>
      <c r="L24" s="23">
        <v>83</v>
      </c>
      <c r="M24" s="23">
        <v>0</v>
      </c>
      <c r="N24" s="23">
        <v>16</v>
      </c>
      <c r="O24" s="23">
        <v>16</v>
      </c>
      <c r="P24" s="23">
        <v>16</v>
      </c>
      <c r="Q24" s="23">
        <v>16</v>
      </c>
      <c r="R24" s="23">
        <v>16</v>
      </c>
      <c r="S24" s="23">
        <v>6</v>
      </c>
      <c r="T24" s="23">
        <v>30000</v>
      </c>
      <c r="U24" s="23">
        <v>1</v>
      </c>
      <c r="V24" s="23">
        <v>1</v>
      </c>
      <c r="W24" s="23" t="s">
        <v>45</v>
      </c>
    </row>
    <row r="25" spans="1:25" ht="16.2" customHeight="1" x14ac:dyDescent="0.3">
      <c r="A25" s="22">
        <v>34010000</v>
      </c>
      <c r="B25" s="22" t="s">
        <v>535</v>
      </c>
      <c r="C25" s="22" t="s">
        <v>533</v>
      </c>
      <c r="D25" s="23">
        <v>0</v>
      </c>
      <c r="E25" s="23">
        <v>27</v>
      </c>
      <c r="F25" s="23">
        <v>0</v>
      </c>
      <c r="G25" s="23">
        <v>0</v>
      </c>
      <c r="H25" s="23">
        <v>1900</v>
      </c>
      <c r="I25" s="23">
        <v>15</v>
      </c>
      <c r="J25" s="23">
        <v>0</v>
      </c>
      <c r="K25" s="23">
        <v>0</v>
      </c>
      <c r="L25" s="23">
        <v>85</v>
      </c>
      <c r="M25" s="23">
        <v>0</v>
      </c>
      <c r="N25" s="23">
        <v>16</v>
      </c>
      <c r="O25" s="23">
        <v>16</v>
      </c>
      <c r="P25" s="23">
        <v>16</v>
      </c>
      <c r="Q25" s="23">
        <v>16</v>
      </c>
      <c r="R25" s="23">
        <v>16</v>
      </c>
      <c r="S25" s="23">
        <v>6</v>
      </c>
      <c r="T25" s="23">
        <v>30000</v>
      </c>
      <c r="U25" s="23">
        <v>1</v>
      </c>
      <c r="V25" s="23">
        <v>1.1000000000000001</v>
      </c>
      <c r="W25" s="23" t="s">
        <v>159</v>
      </c>
    </row>
    <row r="26" spans="1:25" ht="16.2" customHeight="1" x14ac:dyDescent="0.3">
      <c r="A26" s="22">
        <v>34020000</v>
      </c>
      <c r="B26" s="24" t="s">
        <v>536</v>
      </c>
      <c r="C26" s="22" t="s">
        <v>533</v>
      </c>
      <c r="D26" s="23">
        <v>0</v>
      </c>
      <c r="E26" s="23">
        <v>14</v>
      </c>
      <c r="F26" s="23">
        <v>0</v>
      </c>
      <c r="G26" s="23">
        <v>0</v>
      </c>
      <c r="H26" s="23">
        <v>1900</v>
      </c>
      <c r="I26" s="23">
        <v>15</v>
      </c>
      <c r="J26" s="23">
        <v>0</v>
      </c>
      <c r="K26" s="23">
        <v>0</v>
      </c>
      <c r="L26" s="23">
        <v>77</v>
      </c>
      <c r="M26" s="23">
        <v>0</v>
      </c>
      <c r="N26" s="23">
        <v>16</v>
      </c>
      <c r="O26" s="23">
        <v>16</v>
      </c>
      <c r="P26" s="23">
        <v>16</v>
      </c>
      <c r="Q26" s="23">
        <v>16</v>
      </c>
      <c r="R26" s="23">
        <v>16</v>
      </c>
      <c r="S26" s="23">
        <v>6</v>
      </c>
      <c r="T26" s="23">
        <v>30000</v>
      </c>
      <c r="U26" s="23">
        <v>1</v>
      </c>
      <c r="V26" s="23">
        <v>1.2</v>
      </c>
      <c r="W26" s="23" t="s">
        <v>149</v>
      </c>
    </row>
    <row r="27" spans="1:25" ht="16.2" customHeight="1" x14ac:dyDescent="0.3">
      <c r="A27" s="22">
        <v>34030000</v>
      </c>
      <c r="B27" s="22" t="s">
        <v>537</v>
      </c>
      <c r="C27" s="22" t="s">
        <v>533</v>
      </c>
      <c r="D27" s="23">
        <v>0</v>
      </c>
      <c r="E27" s="23">
        <v>18</v>
      </c>
      <c r="F27" s="23">
        <v>0</v>
      </c>
      <c r="G27" s="23">
        <v>0</v>
      </c>
      <c r="H27" s="23">
        <v>1900</v>
      </c>
      <c r="I27" s="23">
        <v>15</v>
      </c>
      <c r="J27" s="23">
        <v>0</v>
      </c>
      <c r="K27" s="23">
        <v>0</v>
      </c>
      <c r="L27" s="23">
        <v>81</v>
      </c>
      <c r="M27" s="23">
        <v>0</v>
      </c>
      <c r="N27" s="23">
        <v>16</v>
      </c>
      <c r="O27" s="23">
        <v>16</v>
      </c>
      <c r="P27" s="23">
        <v>16</v>
      </c>
      <c r="Q27" s="23">
        <v>16</v>
      </c>
      <c r="R27" s="23">
        <v>16</v>
      </c>
      <c r="S27" s="23">
        <v>6</v>
      </c>
      <c r="T27" s="23">
        <v>30000</v>
      </c>
      <c r="U27" s="23">
        <v>1</v>
      </c>
      <c r="V27" s="23">
        <v>1.1499999999999999</v>
      </c>
      <c r="W27" s="23" t="s">
        <v>190</v>
      </c>
    </row>
    <row r="28" spans="1:25" ht="16.2" customHeight="1" x14ac:dyDescent="0.3">
      <c r="A28" s="22">
        <v>34040000</v>
      </c>
      <c r="B28" s="22" t="s">
        <v>538</v>
      </c>
      <c r="C28" s="22" t="s">
        <v>533</v>
      </c>
      <c r="D28" s="23">
        <v>0</v>
      </c>
      <c r="E28" s="23">
        <v>10</v>
      </c>
      <c r="F28" s="23">
        <v>0</v>
      </c>
      <c r="G28" s="23">
        <v>0</v>
      </c>
      <c r="H28" s="23">
        <v>1900</v>
      </c>
      <c r="I28" s="23">
        <v>40</v>
      </c>
      <c r="J28" s="23">
        <v>0</v>
      </c>
      <c r="K28" s="23">
        <v>0</v>
      </c>
      <c r="L28" s="23">
        <v>40</v>
      </c>
      <c r="M28" s="23">
        <v>0</v>
      </c>
      <c r="N28" s="23">
        <v>12</v>
      </c>
      <c r="O28" s="23">
        <v>12</v>
      </c>
      <c r="P28" s="23">
        <v>12</v>
      </c>
      <c r="Q28" s="23">
        <v>12</v>
      </c>
      <c r="R28" s="23">
        <v>12</v>
      </c>
      <c r="S28" s="23">
        <v>6</v>
      </c>
      <c r="T28" s="23">
        <v>30020</v>
      </c>
      <c r="U28" s="23">
        <v>1</v>
      </c>
      <c r="V28" s="23">
        <v>1.1000000000000001</v>
      </c>
      <c r="W28" s="23" t="s">
        <v>184</v>
      </c>
    </row>
    <row r="29" spans="1:25" ht="16.2" customHeight="1" x14ac:dyDescent="0.3">
      <c r="A29" s="22">
        <v>34060000</v>
      </c>
      <c r="B29" s="22" t="s">
        <v>37</v>
      </c>
      <c r="C29" s="22" t="s">
        <v>533</v>
      </c>
      <c r="D29" s="23">
        <v>17</v>
      </c>
      <c r="E29" s="23">
        <v>17</v>
      </c>
      <c r="F29" s="23">
        <v>0</v>
      </c>
      <c r="G29" s="23">
        <v>2200</v>
      </c>
      <c r="H29" s="23">
        <v>2400</v>
      </c>
      <c r="I29" s="23">
        <v>0</v>
      </c>
      <c r="J29" s="23">
        <v>0</v>
      </c>
      <c r="K29" s="23">
        <v>53</v>
      </c>
      <c r="L29" s="23">
        <v>53</v>
      </c>
      <c r="M29" s="23">
        <v>0</v>
      </c>
      <c r="N29" s="23">
        <v>12</v>
      </c>
      <c r="O29" s="23">
        <v>12</v>
      </c>
      <c r="P29" s="23">
        <v>12</v>
      </c>
      <c r="Q29" s="23">
        <v>12</v>
      </c>
      <c r="R29" s="23">
        <v>12</v>
      </c>
      <c r="S29" s="23">
        <v>6</v>
      </c>
      <c r="T29" s="23">
        <v>30010</v>
      </c>
      <c r="U29" s="23">
        <v>1</v>
      </c>
      <c r="V29" s="23">
        <v>1.1000000000000001</v>
      </c>
      <c r="W29" s="23" t="s">
        <v>175</v>
      </c>
    </row>
    <row r="30" spans="1:25" ht="16.2" customHeight="1" x14ac:dyDescent="0.3">
      <c r="A30" s="22">
        <v>34070000</v>
      </c>
      <c r="B30" s="22" t="s">
        <v>539</v>
      </c>
      <c r="C30" s="22" t="s">
        <v>533</v>
      </c>
      <c r="D30" s="23">
        <v>0</v>
      </c>
      <c r="E30" s="23">
        <v>40</v>
      </c>
      <c r="F30" s="23">
        <v>0</v>
      </c>
      <c r="G30" s="23">
        <v>2200</v>
      </c>
      <c r="H30" s="23">
        <v>2400</v>
      </c>
      <c r="I30" s="23">
        <v>0</v>
      </c>
      <c r="J30" s="23">
        <v>0</v>
      </c>
      <c r="K30" s="23">
        <v>0</v>
      </c>
      <c r="L30" s="23">
        <v>89</v>
      </c>
      <c r="M30" s="23">
        <v>0</v>
      </c>
      <c r="N30" s="23">
        <v>15</v>
      </c>
      <c r="O30" s="23">
        <v>15</v>
      </c>
      <c r="P30" s="23">
        <v>15</v>
      </c>
      <c r="Q30" s="23">
        <v>15</v>
      </c>
      <c r="R30" s="23">
        <v>15</v>
      </c>
      <c r="S30" s="23">
        <v>6</v>
      </c>
      <c r="T30" s="23">
        <v>30000</v>
      </c>
      <c r="U30" s="23">
        <v>1</v>
      </c>
      <c r="V30" s="23">
        <v>1</v>
      </c>
      <c r="W30" s="23" t="s">
        <v>45</v>
      </c>
    </row>
    <row r="31" spans="1:25" ht="16.2" customHeight="1" x14ac:dyDescent="0.3">
      <c r="A31" s="22">
        <v>34080000</v>
      </c>
      <c r="B31" s="22" t="s">
        <v>540</v>
      </c>
      <c r="C31" s="22" t="s">
        <v>533</v>
      </c>
      <c r="D31" s="23">
        <v>0</v>
      </c>
      <c r="E31" s="23">
        <v>10</v>
      </c>
      <c r="F31" s="23">
        <v>10</v>
      </c>
      <c r="G31" s="23">
        <v>2200</v>
      </c>
      <c r="H31" s="23">
        <v>2400</v>
      </c>
      <c r="I31" s="23">
        <v>0</v>
      </c>
      <c r="J31" s="23">
        <v>0</v>
      </c>
      <c r="K31" s="23">
        <v>0</v>
      </c>
      <c r="L31" s="23">
        <v>30</v>
      </c>
      <c r="M31" s="23">
        <v>75</v>
      </c>
      <c r="N31" s="23">
        <v>12</v>
      </c>
      <c r="O31" s="23">
        <v>12</v>
      </c>
      <c r="P31" s="23">
        <v>12</v>
      </c>
      <c r="Q31" s="23">
        <v>12</v>
      </c>
      <c r="R31" s="23">
        <v>12</v>
      </c>
      <c r="S31" s="23">
        <v>11</v>
      </c>
      <c r="T31" s="23">
        <v>30030</v>
      </c>
      <c r="U31" s="23">
        <v>1</v>
      </c>
      <c r="V31" s="23">
        <v>1.1499999999999999</v>
      </c>
      <c r="W31" s="23" t="s">
        <v>204</v>
      </c>
    </row>
    <row r="32" spans="1:25" ht="16.2" customHeight="1" x14ac:dyDescent="0.3">
      <c r="A32" s="22">
        <v>34090000</v>
      </c>
      <c r="B32" s="22" t="s">
        <v>541</v>
      </c>
      <c r="C32" s="22" t="s">
        <v>533</v>
      </c>
      <c r="D32" s="23">
        <v>0</v>
      </c>
      <c r="E32" s="23">
        <v>0</v>
      </c>
      <c r="F32" s="23">
        <v>0</v>
      </c>
      <c r="G32" s="23">
        <v>2200</v>
      </c>
      <c r="H32" s="23">
        <v>2400</v>
      </c>
      <c r="I32" s="23">
        <v>20</v>
      </c>
      <c r="J32" s="23">
        <v>20</v>
      </c>
      <c r="K32" s="23">
        <v>20</v>
      </c>
      <c r="L32" s="23">
        <v>40</v>
      </c>
      <c r="M32" s="23">
        <v>0</v>
      </c>
      <c r="N32" s="23">
        <v>12</v>
      </c>
      <c r="O32" s="23">
        <v>12</v>
      </c>
      <c r="P32" s="23">
        <v>12</v>
      </c>
      <c r="Q32" s="23">
        <v>12</v>
      </c>
      <c r="R32" s="23">
        <v>12</v>
      </c>
      <c r="S32" s="23">
        <v>6</v>
      </c>
      <c r="T32" s="23">
        <v>30040</v>
      </c>
      <c r="U32" s="23">
        <v>1</v>
      </c>
      <c r="V32" s="23">
        <v>1.2</v>
      </c>
      <c r="W32" s="23" t="s">
        <v>227</v>
      </c>
    </row>
    <row r="33" spans="1:23" ht="16.2" customHeight="1" x14ac:dyDescent="0.3">
      <c r="A33" s="22">
        <v>34500000</v>
      </c>
      <c r="B33" s="22" t="s">
        <v>542</v>
      </c>
      <c r="C33" s="22" t="s">
        <v>533</v>
      </c>
      <c r="D33" s="23">
        <v>0</v>
      </c>
      <c r="E33" s="23">
        <v>27</v>
      </c>
      <c r="F33" s="23">
        <v>0</v>
      </c>
      <c r="G33" s="23">
        <v>0</v>
      </c>
      <c r="H33" s="23">
        <v>1900</v>
      </c>
      <c r="I33" s="23">
        <v>15</v>
      </c>
      <c r="J33" s="23">
        <v>0</v>
      </c>
      <c r="K33" s="23">
        <v>0</v>
      </c>
      <c r="L33" s="23">
        <v>80</v>
      </c>
      <c r="M33" s="23">
        <v>0</v>
      </c>
      <c r="N33" s="23">
        <v>14</v>
      </c>
      <c r="O33" s="23">
        <v>14</v>
      </c>
      <c r="P33" s="23">
        <v>14</v>
      </c>
      <c r="Q33" s="23">
        <v>14</v>
      </c>
      <c r="R33" s="23">
        <v>14</v>
      </c>
      <c r="S33" s="23">
        <v>6</v>
      </c>
      <c r="T33" s="23">
        <v>30000</v>
      </c>
      <c r="U33" s="23">
        <v>1</v>
      </c>
      <c r="V33" s="23">
        <v>1.1499999999999999</v>
      </c>
      <c r="W33" s="23" t="s">
        <v>552</v>
      </c>
    </row>
    <row r="34" spans="1:23" ht="16.2" customHeight="1" x14ac:dyDescent="0.3">
      <c r="A34" s="22">
        <v>34510000</v>
      </c>
      <c r="B34" s="22" t="s">
        <v>543</v>
      </c>
      <c r="C34" s="22" t="s">
        <v>533</v>
      </c>
      <c r="D34" s="23">
        <v>0</v>
      </c>
      <c r="E34" s="23">
        <v>23</v>
      </c>
      <c r="F34" s="23">
        <v>0</v>
      </c>
      <c r="G34" s="23">
        <v>0</v>
      </c>
      <c r="H34" s="23">
        <v>1900</v>
      </c>
      <c r="I34" s="23">
        <v>15</v>
      </c>
      <c r="J34" s="23">
        <v>0</v>
      </c>
      <c r="K34" s="23">
        <v>0</v>
      </c>
      <c r="L34" s="23">
        <v>82</v>
      </c>
      <c r="M34" s="23">
        <v>0</v>
      </c>
      <c r="N34" s="23">
        <v>15</v>
      </c>
      <c r="O34" s="23">
        <v>15</v>
      </c>
      <c r="P34" s="23">
        <v>15</v>
      </c>
      <c r="Q34" s="23">
        <v>15</v>
      </c>
      <c r="R34" s="23">
        <v>15</v>
      </c>
      <c r="S34" s="23">
        <v>6</v>
      </c>
      <c r="T34" s="23">
        <v>30000</v>
      </c>
      <c r="U34" s="23">
        <v>1</v>
      </c>
      <c r="V34" s="23">
        <v>1.1499999999999999</v>
      </c>
      <c r="W34" s="23" t="s">
        <v>384</v>
      </c>
    </row>
    <row r="35" spans="1:23" ht="16.2" customHeight="1" x14ac:dyDescent="0.3">
      <c r="A35" s="22">
        <v>34520000</v>
      </c>
      <c r="B35" s="22" t="s">
        <v>544</v>
      </c>
      <c r="C35" s="22" t="s">
        <v>533</v>
      </c>
      <c r="D35" s="23">
        <v>0</v>
      </c>
      <c r="E35" s="23">
        <v>17</v>
      </c>
      <c r="F35" s="23">
        <v>0</v>
      </c>
      <c r="G35" s="23">
        <v>0</v>
      </c>
      <c r="H35" s="23">
        <v>1900</v>
      </c>
      <c r="I35" s="23">
        <v>15</v>
      </c>
      <c r="J35" s="23">
        <v>0</v>
      </c>
      <c r="K35" s="23">
        <v>0</v>
      </c>
      <c r="L35" s="23">
        <v>76</v>
      </c>
      <c r="M35" s="23">
        <v>0</v>
      </c>
      <c r="N35" s="23">
        <v>16</v>
      </c>
      <c r="O35" s="23">
        <v>16</v>
      </c>
      <c r="P35" s="23">
        <v>16</v>
      </c>
      <c r="Q35" s="23">
        <v>16</v>
      </c>
      <c r="R35" s="23">
        <v>16</v>
      </c>
      <c r="S35" s="23">
        <v>6</v>
      </c>
      <c r="T35" s="23">
        <v>30000</v>
      </c>
      <c r="U35" s="23">
        <v>1</v>
      </c>
      <c r="V35" s="23">
        <v>1.2</v>
      </c>
      <c r="W35" s="23" t="s">
        <v>314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AB13D-8CB0-430A-8E3E-2F7BCCF3CAFB}">
  <dimension ref="A1:F877"/>
  <sheetViews>
    <sheetView workbookViewId="0">
      <selection activeCell="H10" sqref="H10"/>
    </sheetView>
  </sheetViews>
  <sheetFormatPr defaultColWidth="10" defaultRowHeight="16.3" x14ac:dyDescent="0.3"/>
  <cols>
    <col min="1" max="6" width="13.07421875" style="56" customWidth="1"/>
    <col min="7" max="16384" width="10" style="56"/>
  </cols>
  <sheetData>
    <row r="1" spans="1:6" x14ac:dyDescent="0.3">
      <c r="A1" s="56" t="s">
        <v>553</v>
      </c>
      <c r="B1" s="56" t="s">
        <v>658</v>
      </c>
      <c r="C1" s="56" t="s">
        <v>659</v>
      </c>
      <c r="D1" s="56" t="s">
        <v>660</v>
      </c>
      <c r="E1" s="56" t="s">
        <v>661</v>
      </c>
      <c r="F1" s="56" t="s">
        <v>662</v>
      </c>
    </row>
    <row r="2" spans="1:6" x14ac:dyDescent="0.3">
      <c r="A2" s="56">
        <v>0</v>
      </c>
      <c r="B2" s="56">
        <v>1</v>
      </c>
      <c r="C2" s="56">
        <v>1</v>
      </c>
      <c r="D2" s="56">
        <v>1</v>
      </c>
      <c r="E2" s="56">
        <v>1</v>
      </c>
      <c r="F2" s="56">
        <v>1</v>
      </c>
    </row>
    <row r="3" spans="1:6" x14ac:dyDescent="0.3">
      <c r="A3" s="56">
        <v>1</v>
      </c>
      <c r="B3" s="56">
        <v>1.02</v>
      </c>
      <c r="C3" s="56">
        <v>1.02</v>
      </c>
      <c r="D3" s="56">
        <v>1.04</v>
      </c>
      <c r="E3" s="56">
        <v>1.04</v>
      </c>
      <c r="F3" s="56">
        <v>1.04</v>
      </c>
    </row>
    <row r="4" spans="1:6" x14ac:dyDescent="0.3">
      <c r="A4" s="56">
        <v>2</v>
      </c>
      <c r="B4" s="56">
        <v>1.04</v>
      </c>
      <c r="C4" s="56">
        <v>1.04</v>
      </c>
      <c r="D4" s="56">
        <v>1.08</v>
      </c>
      <c r="E4" s="56">
        <v>1.08</v>
      </c>
      <c r="F4" s="56">
        <v>1.08</v>
      </c>
    </row>
    <row r="5" spans="1:6" x14ac:dyDescent="0.3">
      <c r="A5" s="56">
        <v>3</v>
      </c>
      <c r="B5" s="56">
        <v>1.06</v>
      </c>
      <c r="C5" s="56">
        <v>1.06</v>
      </c>
      <c r="D5" s="56">
        <v>1.1200000000000001</v>
      </c>
      <c r="E5" s="56">
        <v>1.1200000000000001</v>
      </c>
      <c r="F5" s="56">
        <v>1.1200000000000001</v>
      </c>
    </row>
    <row r="6" spans="1:6" x14ac:dyDescent="0.3">
      <c r="A6" s="56">
        <v>4</v>
      </c>
      <c r="B6" s="56">
        <v>1.08</v>
      </c>
      <c r="C6" s="56">
        <v>1.08</v>
      </c>
      <c r="D6" s="56">
        <v>1.1599999999999999</v>
      </c>
      <c r="E6" s="56">
        <v>1.1599999999999999</v>
      </c>
      <c r="F6" s="56">
        <v>1.1599999999999999</v>
      </c>
    </row>
    <row r="7" spans="1:6" x14ac:dyDescent="0.3">
      <c r="A7" s="56">
        <v>5</v>
      </c>
      <c r="B7" s="56">
        <v>1.1000000000000001</v>
      </c>
      <c r="C7" s="56">
        <v>1.1000000000000001</v>
      </c>
      <c r="D7" s="56">
        <v>1.2</v>
      </c>
      <c r="E7" s="56">
        <v>1.2</v>
      </c>
      <c r="F7" s="56">
        <v>1.2</v>
      </c>
    </row>
    <row r="8" spans="1:6" x14ac:dyDescent="0.3">
      <c r="A8" s="56">
        <v>6</v>
      </c>
      <c r="B8" s="56">
        <v>1.1200000000000001</v>
      </c>
      <c r="C8" s="56">
        <v>1.1200000000000001</v>
      </c>
      <c r="D8" s="56">
        <v>1.24</v>
      </c>
      <c r="E8" s="56">
        <v>1.24</v>
      </c>
      <c r="F8" s="56">
        <v>1.24</v>
      </c>
    </row>
    <row r="9" spans="1:6" x14ac:dyDescent="0.3">
      <c r="A9" s="56">
        <v>7</v>
      </c>
      <c r="B9" s="56">
        <v>1.1399999999999999</v>
      </c>
      <c r="C9" s="56">
        <v>1.1399999999999999</v>
      </c>
      <c r="D9" s="56">
        <v>1.28</v>
      </c>
      <c r="E9" s="56">
        <v>1.28</v>
      </c>
      <c r="F9" s="56">
        <v>1.28</v>
      </c>
    </row>
    <row r="10" spans="1:6" x14ac:dyDescent="0.3">
      <c r="A10" s="56">
        <v>8</v>
      </c>
      <c r="B10" s="56">
        <v>1.1599999999999999</v>
      </c>
      <c r="C10" s="56">
        <v>1.1599999999999999</v>
      </c>
      <c r="D10" s="56">
        <v>1.32</v>
      </c>
      <c r="E10" s="56">
        <v>1.32</v>
      </c>
      <c r="F10" s="56">
        <v>1.32</v>
      </c>
    </row>
    <row r="11" spans="1:6" x14ac:dyDescent="0.3">
      <c r="A11" s="56">
        <v>9</v>
      </c>
      <c r="B11" s="56">
        <v>1.18</v>
      </c>
      <c r="C11" s="56">
        <v>1.18</v>
      </c>
      <c r="D11" s="56">
        <v>1.36</v>
      </c>
      <c r="E11" s="56">
        <v>1.36</v>
      </c>
      <c r="F11" s="56">
        <v>1.36</v>
      </c>
    </row>
    <row r="12" spans="1:6" x14ac:dyDescent="0.3">
      <c r="A12" s="56">
        <v>10</v>
      </c>
      <c r="B12" s="56">
        <v>1.2</v>
      </c>
      <c r="C12" s="56">
        <v>1.2</v>
      </c>
      <c r="D12" s="56">
        <v>1.4</v>
      </c>
      <c r="E12" s="56">
        <v>1.4</v>
      </c>
      <c r="F12" s="56">
        <v>1.4</v>
      </c>
    </row>
    <row r="13" spans="1:6" x14ac:dyDescent="0.3">
      <c r="A13" s="56">
        <v>11</v>
      </c>
      <c r="B13" s="56">
        <v>1.22</v>
      </c>
      <c r="C13" s="56">
        <v>1.22</v>
      </c>
      <c r="D13" s="56">
        <v>1.43</v>
      </c>
      <c r="E13" s="56">
        <v>1.43</v>
      </c>
      <c r="F13" s="56">
        <v>1.43</v>
      </c>
    </row>
    <row r="14" spans="1:6" x14ac:dyDescent="0.3">
      <c r="A14" s="56">
        <v>12</v>
      </c>
      <c r="B14" s="56">
        <v>1.24</v>
      </c>
      <c r="C14" s="56">
        <v>1.24</v>
      </c>
      <c r="D14" s="56">
        <v>1.46</v>
      </c>
      <c r="E14" s="56">
        <v>1.46</v>
      </c>
      <c r="F14" s="56">
        <v>1.46</v>
      </c>
    </row>
    <row r="15" spans="1:6" x14ac:dyDescent="0.3">
      <c r="A15" s="56">
        <v>13</v>
      </c>
      <c r="B15" s="56">
        <v>1.26</v>
      </c>
      <c r="C15" s="56">
        <v>1.26</v>
      </c>
      <c r="D15" s="56">
        <v>1.49</v>
      </c>
      <c r="E15" s="56">
        <v>1.49</v>
      </c>
      <c r="F15" s="56">
        <v>1.49</v>
      </c>
    </row>
    <row r="16" spans="1:6" x14ac:dyDescent="0.3">
      <c r="A16" s="56">
        <v>14</v>
      </c>
      <c r="B16" s="56">
        <v>1.28</v>
      </c>
      <c r="C16" s="56">
        <v>1.28</v>
      </c>
      <c r="D16" s="56">
        <v>1.52</v>
      </c>
      <c r="E16" s="56">
        <v>1.52</v>
      </c>
      <c r="F16" s="56">
        <v>1.52</v>
      </c>
    </row>
    <row r="17" spans="1:6" x14ac:dyDescent="0.3">
      <c r="A17" s="56">
        <v>15</v>
      </c>
      <c r="B17" s="56">
        <v>1.3</v>
      </c>
      <c r="C17" s="56">
        <v>1.3</v>
      </c>
      <c r="D17" s="56">
        <v>1.55</v>
      </c>
      <c r="E17" s="56">
        <v>1.55</v>
      </c>
      <c r="F17" s="56">
        <v>1.55</v>
      </c>
    </row>
    <row r="18" spans="1:6" x14ac:dyDescent="0.3">
      <c r="A18" s="56">
        <v>16</v>
      </c>
      <c r="B18" s="56">
        <v>1.32</v>
      </c>
      <c r="C18" s="56">
        <v>1.32</v>
      </c>
      <c r="D18" s="56">
        <v>1.58</v>
      </c>
      <c r="E18" s="56">
        <v>1.58</v>
      </c>
      <c r="F18" s="56">
        <v>1.58</v>
      </c>
    </row>
    <row r="19" spans="1:6" x14ac:dyDescent="0.3">
      <c r="A19" s="56">
        <v>17</v>
      </c>
      <c r="B19" s="56">
        <v>1.34</v>
      </c>
      <c r="C19" s="56">
        <v>1.34</v>
      </c>
      <c r="D19" s="56">
        <v>1.61</v>
      </c>
      <c r="E19" s="56">
        <v>1.61</v>
      </c>
      <c r="F19" s="56">
        <v>1.61</v>
      </c>
    </row>
    <row r="20" spans="1:6" x14ac:dyDescent="0.3">
      <c r="A20" s="56">
        <v>18</v>
      </c>
      <c r="B20" s="56">
        <v>1.36</v>
      </c>
      <c r="C20" s="56">
        <v>1.36</v>
      </c>
      <c r="D20" s="56">
        <v>1.64</v>
      </c>
      <c r="E20" s="56">
        <v>1.64</v>
      </c>
      <c r="F20" s="56">
        <v>1.64</v>
      </c>
    </row>
    <row r="21" spans="1:6" x14ac:dyDescent="0.3">
      <c r="A21" s="56">
        <v>19</v>
      </c>
      <c r="B21" s="56">
        <v>1.38</v>
      </c>
      <c r="C21" s="56">
        <v>1.38</v>
      </c>
      <c r="D21" s="56">
        <v>1.67</v>
      </c>
      <c r="E21" s="56">
        <v>1.67</v>
      </c>
      <c r="F21" s="56">
        <v>1.67</v>
      </c>
    </row>
    <row r="22" spans="1:6" x14ac:dyDescent="0.3">
      <c r="A22" s="56">
        <v>20</v>
      </c>
      <c r="B22" s="56">
        <v>1.4</v>
      </c>
      <c r="C22" s="56">
        <v>1.4</v>
      </c>
      <c r="D22" s="56">
        <v>1.7</v>
      </c>
      <c r="E22" s="56">
        <v>1.7</v>
      </c>
      <c r="F22" s="56">
        <v>1.7</v>
      </c>
    </row>
    <row r="23" spans="1:6" x14ac:dyDescent="0.3">
      <c r="A23" s="56">
        <v>21</v>
      </c>
      <c r="B23" s="56">
        <v>1.42</v>
      </c>
      <c r="C23" s="56">
        <v>1.42</v>
      </c>
      <c r="D23" s="56">
        <v>1.72</v>
      </c>
      <c r="E23" s="56">
        <v>1.72</v>
      </c>
      <c r="F23" s="56">
        <v>1.72</v>
      </c>
    </row>
    <row r="24" spans="1:6" x14ac:dyDescent="0.3">
      <c r="A24" s="56">
        <v>22</v>
      </c>
      <c r="B24" s="56">
        <v>1.44</v>
      </c>
      <c r="C24" s="56">
        <v>1.44</v>
      </c>
      <c r="D24" s="56">
        <v>1.74</v>
      </c>
      <c r="E24" s="56">
        <v>1.74</v>
      </c>
      <c r="F24" s="56">
        <v>1.74</v>
      </c>
    </row>
    <row r="25" spans="1:6" x14ac:dyDescent="0.3">
      <c r="A25" s="56">
        <v>23</v>
      </c>
      <c r="B25" s="56">
        <v>1.46</v>
      </c>
      <c r="C25" s="56">
        <v>1.46</v>
      </c>
      <c r="D25" s="56">
        <v>1.76</v>
      </c>
      <c r="E25" s="56">
        <v>1.76</v>
      </c>
      <c r="F25" s="56">
        <v>1.76</v>
      </c>
    </row>
    <row r="26" spans="1:6" x14ac:dyDescent="0.3">
      <c r="A26" s="56">
        <v>24</v>
      </c>
      <c r="B26" s="56">
        <v>1.48</v>
      </c>
      <c r="C26" s="56">
        <v>1.48</v>
      </c>
      <c r="D26" s="56">
        <v>1.78</v>
      </c>
      <c r="E26" s="56">
        <v>1.78</v>
      </c>
      <c r="F26" s="56">
        <v>1.78</v>
      </c>
    </row>
    <row r="27" spans="1:6" x14ac:dyDescent="0.3">
      <c r="A27" s="56">
        <v>25</v>
      </c>
      <c r="B27" s="56">
        <v>1.5</v>
      </c>
      <c r="C27" s="56">
        <v>1.5</v>
      </c>
      <c r="D27" s="56">
        <v>1.8</v>
      </c>
      <c r="E27" s="56">
        <v>1.8</v>
      </c>
      <c r="F27" s="56">
        <v>1.8</v>
      </c>
    </row>
    <row r="28" spans="1:6" x14ac:dyDescent="0.3">
      <c r="A28" s="56">
        <v>100</v>
      </c>
      <c r="B28" s="56">
        <v>1.8</v>
      </c>
      <c r="C28" s="56">
        <v>0</v>
      </c>
      <c r="D28" s="56">
        <v>1</v>
      </c>
      <c r="E28" s="56">
        <v>1</v>
      </c>
      <c r="F28" s="56">
        <v>1</v>
      </c>
    </row>
    <row r="29" spans="1:6" x14ac:dyDescent="0.3">
      <c r="A29" s="56">
        <v>101</v>
      </c>
      <c r="B29" s="56">
        <v>1.85</v>
      </c>
      <c r="C29" s="56">
        <v>0</v>
      </c>
      <c r="D29" s="56">
        <v>1.04</v>
      </c>
      <c r="E29" s="56">
        <v>1.04</v>
      </c>
      <c r="F29" s="56">
        <v>1.04</v>
      </c>
    </row>
    <row r="30" spans="1:6" x14ac:dyDescent="0.3">
      <c r="A30" s="56">
        <v>102</v>
      </c>
      <c r="B30" s="56">
        <v>1.9</v>
      </c>
      <c r="C30" s="56">
        <v>0</v>
      </c>
      <c r="D30" s="56">
        <v>1.08</v>
      </c>
      <c r="E30" s="56">
        <v>1.08</v>
      </c>
      <c r="F30" s="56">
        <v>1.08</v>
      </c>
    </row>
    <row r="31" spans="1:6" x14ac:dyDescent="0.3">
      <c r="A31" s="56">
        <v>103</v>
      </c>
      <c r="B31" s="56">
        <v>1.95</v>
      </c>
      <c r="C31" s="56">
        <v>0</v>
      </c>
      <c r="D31" s="56">
        <v>1.1200000000000001</v>
      </c>
      <c r="E31" s="56">
        <v>1.1200000000000001</v>
      </c>
      <c r="F31" s="56">
        <v>1.1200000000000001</v>
      </c>
    </row>
    <row r="32" spans="1:6" x14ac:dyDescent="0.3">
      <c r="A32" s="56">
        <v>104</v>
      </c>
      <c r="B32" s="56">
        <v>2</v>
      </c>
      <c r="C32" s="56">
        <v>0</v>
      </c>
      <c r="D32" s="56">
        <v>1.1599999999999999</v>
      </c>
      <c r="E32" s="56">
        <v>1.1599999999999999</v>
      </c>
      <c r="F32" s="56">
        <v>1.1599999999999999</v>
      </c>
    </row>
    <row r="33" spans="1:6" x14ac:dyDescent="0.3">
      <c r="A33" s="56">
        <v>105</v>
      </c>
      <c r="B33" s="56">
        <v>2.0499999999999998</v>
      </c>
      <c r="C33" s="56">
        <v>0</v>
      </c>
      <c r="D33" s="56">
        <v>1.2</v>
      </c>
      <c r="E33" s="56">
        <v>1.2</v>
      </c>
      <c r="F33" s="56">
        <v>1.2</v>
      </c>
    </row>
    <row r="34" spans="1:6" x14ac:dyDescent="0.3">
      <c r="A34" s="56">
        <v>106</v>
      </c>
      <c r="B34" s="56">
        <v>2.1</v>
      </c>
      <c r="C34" s="56">
        <v>0</v>
      </c>
      <c r="D34" s="56">
        <v>1.24</v>
      </c>
      <c r="E34" s="56">
        <v>1.24</v>
      </c>
      <c r="F34" s="56">
        <v>1.24</v>
      </c>
    </row>
    <row r="35" spans="1:6" x14ac:dyDescent="0.3">
      <c r="A35" s="56">
        <v>107</v>
      </c>
      <c r="B35" s="56">
        <v>2.15</v>
      </c>
      <c r="C35" s="56">
        <v>0</v>
      </c>
      <c r="D35" s="56">
        <v>1.28</v>
      </c>
      <c r="E35" s="56">
        <v>1.28</v>
      </c>
      <c r="F35" s="56">
        <v>1.28</v>
      </c>
    </row>
    <row r="36" spans="1:6" x14ac:dyDescent="0.3">
      <c r="A36" s="56">
        <v>108</v>
      </c>
      <c r="B36" s="56">
        <v>2.2000000000000002</v>
      </c>
      <c r="C36" s="56">
        <v>0</v>
      </c>
      <c r="D36" s="56">
        <v>1.32</v>
      </c>
      <c r="E36" s="56">
        <v>1.32</v>
      </c>
      <c r="F36" s="56">
        <v>1.32</v>
      </c>
    </row>
    <row r="37" spans="1:6" x14ac:dyDescent="0.3">
      <c r="A37" s="56">
        <v>109</v>
      </c>
      <c r="B37" s="56">
        <v>2.25</v>
      </c>
      <c r="C37" s="56">
        <v>0</v>
      </c>
      <c r="D37" s="56">
        <v>1.36</v>
      </c>
      <c r="E37" s="56">
        <v>1.36</v>
      </c>
      <c r="F37" s="56">
        <v>1.36</v>
      </c>
    </row>
    <row r="38" spans="1:6" x14ac:dyDescent="0.3">
      <c r="A38" s="56">
        <v>110</v>
      </c>
      <c r="B38" s="56">
        <v>2.2999999999999998</v>
      </c>
      <c r="C38" s="56">
        <v>0</v>
      </c>
      <c r="D38" s="56">
        <v>1.4</v>
      </c>
      <c r="E38" s="56">
        <v>1.4</v>
      </c>
      <c r="F38" s="56">
        <v>1.4</v>
      </c>
    </row>
    <row r="39" spans="1:6" x14ac:dyDescent="0.3">
      <c r="A39" s="56">
        <v>111</v>
      </c>
      <c r="B39" s="56">
        <v>2.34</v>
      </c>
      <c r="C39" s="56">
        <v>0</v>
      </c>
      <c r="D39" s="56">
        <v>1.43</v>
      </c>
      <c r="E39" s="56">
        <v>1.43</v>
      </c>
      <c r="F39" s="56">
        <v>1.43</v>
      </c>
    </row>
    <row r="40" spans="1:6" x14ac:dyDescent="0.3">
      <c r="A40" s="56">
        <v>112</v>
      </c>
      <c r="B40" s="56">
        <v>2.38</v>
      </c>
      <c r="C40" s="56">
        <v>0</v>
      </c>
      <c r="D40" s="56">
        <v>1.46</v>
      </c>
      <c r="E40" s="56">
        <v>1.46</v>
      </c>
      <c r="F40" s="56">
        <v>1.46</v>
      </c>
    </row>
    <row r="41" spans="1:6" x14ac:dyDescent="0.3">
      <c r="A41" s="56">
        <v>113</v>
      </c>
      <c r="B41" s="56">
        <v>2.42</v>
      </c>
      <c r="C41" s="56">
        <v>0</v>
      </c>
      <c r="D41" s="56">
        <v>1.49</v>
      </c>
      <c r="E41" s="56">
        <v>1.49</v>
      </c>
      <c r="F41" s="56">
        <v>1.49</v>
      </c>
    </row>
    <row r="42" spans="1:6" x14ac:dyDescent="0.3">
      <c r="A42" s="56">
        <v>114</v>
      </c>
      <c r="B42" s="56">
        <v>2.46</v>
      </c>
      <c r="C42" s="56">
        <v>0</v>
      </c>
      <c r="D42" s="56">
        <v>1.52</v>
      </c>
      <c r="E42" s="56">
        <v>1.52</v>
      </c>
      <c r="F42" s="56">
        <v>1.52</v>
      </c>
    </row>
    <row r="43" spans="1:6" x14ac:dyDescent="0.3">
      <c r="A43" s="56">
        <v>115</v>
      </c>
      <c r="B43" s="56">
        <v>2.5</v>
      </c>
      <c r="C43" s="56">
        <v>0</v>
      </c>
      <c r="D43" s="56">
        <v>1.55</v>
      </c>
      <c r="E43" s="56">
        <v>1.55</v>
      </c>
      <c r="F43" s="56">
        <v>1.55</v>
      </c>
    </row>
    <row r="44" spans="1:6" x14ac:dyDescent="0.3">
      <c r="A44" s="56">
        <v>116</v>
      </c>
      <c r="B44" s="56">
        <v>2.54</v>
      </c>
      <c r="C44" s="56">
        <v>0</v>
      </c>
      <c r="D44" s="56">
        <v>1.58</v>
      </c>
      <c r="E44" s="56">
        <v>1.58</v>
      </c>
      <c r="F44" s="56">
        <v>1.58</v>
      </c>
    </row>
    <row r="45" spans="1:6" x14ac:dyDescent="0.3">
      <c r="A45" s="56">
        <v>117</v>
      </c>
      <c r="B45" s="56">
        <v>2.58</v>
      </c>
      <c r="C45" s="56">
        <v>0</v>
      </c>
      <c r="D45" s="56">
        <v>1.61</v>
      </c>
      <c r="E45" s="56">
        <v>1.61</v>
      </c>
      <c r="F45" s="56">
        <v>1.61</v>
      </c>
    </row>
    <row r="46" spans="1:6" x14ac:dyDescent="0.3">
      <c r="A46" s="56">
        <v>118</v>
      </c>
      <c r="B46" s="56">
        <v>2.62</v>
      </c>
      <c r="C46" s="56">
        <v>0</v>
      </c>
      <c r="D46" s="56">
        <v>1.64</v>
      </c>
      <c r="E46" s="56">
        <v>1.64</v>
      </c>
      <c r="F46" s="56">
        <v>1.64</v>
      </c>
    </row>
    <row r="47" spans="1:6" x14ac:dyDescent="0.3">
      <c r="A47" s="56">
        <v>119</v>
      </c>
      <c r="B47" s="56">
        <v>2.66</v>
      </c>
      <c r="C47" s="56">
        <v>0</v>
      </c>
      <c r="D47" s="56">
        <v>1.67</v>
      </c>
      <c r="E47" s="56">
        <v>1.67</v>
      </c>
      <c r="F47" s="56">
        <v>1.67</v>
      </c>
    </row>
    <row r="48" spans="1:6" x14ac:dyDescent="0.3">
      <c r="A48" s="56">
        <v>120</v>
      </c>
      <c r="B48" s="56">
        <v>2.7</v>
      </c>
      <c r="C48" s="56">
        <v>0</v>
      </c>
      <c r="D48" s="56">
        <v>1.7</v>
      </c>
      <c r="E48" s="56">
        <v>1.7</v>
      </c>
      <c r="F48" s="56">
        <v>1.7</v>
      </c>
    </row>
    <row r="49" spans="1:6" x14ac:dyDescent="0.3">
      <c r="A49" s="56">
        <v>121</v>
      </c>
      <c r="B49" s="56">
        <v>2.72</v>
      </c>
      <c r="C49" s="56">
        <v>0</v>
      </c>
      <c r="D49" s="56">
        <v>1.72</v>
      </c>
      <c r="E49" s="56">
        <v>1.72</v>
      </c>
      <c r="F49" s="56">
        <v>1.72</v>
      </c>
    </row>
    <row r="50" spans="1:6" x14ac:dyDescent="0.3">
      <c r="A50" s="56">
        <v>122</v>
      </c>
      <c r="B50" s="56">
        <v>2.74</v>
      </c>
      <c r="C50" s="56">
        <v>0</v>
      </c>
      <c r="D50" s="56">
        <v>1.74</v>
      </c>
      <c r="E50" s="56">
        <v>1.74</v>
      </c>
      <c r="F50" s="56">
        <v>1.74</v>
      </c>
    </row>
    <row r="51" spans="1:6" x14ac:dyDescent="0.3">
      <c r="A51" s="56">
        <v>123</v>
      </c>
      <c r="B51" s="56">
        <v>2.76</v>
      </c>
      <c r="C51" s="56">
        <v>0</v>
      </c>
      <c r="D51" s="56">
        <v>1.76</v>
      </c>
      <c r="E51" s="56">
        <v>1.76</v>
      </c>
      <c r="F51" s="56">
        <v>1.76</v>
      </c>
    </row>
    <row r="52" spans="1:6" x14ac:dyDescent="0.3">
      <c r="A52" s="56">
        <v>124</v>
      </c>
      <c r="B52" s="56">
        <v>2.78</v>
      </c>
      <c r="C52" s="56">
        <v>0</v>
      </c>
      <c r="D52" s="56">
        <v>1.78</v>
      </c>
      <c r="E52" s="56">
        <v>1.78</v>
      </c>
      <c r="F52" s="56">
        <v>1.78</v>
      </c>
    </row>
    <row r="53" spans="1:6" x14ac:dyDescent="0.3">
      <c r="A53" s="56">
        <v>125</v>
      </c>
      <c r="B53" s="56">
        <v>2.8</v>
      </c>
      <c r="C53" s="56">
        <v>0</v>
      </c>
      <c r="D53" s="56">
        <v>1.8</v>
      </c>
      <c r="E53" s="56">
        <v>1.8</v>
      </c>
      <c r="F53" s="56">
        <v>1.8</v>
      </c>
    </row>
    <row r="54" spans="1:6" x14ac:dyDescent="0.3">
      <c r="A54" s="56">
        <v>200</v>
      </c>
      <c r="B54" s="56">
        <v>0.5</v>
      </c>
      <c r="C54" s="56">
        <v>1.8</v>
      </c>
      <c r="D54" s="56">
        <v>1</v>
      </c>
      <c r="E54" s="56">
        <v>1</v>
      </c>
      <c r="F54" s="56">
        <v>1</v>
      </c>
    </row>
    <row r="55" spans="1:6" x14ac:dyDescent="0.3">
      <c r="A55" s="56">
        <v>201</v>
      </c>
      <c r="B55" s="56">
        <v>0.53</v>
      </c>
      <c r="C55" s="56">
        <v>1.85</v>
      </c>
      <c r="D55" s="56">
        <v>1.04</v>
      </c>
      <c r="E55" s="56">
        <v>1.04</v>
      </c>
      <c r="F55" s="56">
        <v>1.04</v>
      </c>
    </row>
    <row r="56" spans="1:6" x14ac:dyDescent="0.3">
      <c r="A56" s="56">
        <v>202</v>
      </c>
      <c r="B56" s="56">
        <v>0.56000000000000005</v>
      </c>
      <c r="C56" s="56">
        <v>1.9</v>
      </c>
      <c r="D56" s="56">
        <v>1.08</v>
      </c>
      <c r="E56" s="56">
        <v>1.08</v>
      </c>
      <c r="F56" s="56">
        <v>1.08</v>
      </c>
    </row>
    <row r="57" spans="1:6" x14ac:dyDescent="0.3">
      <c r="A57" s="56">
        <v>203</v>
      </c>
      <c r="B57" s="56">
        <v>0.59</v>
      </c>
      <c r="C57" s="56">
        <v>1.95</v>
      </c>
      <c r="D57" s="56">
        <v>1.1200000000000001</v>
      </c>
      <c r="E57" s="56">
        <v>1.1200000000000001</v>
      </c>
      <c r="F57" s="56">
        <v>1.1200000000000001</v>
      </c>
    </row>
    <row r="58" spans="1:6" x14ac:dyDescent="0.3">
      <c r="A58" s="56">
        <v>204</v>
      </c>
      <c r="B58" s="56">
        <v>0.62</v>
      </c>
      <c r="C58" s="56">
        <v>2</v>
      </c>
      <c r="D58" s="56">
        <v>1.1599999999999999</v>
      </c>
      <c r="E58" s="56">
        <v>1.1599999999999999</v>
      </c>
      <c r="F58" s="56">
        <v>1.1599999999999999</v>
      </c>
    </row>
    <row r="59" spans="1:6" x14ac:dyDescent="0.3">
      <c r="A59" s="56">
        <v>205</v>
      </c>
      <c r="B59" s="56">
        <v>0.65</v>
      </c>
      <c r="C59" s="56">
        <v>2.0499999999999998</v>
      </c>
      <c r="D59" s="56">
        <v>1.2</v>
      </c>
      <c r="E59" s="56">
        <v>1.2</v>
      </c>
      <c r="F59" s="56">
        <v>1.2</v>
      </c>
    </row>
    <row r="60" spans="1:6" x14ac:dyDescent="0.3">
      <c r="A60" s="56">
        <v>206</v>
      </c>
      <c r="B60" s="56">
        <v>0.68</v>
      </c>
      <c r="C60" s="56">
        <v>2.1</v>
      </c>
      <c r="D60" s="56">
        <v>1.24</v>
      </c>
      <c r="E60" s="56">
        <v>1.24</v>
      </c>
      <c r="F60" s="56">
        <v>1.24</v>
      </c>
    </row>
    <row r="61" spans="1:6" x14ac:dyDescent="0.3">
      <c r="A61" s="56">
        <v>207</v>
      </c>
      <c r="B61" s="56">
        <v>0.71</v>
      </c>
      <c r="C61" s="56">
        <v>2.15</v>
      </c>
      <c r="D61" s="56">
        <v>1.28</v>
      </c>
      <c r="E61" s="56">
        <v>1.28</v>
      </c>
      <c r="F61" s="56">
        <v>1.28</v>
      </c>
    </row>
    <row r="62" spans="1:6" x14ac:dyDescent="0.3">
      <c r="A62" s="56">
        <v>208</v>
      </c>
      <c r="B62" s="56">
        <v>0.74</v>
      </c>
      <c r="C62" s="56">
        <v>2.2000000000000002</v>
      </c>
      <c r="D62" s="56">
        <v>1.32</v>
      </c>
      <c r="E62" s="56">
        <v>1.32</v>
      </c>
      <c r="F62" s="56">
        <v>1.32</v>
      </c>
    </row>
    <row r="63" spans="1:6" x14ac:dyDescent="0.3">
      <c r="A63" s="56">
        <v>209</v>
      </c>
      <c r="B63" s="56">
        <v>0.77</v>
      </c>
      <c r="C63" s="56">
        <v>2.25</v>
      </c>
      <c r="D63" s="56">
        <v>1.36</v>
      </c>
      <c r="E63" s="56">
        <v>1.36</v>
      </c>
      <c r="F63" s="56">
        <v>1.36</v>
      </c>
    </row>
    <row r="64" spans="1:6" x14ac:dyDescent="0.3">
      <c r="A64" s="56">
        <v>210</v>
      </c>
      <c r="B64" s="56">
        <v>0.8</v>
      </c>
      <c r="C64" s="56">
        <v>2.2999999999999998</v>
      </c>
      <c r="D64" s="56">
        <v>1.4</v>
      </c>
      <c r="E64" s="56">
        <v>1.4</v>
      </c>
      <c r="F64" s="56">
        <v>1.4</v>
      </c>
    </row>
    <row r="65" spans="1:6" x14ac:dyDescent="0.3">
      <c r="A65" s="56">
        <v>211</v>
      </c>
      <c r="B65" s="56">
        <v>0.82</v>
      </c>
      <c r="C65" s="56">
        <v>2.34</v>
      </c>
      <c r="D65" s="56">
        <v>1.43</v>
      </c>
      <c r="E65" s="56">
        <v>1.43</v>
      </c>
      <c r="F65" s="56">
        <v>1.43</v>
      </c>
    </row>
    <row r="66" spans="1:6" x14ac:dyDescent="0.3">
      <c r="A66" s="56">
        <v>212</v>
      </c>
      <c r="B66" s="56">
        <v>0.84</v>
      </c>
      <c r="C66" s="56">
        <v>2.38</v>
      </c>
      <c r="D66" s="56">
        <v>1.46</v>
      </c>
      <c r="E66" s="56">
        <v>1.46</v>
      </c>
      <c r="F66" s="56">
        <v>1.46</v>
      </c>
    </row>
    <row r="67" spans="1:6" x14ac:dyDescent="0.3">
      <c r="A67" s="56">
        <v>213</v>
      </c>
      <c r="B67" s="56">
        <v>0.86</v>
      </c>
      <c r="C67" s="56">
        <v>2.42</v>
      </c>
      <c r="D67" s="56">
        <v>1.49</v>
      </c>
      <c r="E67" s="56">
        <v>1.49</v>
      </c>
      <c r="F67" s="56">
        <v>1.49</v>
      </c>
    </row>
    <row r="68" spans="1:6" x14ac:dyDescent="0.3">
      <c r="A68" s="56">
        <v>214</v>
      </c>
      <c r="B68" s="56">
        <v>0.88</v>
      </c>
      <c r="C68" s="56">
        <v>2.46</v>
      </c>
      <c r="D68" s="56">
        <v>1.52</v>
      </c>
      <c r="E68" s="56">
        <v>1.52</v>
      </c>
      <c r="F68" s="56">
        <v>1.52</v>
      </c>
    </row>
    <row r="69" spans="1:6" x14ac:dyDescent="0.3">
      <c r="A69" s="56">
        <v>215</v>
      </c>
      <c r="B69" s="56">
        <v>0.9</v>
      </c>
      <c r="C69" s="56">
        <v>2.5</v>
      </c>
      <c r="D69" s="56">
        <v>1.55</v>
      </c>
      <c r="E69" s="56">
        <v>1.55</v>
      </c>
      <c r="F69" s="56">
        <v>1.55</v>
      </c>
    </row>
    <row r="70" spans="1:6" x14ac:dyDescent="0.3">
      <c r="A70" s="56">
        <v>216</v>
      </c>
      <c r="B70" s="56">
        <v>0.92</v>
      </c>
      <c r="C70" s="56">
        <v>2.54</v>
      </c>
      <c r="D70" s="56">
        <v>1.58</v>
      </c>
      <c r="E70" s="56">
        <v>1.58</v>
      </c>
      <c r="F70" s="56">
        <v>1.58</v>
      </c>
    </row>
    <row r="71" spans="1:6" x14ac:dyDescent="0.3">
      <c r="A71" s="56">
        <v>217</v>
      </c>
      <c r="B71" s="56">
        <v>0.94</v>
      </c>
      <c r="C71" s="56">
        <v>2.58</v>
      </c>
      <c r="D71" s="56">
        <v>1.61</v>
      </c>
      <c r="E71" s="56">
        <v>1.61</v>
      </c>
      <c r="F71" s="56">
        <v>1.61</v>
      </c>
    </row>
    <row r="72" spans="1:6" x14ac:dyDescent="0.3">
      <c r="A72" s="56">
        <v>218</v>
      </c>
      <c r="B72" s="56">
        <v>0.96</v>
      </c>
      <c r="C72" s="56">
        <v>2.62</v>
      </c>
      <c r="D72" s="56">
        <v>1.64</v>
      </c>
      <c r="E72" s="56">
        <v>1.64</v>
      </c>
      <c r="F72" s="56">
        <v>1.64</v>
      </c>
    </row>
    <row r="73" spans="1:6" x14ac:dyDescent="0.3">
      <c r="A73" s="56">
        <v>219</v>
      </c>
      <c r="B73" s="56">
        <v>0.98</v>
      </c>
      <c r="C73" s="56">
        <v>2.66</v>
      </c>
      <c r="D73" s="56">
        <v>1.67</v>
      </c>
      <c r="E73" s="56">
        <v>1.67</v>
      </c>
      <c r="F73" s="56">
        <v>1.67</v>
      </c>
    </row>
    <row r="74" spans="1:6" x14ac:dyDescent="0.3">
      <c r="A74" s="56">
        <v>220</v>
      </c>
      <c r="B74" s="56">
        <v>1</v>
      </c>
      <c r="C74" s="56">
        <v>2.7</v>
      </c>
      <c r="D74" s="56">
        <v>1.7</v>
      </c>
      <c r="E74" s="56">
        <v>1.7</v>
      </c>
      <c r="F74" s="56">
        <v>1.7</v>
      </c>
    </row>
    <row r="75" spans="1:6" x14ac:dyDescent="0.3">
      <c r="A75" s="56">
        <v>221</v>
      </c>
      <c r="B75" s="56">
        <v>1.06</v>
      </c>
      <c r="C75" s="56">
        <v>2.72</v>
      </c>
      <c r="D75" s="56">
        <v>1.72</v>
      </c>
      <c r="E75" s="56">
        <v>1.72</v>
      </c>
      <c r="F75" s="56">
        <v>1.72</v>
      </c>
    </row>
    <row r="76" spans="1:6" x14ac:dyDescent="0.3">
      <c r="A76" s="56">
        <v>222</v>
      </c>
      <c r="B76" s="56">
        <v>1.1200000000000001</v>
      </c>
      <c r="C76" s="56">
        <v>2.74</v>
      </c>
      <c r="D76" s="56">
        <v>1.74</v>
      </c>
      <c r="E76" s="56">
        <v>1.74</v>
      </c>
      <c r="F76" s="56">
        <v>1.74</v>
      </c>
    </row>
    <row r="77" spans="1:6" x14ac:dyDescent="0.3">
      <c r="A77" s="56">
        <v>223</v>
      </c>
      <c r="B77" s="56">
        <v>1.18</v>
      </c>
      <c r="C77" s="56">
        <v>2.76</v>
      </c>
      <c r="D77" s="56">
        <v>1.76</v>
      </c>
      <c r="E77" s="56">
        <v>1.76</v>
      </c>
      <c r="F77" s="56">
        <v>1.76</v>
      </c>
    </row>
    <row r="78" spans="1:6" x14ac:dyDescent="0.3">
      <c r="A78" s="56">
        <v>224</v>
      </c>
      <c r="B78" s="56">
        <v>1.24</v>
      </c>
      <c r="C78" s="56">
        <v>2.78</v>
      </c>
      <c r="D78" s="56">
        <v>1.78</v>
      </c>
      <c r="E78" s="56">
        <v>1.78</v>
      </c>
      <c r="F78" s="56">
        <v>1.78</v>
      </c>
    </row>
    <row r="79" spans="1:6" x14ac:dyDescent="0.3">
      <c r="A79" s="56">
        <v>225</v>
      </c>
      <c r="B79" s="56">
        <v>1.3</v>
      </c>
      <c r="C79" s="56">
        <v>2.8</v>
      </c>
      <c r="D79" s="56">
        <v>1.8</v>
      </c>
      <c r="E79" s="56">
        <v>1.8</v>
      </c>
      <c r="F79" s="56">
        <v>1.8</v>
      </c>
    </row>
    <row r="80" spans="1:6" x14ac:dyDescent="0.3">
      <c r="A80" s="56">
        <v>300</v>
      </c>
      <c r="B80" s="56">
        <v>1</v>
      </c>
      <c r="C80" s="56">
        <v>1</v>
      </c>
      <c r="D80" s="56">
        <v>1</v>
      </c>
      <c r="E80" s="56">
        <v>1</v>
      </c>
      <c r="F80" s="56">
        <v>1</v>
      </c>
    </row>
    <row r="81" spans="1:6" x14ac:dyDescent="0.3">
      <c r="A81" s="56">
        <v>301</v>
      </c>
      <c r="B81" s="56">
        <v>1.05</v>
      </c>
      <c r="C81" s="56">
        <v>1.05</v>
      </c>
      <c r="D81" s="56">
        <v>1.04</v>
      </c>
      <c r="E81" s="56">
        <v>1.04</v>
      </c>
      <c r="F81" s="56">
        <v>1.04</v>
      </c>
    </row>
    <row r="82" spans="1:6" x14ac:dyDescent="0.3">
      <c r="A82" s="56">
        <v>302</v>
      </c>
      <c r="B82" s="56">
        <v>1.1000000000000001</v>
      </c>
      <c r="C82" s="56">
        <v>1.1000000000000001</v>
      </c>
      <c r="D82" s="56">
        <v>1.08</v>
      </c>
      <c r="E82" s="56">
        <v>1.08</v>
      </c>
      <c r="F82" s="56">
        <v>1.08</v>
      </c>
    </row>
    <row r="83" spans="1:6" x14ac:dyDescent="0.3">
      <c r="A83" s="56">
        <v>303</v>
      </c>
      <c r="B83" s="56">
        <v>1.1499999999999999</v>
      </c>
      <c r="C83" s="56">
        <v>1.1499999999999999</v>
      </c>
      <c r="D83" s="56">
        <v>1.1200000000000001</v>
      </c>
      <c r="E83" s="56">
        <v>1.1200000000000001</v>
      </c>
      <c r="F83" s="56">
        <v>1.1200000000000001</v>
      </c>
    </row>
    <row r="84" spans="1:6" x14ac:dyDescent="0.3">
      <c r="A84" s="56">
        <v>304</v>
      </c>
      <c r="B84" s="56">
        <v>1.2</v>
      </c>
      <c r="C84" s="56">
        <v>1.2</v>
      </c>
      <c r="D84" s="56">
        <v>1.1599999999999999</v>
      </c>
      <c r="E84" s="56">
        <v>1.1599999999999999</v>
      </c>
      <c r="F84" s="56">
        <v>1.1599999999999999</v>
      </c>
    </row>
    <row r="85" spans="1:6" x14ac:dyDescent="0.3">
      <c r="A85" s="56">
        <v>305</v>
      </c>
      <c r="B85" s="56">
        <v>1.25</v>
      </c>
      <c r="C85" s="56">
        <v>1.25</v>
      </c>
      <c r="D85" s="56">
        <v>1.2</v>
      </c>
      <c r="E85" s="56">
        <v>1.2</v>
      </c>
      <c r="F85" s="56">
        <v>1.2</v>
      </c>
    </row>
    <row r="86" spans="1:6" x14ac:dyDescent="0.3">
      <c r="A86" s="56">
        <v>306</v>
      </c>
      <c r="B86" s="56">
        <v>1.3</v>
      </c>
      <c r="C86" s="56">
        <v>1.3</v>
      </c>
      <c r="D86" s="56">
        <v>1.24</v>
      </c>
      <c r="E86" s="56">
        <v>1.24</v>
      </c>
      <c r="F86" s="56">
        <v>1.24</v>
      </c>
    </row>
    <row r="87" spans="1:6" x14ac:dyDescent="0.3">
      <c r="A87" s="56">
        <v>307</v>
      </c>
      <c r="B87" s="56">
        <v>1.35</v>
      </c>
      <c r="C87" s="56">
        <v>1.35</v>
      </c>
      <c r="D87" s="56">
        <v>1.28</v>
      </c>
      <c r="E87" s="56">
        <v>1.28</v>
      </c>
      <c r="F87" s="56">
        <v>1.28</v>
      </c>
    </row>
    <row r="88" spans="1:6" x14ac:dyDescent="0.3">
      <c r="A88" s="56">
        <v>308</v>
      </c>
      <c r="B88" s="56">
        <v>1.4</v>
      </c>
      <c r="C88" s="56">
        <v>1.4</v>
      </c>
      <c r="D88" s="56">
        <v>1.32</v>
      </c>
      <c r="E88" s="56">
        <v>1.32</v>
      </c>
      <c r="F88" s="56">
        <v>1.32</v>
      </c>
    </row>
    <row r="89" spans="1:6" x14ac:dyDescent="0.3">
      <c r="A89" s="56">
        <v>309</v>
      </c>
      <c r="B89" s="56">
        <v>1.45</v>
      </c>
      <c r="C89" s="56">
        <v>1.45</v>
      </c>
      <c r="D89" s="56">
        <v>1.36</v>
      </c>
      <c r="E89" s="56">
        <v>1.36</v>
      </c>
      <c r="F89" s="56">
        <v>1.36</v>
      </c>
    </row>
    <row r="90" spans="1:6" x14ac:dyDescent="0.3">
      <c r="A90" s="56">
        <v>310</v>
      </c>
      <c r="B90" s="56">
        <v>1.5</v>
      </c>
      <c r="C90" s="56">
        <v>1.5</v>
      </c>
      <c r="D90" s="56">
        <v>1.4</v>
      </c>
      <c r="E90" s="56">
        <v>1.4</v>
      </c>
      <c r="F90" s="56">
        <v>1.4</v>
      </c>
    </row>
    <row r="91" spans="1:6" x14ac:dyDescent="0.3">
      <c r="A91" s="56">
        <v>311</v>
      </c>
      <c r="B91" s="56">
        <v>1.53</v>
      </c>
      <c r="C91" s="56">
        <v>1.53</v>
      </c>
      <c r="D91" s="56">
        <v>1.43</v>
      </c>
      <c r="E91" s="56">
        <v>1.43</v>
      </c>
      <c r="F91" s="56">
        <v>1.43</v>
      </c>
    </row>
    <row r="92" spans="1:6" x14ac:dyDescent="0.3">
      <c r="A92" s="56">
        <v>312</v>
      </c>
      <c r="B92" s="56">
        <v>1.56</v>
      </c>
      <c r="C92" s="56">
        <v>1.56</v>
      </c>
      <c r="D92" s="56">
        <v>1.46</v>
      </c>
      <c r="E92" s="56">
        <v>1.46</v>
      </c>
      <c r="F92" s="56">
        <v>1.46</v>
      </c>
    </row>
    <row r="93" spans="1:6" x14ac:dyDescent="0.3">
      <c r="A93" s="56">
        <v>313</v>
      </c>
      <c r="B93" s="56">
        <v>1.59</v>
      </c>
      <c r="C93" s="56">
        <v>1.59</v>
      </c>
      <c r="D93" s="56">
        <v>1.49</v>
      </c>
      <c r="E93" s="56">
        <v>1.49</v>
      </c>
      <c r="F93" s="56">
        <v>1.49</v>
      </c>
    </row>
    <row r="94" spans="1:6" x14ac:dyDescent="0.3">
      <c r="A94" s="56">
        <v>314</v>
      </c>
      <c r="B94" s="56">
        <v>1.62</v>
      </c>
      <c r="C94" s="56">
        <v>1.62</v>
      </c>
      <c r="D94" s="56">
        <v>1.52</v>
      </c>
      <c r="E94" s="56">
        <v>1.52</v>
      </c>
      <c r="F94" s="56">
        <v>1.52</v>
      </c>
    </row>
    <row r="95" spans="1:6" x14ac:dyDescent="0.3">
      <c r="A95" s="56">
        <v>315</v>
      </c>
      <c r="B95" s="56">
        <v>1.65</v>
      </c>
      <c r="C95" s="56">
        <v>1.65</v>
      </c>
      <c r="D95" s="56">
        <v>1.55</v>
      </c>
      <c r="E95" s="56">
        <v>1.55</v>
      </c>
      <c r="F95" s="56">
        <v>1.55</v>
      </c>
    </row>
    <row r="96" spans="1:6" x14ac:dyDescent="0.3">
      <c r="A96" s="56">
        <v>316</v>
      </c>
      <c r="B96" s="56">
        <v>1.68</v>
      </c>
      <c r="C96" s="56">
        <v>1.68</v>
      </c>
      <c r="D96" s="56">
        <v>1.58</v>
      </c>
      <c r="E96" s="56">
        <v>1.58</v>
      </c>
      <c r="F96" s="56">
        <v>1.58</v>
      </c>
    </row>
    <row r="97" spans="1:6" x14ac:dyDescent="0.3">
      <c r="A97" s="56">
        <v>317</v>
      </c>
      <c r="B97" s="56">
        <v>1.71</v>
      </c>
      <c r="C97" s="56">
        <v>1.71</v>
      </c>
      <c r="D97" s="56">
        <v>1.61</v>
      </c>
      <c r="E97" s="56">
        <v>1.61</v>
      </c>
      <c r="F97" s="56">
        <v>1.61</v>
      </c>
    </row>
    <row r="98" spans="1:6" x14ac:dyDescent="0.3">
      <c r="A98" s="56">
        <v>318</v>
      </c>
      <c r="B98" s="56">
        <v>1.74</v>
      </c>
      <c r="C98" s="56">
        <v>1.74</v>
      </c>
      <c r="D98" s="56">
        <v>1.64</v>
      </c>
      <c r="E98" s="56">
        <v>1.64</v>
      </c>
      <c r="F98" s="56">
        <v>1.64</v>
      </c>
    </row>
    <row r="99" spans="1:6" x14ac:dyDescent="0.3">
      <c r="A99" s="56">
        <v>319</v>
      </c>
      <c r="B99" s="56">
        <v>1.77</v>
      </c>
      <c r="C99" s="56">
        <v>1.77</v>
      </c>
      <c r="D99" s="56">
        <v>1.67</v>
      </c>
      <c r="E99" s="56">
        <v>1.67</v>
      </c>
      <c r="F99" s="56">
        <v>1.67</v>
      </c>
    </row>
    <row r="100" spans="1:6" x14ac:dyDescent="0.3">
      <c r="A100" s="56">
        <v>320</v>
      </c>
      <c r="B100" s="56">
        <v>1.8</v>
      </c>
      <c r="C100" s="56">
        <v>1.8</v>
      </c>
      <c r="D100" s="56">
        <v>1.7</v>
      </c>
      <c r="E100" s="56">
        <v>1.7</v>
      </c>
      <c r="F100" s="56">
        <v>1.7</v>
      </c>
    </row>
    <row r="101" spans="1:6" x14ac:dyDescent="0.3">
      <c r="A101" s="56">
        <v>321</v>
      </c>
      <c r="B101" s="56">
        <v>1.82</v>
      </c>
      <c r="C101" s="56">
        <v>1.82</v>
      </c>
      <c r="D101" s="56">
        <v>1.72</v>
      </c>
      <c r="E101" s="56">
        <v>1.72</v>
      </c>
      <c r="F101" s="56">
        <v>1.72</v>
      </c>
    </row>
    <row r="102" spans="1:6" x14ac:dyDescent="0.3">
      <c r="A102" s="56">
        <v>322</v>
      </c>
      <c r="B102" s="56">
        <v>1.84</v>
      </c>
      <c r="C102" s="56">
        <v>1.84</v>
      </c>
      <c r="D102" s="56">
        <v>1.74</v>
      </c>
      <c r="E102" s="56">
        <v>1.74</v>
      </c>
      <c r="F102" s="56">
        <v>1.74</v>
      </c>
    </row>
    <row r="103" spans="1:6" x14ac:dyDescent="0.3">
      <c r="A103" s="56">
        <v>323</v>
      </c>
      <c r="B103" s="56">
        <v>1.86</v>
      </c>
      <c r="C103" s="56">
        <v>1.86</v>
      </c>
      <c r="D103" s="56">
        <v>1.76</v>
      </c>
      <c r="E103" s="56">
        <v>1.76</v>
      </c>
      <c r="F103" s="56">
        <v>1.76</v>
      </c>
    </row>
    <row r="104" spans="1:6" x14ac:dyDescent="0.3">
      <c r="A104" s="56">
        <v>324</v>
      </c>
      <c r="B104" s="56">
        <v>1.88</v>
      </c>
      <c r="C104" s="56">
        <v>1.88</v>
      </c>
      <c r="D104" s="56">
        <v>1.78</v>
      </c>
      <c r="E104" s="56">
        <v>1.78</v>
      </c>
      <c r="F104" s="56">
        <v>1.78</v>
      </c>
    </row>
    <row r="105" spans="1:6" x14ac:dyDescent="0.3">
      <c r="A105" s="56">
        <v>325</v>
      </c>
      <c r="B105" s="56">
        <v>1.9</v>
      </c>
      <c r="C105" s="56">
        <v>1.9</v>
      </c>
      <c r="D105" s="56">
        <v>1.8</v>
      </c>
      <c r="E105" s="56">
        <v>1.8</v>
      </c>
      <c r="F105" s="56">
        <v>1.8</v>
      </c>
    </row>
    <row r="106" spans="1:6" x14ac:dyDescent="0.3">
      <c r="A106" s="56">
        <v>400</v>
      </c>
      <c r="B106" s="56">
        <v>1.3</v>
      </c>
      <c r="C106" s="56">
        <v>0.5</v>
      </c>
      <c r="D106" s="56">
        <v>1</v>
      </c>
      <c r="E106" s="56">
        <v>1</v>
      </c>
      <c r="F106" s="56">
        <v>1</v>
      </c>
    </row>
    <row r="107" spans="1:6" x14ac:dyDescent="0.3">
      <c r="A107" s="56">
        <v>401</v>
      </c>
      <c r="B107" s="56">
        <v>1.34</v>
      </c>
      <c r="C107" s="56">
        <v>0.53</v>
      </c>
      <c r="D107" s="56">
        <v>1.04</v>
      </c>
      <c r="E107" s="56">
        <v>1.04</v>
      </c>
      <c r="F107" s="56">
        <v>1.04</v>
      </c>
    </row>
    <row r="108" spans="1:6" x14ac:dyDescent="0.3">
      <c r="A108" s="56">
        <v>402</v>
      </c>
      <c r="B108" s="56">
        <v>1.38</v>
      </c>
      <c r="C108" s="56">
        <v>0.56000000000000005</v>
      </c>
      <c r="D108" s="56">
        <v>1.08</v>
      </c>
      <c r="E108" s="56">
        <v>1.08</v>
      </c>
      <c r="F108" s="56">
        <v>1.08</v>
      </c>
    </row>
    <row r="109" spans="1:6" x14ac:dyDescent="0.3">
      <c r="A109" s="56">
        <v>403</v>
      </c>
      <c r="B109" s="56">
        <v>1.42</v>
      </c>
      <c r="C109" s="56">
        <v>0.59</v>
      </c>
      <c r="D109" s="56">
        <v>1.1200000000000001</v>
      </c>
      <c r="E109" s="56">
        <v>1.1200000000000001</v>
      </c>
      <c r="F109" s="56">
        <v>1.1200000000000001</v>
      </c>
    </row>
    <row r="110" spans="1:6" x14ac:dyDescent="0.3">
      <c r="A110" s="56">
        <v>404</v>
      </c>
      <c r="B110" s="56">
        <v>1.46</v>
      </c>
      <c r="C110" s="56">
        <v>0.62</v>
      </c>
      <c r="D110" s="56">
        <v>1.1599999999999999</v>
      </c>
      <c r="E110" s="56">
        <v>1.1599999999999999</v>
      </c>
      <c r="F110" s="56">
        <v>1.1599999999999999</v>
      </c>
    </row>
    <row r="111" spans="1:6" x14ac:dyDescent="0.3">
      <c r="A111" s="56">
        <v>405</v>
      </c>
      <c r="B111" s="56">
        <v>1.5</v>
      </c>
      <c r="C111" s="56">
        <v>0.65</v>
      </c>
      <c r="D111" s="56">
        <v>1.2</v>
      </c>
      <c r="E111" s="56">
        <v>1.2</v>
      </c>
      <c r="F111" s="56">
        <v>1.2</v>
      </c>
    </row>
    <row r="112" spans="1:6" x14ac:dyDescent="0.3">
      <c r="A112" s="56">
        <v>406</v>
      </c>
      <c r="B112" s="56">
        <v>1.54</v>
      </c>
      <c r="C112" s="56">
        <v>0.68</v>
      </c>
      <c r="D112" s="56">
        <v>1.24</v>
      </c>
      <c r="E112" s="56">
        <v>1.24</v>
      </c>
      <c r="F112" s="56">
        <v>1.24</v>
      </c>
    </row>
    <row r="113" spans="1:6" x14ac:dyDescent="0.3">
      <c r="A113" s="56">
        <v>407</v>
      </c>
      <c r="B113" s="56">
        <v>1.58</v>
      </c>
      <c r="C113" s="56">
        <v>0.71</v>
      </c>
      <c r="D113" s="56">
        <v>1.28</v>
      </c>
      <c r="E113" s="56">
        <v>1.28</v>
      </c>
      <c r="F113" s="56">
        <v>1.28</v>
      </c>
    </row>
    <row r="114" spans="1:6" x14ac:dyDescent="0.3">
      <c r="A114" s="56">
        <v>408</v>
      </c>
      <c r="B114" s="56">
        <v>1.62</v>
      </c>
      <c r="C114" s="56">
        <v>0.74</v>
      </c>
      <c r="D114" s="56">
        <v>1.32</v>
      </c>
      <c r="E114" s="56">
        <v>1.32</v>
      </c>
      <c r="F114" s="56">
        <v>1.32</v>
      </c>
    </row>
    <row r="115" spans="1:6" x14ac:dyDescent="0.3">
      <c r="A115" s="56">
        <v>409</v>
      </c>
      <c r="B115" s="56">
        <v>1.66</v>
      </c>
      <c r="C115" s="56">
        <v>0.77</v>
      </c>
      <c r="D115" s="56">
        <v>1.36</v>
      </c>
      <c r="E115" s="56">
        <v>1.36</v>
      </c>
      <c r="F115" s="56">
        <v>1.36</v>
      </c>
    </row>
    <row r="116" spans="1:6" x14ac:dyDescent="0.3">
      <c r="A116" s="56">
        <v>410</v>
      </c>
      <c r="B116" s="56">
        <v>1.7</v>
      </c>
      <c r="C116" s="56">
        <v>0.8</v>
      </c>
      <c r="D116" s="56">
        <v>1.4</v>
      </c>
      <c r="E116" s="56">
        <v>1.4</v>
      </c>
      <c r="F116" s="56">
        <v>1.4</v>
      </c>
    </row>
    <row r="117" spans="1:6" x14ac:dyDescent="0.3">
      <c r="A117" s="56">
        <v>411</v>
      </c>
      <c r="B117" s="56">
        <v>1.73</v>
      </c>
      <c r="C117" s="56">
        <v>0.83</v>
      </c>
      <c r="D117" s="56">
        <v>1.43</v>
      </c>
      <c r="E117" s="56">
        <v>1.43</v>
      </c>
      <c r="F117" s="56">
        <v>1.43</v>
      </c>
    </row>
    <row r="118" spans="1:6" x14ac:dyDescent="0.3">
      <c r="A118" s="56">
        <v>412</v>
      </c>
      <c r="B118" s="56">
        <v>1.76</v>
      </c>
      <c r="C118" s="56">
        <v>0.86</v>
      </c>
      <c r="D118" s="56">
        <v>1.46</v>
      </c>
      <c r="E118" s="56">
        <v>1.46</v>
      </c>
      <c r="F118" s="56">
        <v>1.46</v>
      </c>
    </row>
    <row r="119" spans="1:6" x14ac:dyDescent="0.3">
      <c r="A119" s="56">
        <v>413</v>
      </c>
      <c r="B119" s="56">
        <v>1.79</v>
      </c>
      <c r="C119" s="56">
        <v>0.89</v>
      </c>
      <c r="D119" s="56">
        <v>1.49</v>
      </c>
      <c r="E119" s="56">
        <v>1.49</v>
      </c>
      <c r="F119" s="56">
        <v>1.49</v>
      </c>
    </row>
    <row r="120" spans="1:6" x14ac:dyDescent="0.3">
      <c r="A120" s="56">
        <v>414</v>
      </c>
      <c r="B120" s="56">
        <v>1.82</v>
      </c>
      <c r="C120" s="56">
        <v>0.92</v>
      </c>
      <c r="D120" s="56">
        <v>1.52</v>
      </c>
      <c r="E120" s="56">
        <v>1.52</v>
      </c>
      <c r="F120" s="56">
        <v>1.52</v>
      </c>
    </row>
    <row r="121" spans="1:6" x14ac:dyDescent="0.3">
      <c r="A121" s="56">
        <v>415</v>
      </c>
      <c r="B121" s="56">
        <v>1.85</v>
      </c>
      <c r="C121" s="56">
        <v>0.95</v>
      </c>
      <c r="D121" s="56">
        <v>1.55</v>
      </c>
      <c r="E121" s="56">
        <v>1.55</v>
      </c>
      <c r="F121" s="56">
        <v>1.55</v>
      </c>
    </row>
    <row r="122" spans="1:6" x14ac:dyDescent="0.3">
      <c r="A122" s="56">
        <v>416</v>
      </c>
      <c r="B122" s="56">
        <v>1.88</v>
      </c>
      <c r="C122" s="56">
        <v>0.98</v>
      </c>
      <c r="D122" s="56">
        <v>1.58</v>
      </c>
      <c r="E122" s="56">
        <v>1.58</v>
      </c>
      <c r="F122" s="56">
        <v>1.58</v>
      </c>
    </row>
    <row r="123" spans="1:6" x14ac:dyDescent="0.3">
      <c r="A123" s="56">
        <v>417</v>
      </c>
      <c r="B123" s="56">
        <v>1.91</v>
      </c>
      <c r="C123" s="56">
        <v>1.01</v>
      </c>
      <c r="D123" s="56">
        <v>1.61</v>
      </c>
      <c r="E123" s="56">
        <v>1.61</v>
      </c>
      <c r="F123" s="56">
        <v>1.61</v>
      </c>
    </row>
    <row r="124" spans="1:6" x14ac:dyDescent="0.3">
      <c r="A124" s="56">
        <v>418</v>
      </c>
      <c r="B124" s="56">
        <v>1.94</v>
      </c>
      <c r="C124" s="56">
        <v>1.04</v>
      </c>
      <c r="D124" s="56">
        <v>1.64</v>
      </c>
      <c r="E124" s="56">
        <v>1.64</v>
      </c>
      <c r="F124" s="56">
        <v>1.64</v>
      </c>
    </row>
    <row r="125" spans="1:6" x14ac:dyDescent="0.3">
      <c r="A125" s="56">
        <v>419</v>
      </c>
      <c r="B125" s="56">
        <v>1.97</v>
      </c>
      <c r="C125" s="56">
        <v>1.07</v>
      </c>
      <c r="D125" s="56">
        <v>1.67</v>
      </c>
      <c r="E125" s="56">
        <v>1.67</v>
      </c>
      <c r="F125" s="56">
        <v>1.67</v>
      </c>
    </row>
    <row r="126" spans="1:6" x14ac:dyDescent="0.3">
      <c r="A126" s="56">
        <v>420</v>
      </c>
      <c r="B126" s="56">
        <v>2</v>
      </c>
      <c r="C126" s="56">
        <v>1.1000000000000001</v>
      </c>
      <c r="D126" s="56">
        <v>1.7</v>
      </c>
      <c r="E126" s="56">
        <v>1.7</v>
      </c>
      <c r="F126" s="56">
        <v>1.7</v>
      </c>
    </row>
    <row r="127" spans="1:6" x14ac:dyDescent="0.3">
      <c r="A127" s="56">
        <v>421</v>
      </c>
      <c r="B127" s="56">
        <v>2.02</v>
      </c>
      <c r="C127" s="56">
        <v>1.1200000000000001</v>
      </c>
      <c r="D127" s="56">
        <v>1.72</v>
      </c>
      <c r="E127" s="56">
        <v>1.72</v>
      </c>
      <c r="F127" s="56">
        <v>1.72</v>
      </c>
    </row>
    <row r="128" spans="1:6" x14ac:dyDescent="0.3">
      <c r="A128" s="56">
        <v>422</v>
      </c>
      <c r="B128" s="56">
        <v>2.04</v>
      </c>
      <c r="C128" s="56">
        <v>1.1399999999999999</v>
      </c>
      <c r="D128" s="56">
        <v>1.74</v>
      </c>
      <c r="E128" s="56">
        <v>1.74</v>
      </c>
      <c r="F128" s="56">
        <v>1.74</v>
      </c>
    </row>
    <row r="129" spans="1:6" x14ac:dyDescent="0.3">
      <c r="A129" s="56">
        <v>423</v>
      </c>
      <c r="B129" s="56">
        <v>2.06</v>
      </c>
      <c r="C129" s="56">
        <v>1.1599999999999999</v>
      </c>
      <c r="D129" s="56">
        <v>1.76</v>
      </c>
      <c r="E129" s="56">
        <v>1.76</v>
      </c>
      <c r="F129" s="56">
        <v>1.76</v>
      </c>
    </row>
    <row r="130" spans="1:6" x14ac:dyDescent="0.3">
      <c r="A130" s="56">
        <v>424</v>
      </c>
      <c r="B130" s="56">
        <v>2.08</v>
      </c>
      <c r="C130" s="56">
        <v>1.18</v>
      </c>
      <c r="D130" s="56">
        <v>1.78</v>
      </c>
      <c r="E130" s="56">
        <v>1.78</v>
      </c>
      <c r="F130" s="56">
        <v>1.78</v>
      </c>
    </row>
    <row r="131" spans="1:6" x14ac:dyDescent="0.3">
      <c r="A131" s="56">
        <v>425</v>
      </c>
      <c r="B131" s="56">
        <v>2.1</v>
      </c>
      <c r="C131" s="56">
        <v>1.2</v>
      </c>
      <c r="D131" s="56">
        <v>1.8</v>
      </c>
      <c r="E131" s="56">
        <v>1.8</v>
      </c>
      <c r="F131" s="56">
        <v>1.8</v>
      </c>
    </row>
    <row r="132" spans="1:6" x14ac:dyDescent="0.3">
      <c r="A132" s="56">
        <v>500</v>
      </c>
      <c r="B132" s="56">
        <v>0.8</v>
      </c>
      <c r="C132" s="56">
        <v>0.8</v>
      </c>
      <c r="D132" s="56">
        <v>1</v>
      </c>
      <c r="E132" s="56">
        <v>1</v>
      </c>
      <c r="F132" s="56">
        <v>1</v>
      </c>
    </row>
    <row r="133" spans="1:6" x14ac:dyDescent="0.3">
      <c r="A133" s="56">
        <v>501</v>
      </c>
      <c r="B133" s="56">
        <v>0.85</v>
      </c>
      <c r="C133" s="56">
        <v>0.85</v>
      </c>
      <c r="D133" s="56">
        <v>1.04</v>
      </c>
      <c r="E133" s="56">
        <v>1.07</v>
      </c>
      <c r="F133" s="56">
        <v>1.04</v>
      </c>
    </row>
    <row r="134" spans="1:6" x14ac:dyDescent="0.3">
      <c r="A134" s="56">
        <v>502</v>
      </c>
      <c r="B134" s="56">
        <v>0.9</v>
      </c>
      <c r="C134" s="56">
        <v>0.9</v>
      </c>
      <c r="D134" s="56">
        <v>1.08</v>
      </c>
      <c r="E134" s="56">
        <v>1.1399999999999999</v>
      </c>
      <c r="F134" s="56">
        <v>1.08</v>
      </c>
    </row>
    <row r="135" spans="1:6" x14ac:dyDescent="0.3">
      <c r="A135" s="56">
        <v>503</v>
      </c>
      <c r="B135" s="56">
        <v>0.95</v>
      </c>
      <c r="C135" s="56">
        <v>0.95</v>
      </c>
      <c r="D135" s="56">
        <v>1.1200000000000001</v>
      </c>
      <c r="E135" s="56">
        <v>1.21</v>
      </c>
      <c r="F135" s="56">
        <v>1.1200000000000001</v>
      </c>
    </row>
    <row r="136" spans="1:6" x14ac:dyDescent="0.3">
      <c r="A136" s="56">
        <v>504</v>
      </c>
      <c r="B136" s="56">
        <v>1</v>
      </c>
      <c r="C136" s="56">
        <v>1</v>
      </c>
      <c r="D136" s="56">
        <v>1.1599999999999999</v>
      </c>
      <c r="E136" s="56">
        <v>1.28</v>
      </c>
      <c r="F136" s="56">
        <v>1.1599999999999999</v>
      </c>
    </row>
    <row r="137" spans="1:6" x14ac:dyDescent="0.3">
      <c r="A137" s="56">
        <v>505</v>
      </c>
      <c r="B137" s="56">
        <v>1.05</v>
      </c>
      <c r="C137" s="56">
        <v>1.05</v>
      </c>
      <c r="D137" s="56">
        <v>1.2</v>
      </c>
      <c r="E137" s="56">
        <v>1.35</v>
      </c>
      <c r="F137" s="56">
        <v>1.2</v>
      </c>
    </row>
    <row r="138" spans="1:6" x14ac:dyDescent="0.3">
      <c r="A138" s="56">
        <v>506</v>
      </c>
      <c r="B138" s="56">
        <v>1.1000000000000001</v>
      </c>
      <c r="C138" s="56">
        <v>1.1000000000000001</v>
      </c>
      <c r="D138" s="56">
        <v>1.24</v>
      </c>
      <c r="E138" s="56">
        <v>1.42</v>
      </c>
      <c r="F138" s="56">
        <v>1.24</v>
      </c>
    </row>
    <row r="139" spans="1:6" x14ac:dyDescent="0.3">
      <c r="A139" s="56">
        <v>507</v>
      </c>
      <c r="B139" s="56">
        <v>1.1499999999999999</v>
      </c>
      <c r="C139" s="56">
        <v>1.1499999999999999</v>
      </c>
      <c r="D139" s="56">
        <v>1.28</v>
      </c>
      <c r="E139" s="56">
        <v>1.49</v>
      </c>
      <c r="F139" s="56">
        <v>1.28</v>
      </c>
    </row>
    <row r="140" spans="1:6" x14ac:dyDescent="0.3">
      <c r="A140" s="56">
        <v>508</v>
      </c>
      <c r="B140" s="56">
        <v>1.2</v>
      </c>
      <c r="C140" s="56">
        <v>1.2</v>
      </c>
      <c r="D140" s="56">
        <v>1.32</v>
      </c>
      <c r="E140" s="56">
        <v>1.56</v>
      </c>
      <c r="F140" s="56">
        <v>1.32</v>
      </c>
    </row>
    <row r="141" spans="1:6" x14ac:dyDescent="0.3">
      <c r="A141" s="56">
        <v>509</v>
      </c>
      <c r="B141" s="56">
        <v>1.25</v>
      </c>
      <c r="C141" s="56">
        <v>1.25</v>
      </c>
      <c r="D141" s="56">
        <v>1.36</v>
      </c>
      <c r="E141" s="56">
        <v>1.63</v>
      </c>
      <c r="F141" s="56">
        <v>1.36</v>
      </c>
    </row>
    <row r="142" spans="1:6" x14ac:dyDescent="0.3">
      <c r="A142" s="56">
        <v>510</v>
      </c>
      <c r="B142" s="56">
        <v>1.3</v>
      </c>
      <c r="C142" s="56">
        <v>1.3</v>
      </c>
      <c r="D142" s="56">
        <v>1.4</v>
      </c>
      <c r="E142" s="56">
        <v>1.7</v>
      </c>
      <c r="F142" s="56">
        <v>1.4</v>
      </c>
    </row>
    <row r="143" spans="1:6" x14ac:dyDescent="0.3">
      <c r="A143" s="56">
        <v>511</v>
      </c>
      <c r="B143" s="56">
        <v>1.34</v>
      </c>
      <c r="C143" s="56">
        <v>1.34</v>
      </c>
      <c r="D143" s="56">
        <v>1.43</v>
      </c>
      <c r="E143" s="56">
        <v>1.75</v>
      </c>
      <c r="F143" s="56">
        <v>1.43</v>
      </c>
    </row>
    <row r="144" spans="1:6" x14ac:dyDescent="0.3">
      <c r="A144" s="56">
        <v>512</v>
      </c>
      <c r="B144" s="56">
        <v>1.38</v>
      </c>
      <c r="C144" s="56">
        <v>1.38</v>
      </c>
      <c r="D144" s="56">
        <v>1.46</v>
      </c>
      <c r="E144" s="56">
        <v>1.8</v>
      </c>
      <c r="F144" s="56">
        <v>1.46</v>
      </c>
    </row>
    <row r="145" spans="1:6" x14ac:dyDescent="0.3">
      <c r="A145" s="56">
        <v>513</v>
      </c>
      <c r="B145" s="56">
        <v>1.42</v>
      </c>
      <c r="C145" s="56">
        <v>1.42</v>
      </c>
      <c r="D145" s="56">
        <v>1.49</v>
      </c>
      <c r="E145" s="56">
        <v>1.85</v>
      </c>
      <c r="F145" s="56">
        <v>1.49</v>
      </c>
    </row>
    <row r="146" spans="1:6" x14ac:dyDescent="0.3">
      <c r="A146" s="56">
        <v>514</v>
      </c>
      <c r="B146" s="56">
        <v>1.46</v>
      </c>
      <c r="C146" s="56">
        <v>1.46</v>
      </c>
      <c r="D146" s="56">
        <v>1.52</v>
      </c>
      <c r="E146" s="56">
        <v>1.9</v>
      </c>
      <c r="F146" s="56">
        <v>1.52</v>
      </c>
    </row>
    <row r="147" spans="1:6" x14ac:dyDescent="0.3">
      <c r="A147" s="56">
        <v>515</v>
      </c>
      <c r="B147" s="56">
        <v>1.5</v>
      </c>
      <c r="C147" s="56">
        <v>1.5</v>
      </c>
      <c r="D147" s="56">
        <v>1.55</v>
      </c>
      <c r="E147" s="56">
        <v>1.95</v>
      </c>
      <c r="F147" s="56">
        <v>1.55</v>
      </c>
    </row>
    <row r="148" spans="1:6" x14ac:dyDescent="0.3">
      <c r="A148" s="56">
        <v>516</v>
      </c>
      <c r="B148" s="56">
        <v>1.54</v>
      </c>
      <c r="C148" s="56">
        <v>1.54</v>
      </c>
      <c r="D148" s="56">
        <v>1.58</v>
      </c>
      <c r="E148" s="56">
        <v>2</v>
      </c>
      <c r="F148" s="56">
        <v>1.58</v>
      </c>
    </row>
    <row r="149" spans="1:6" x14ac:dyDescent="0.3">
      <c r="A149" s="56">
        <v>517</v>
      </c>
      <c r="B149" s="56">
        <v>1.58</v>
      </c>
      <c r="C149" s="56">
        <v>1.58</v>
      </c>
      <c r="D149" s="56">
        <v>1.61</v>
      </c>
      <c r="E149" s="56">
        <v>2.0499999999999998</v>
      </c>
      <c r="F149" s="56">
        <v>1.61</v>
      </c>
    </row>
    <row r="150" spans="1:6" x14ac:dyDescent="0.3">
      <c r="A150" s="56">
        <v>518</v>
      </c>
      <c r="B150" s="56">
        <v>1.62</v>
      </c>
      <c r="C150" s="56">
        <v>1.62</v>
      </c>
      <c r="D150" s="56">
        <v>1.64</v>
      </c>
      <c r="E150" s="56">
        <v>2.1</v>
      </c>
      <c r="F150" s="56">
        <v>1.64</v>
      </c>
    </row>
    <row r="151" spans="1:6" x14ac:dyDescent="0.3">
      <c r="A151" s="56">
        <v>519</v>
      </c>
      <c r="B151" s="56">
        <v>1.66</v>
      </c>
      <c r="C151" s="56">
        <v>1.66</v>
      </c>
      <c r="D151" s="56">
        <v>1.67</v>
      </c>
      <c r="E151" s="56">
        <v>2.15</v>
      </c>
      <c r="F151" s="56">
        <v>1.67</v>
      </c>
    </row>
    <row r="152" spans="1:6" x14ac:dyDescent="0.3">
      <c r="A152" s="56">
        <v>520</v>
      </c>
      <c r="B152" s="56">
        <v>1.7</v>
      </c>
      <c r="C152" s="56">
        <v>1.7</v>
      </c>
      <c r="D152" s="56">
        <v>1.7</v>
      </c>
      <c r="E152" s="56">
        <v>2.2000000000000002</v>
      </c>
      <c r="F152" s="56">
        <v>1.7</v>
      </c>
    </row>
    <row r="153" spans="1:6" x14ac:dyDescent="0.3">
      <c r="A153" s="56">
        <v>521</v>
      </c>
      <c r="B153" s="56">
        <v>1.72</v>
      </c>
      <c r="C153" s="56">
        <v>1.72</v>
      </c>
      <c r="D153" s="56">
        <v>1.72</v>
      </c>
      <c r="E153" s="56">
        <v>2.2200000000000002</v>
      </c>
      <c r="F153" s="56">
        <v>1.72</v>
      </c>
    </row>
    <row r="154" spans="1:6" x14ac:dyDescent="0.3">
      <c r="A154" s="56">
        <v>522</v>
      </c>
      <c r="B154" s="56">
        <v>1.74</v>
      </c>
      <c r="C154" s="56">
        <v>1.74</v>
      </c>
      <c r="D154" s="56">
        <v>1.74</v>
      </c>
      <c r="E154" s="56">
        <v>2.2400000000000002</v>
      </c>
      <c r="F154" s="56">
        <v>1.74</v>
      </c>
    </row>
    <row r="155" spans="1:6" x14ac:dyDescent="0.3">
      <c r="A155" s="56">
        <v>523</v>
      </c>
      <c r="B155" s="56">
        <v>1.76</v>
      </c>
      <c r="C155" s="56">
        <v>1.76</v>
      </c>
      <c r="D155" s="56">
        <v>1.76</v>
      </c>
      <c r="E155" s="56">
        <v>2.2599999999999998</v>
      </c>
      <c r="F155" s="56">
        <v>1.76</v>
      </c>
    </row>
    <row r="156" spans="1:6" x14ac:dyDescent="0.3">
      <c r="A156" s="56">
        <v>524</v>
      </c>
      <c r="B156" s="56">
        <v>1.78</v>
      </c>
      <c r="C156" s="56">
        <v>1.78</v>
      </c>
      <c r="D156" s="56">
        <v>1.78</v>
      </c>
      <c r="E156" s="56">
        <v>2.2799999999999998</v>
      </c>
      <c r="F156" s="56">
        <v>1.78</v>
      </c>
    </row>
    <row r="157" spans="1:6" x14ac:dyDescent="0.3">
      <c r="A157" s="56">
        <v>525</v>
      </c>
      <c r="B157" s="56">
        <v>1.8</v>
      </c>
      <c r="C157" s="56">
        <v>1.8</v>
      </c>
      <c r="D157" s="56">
        <v>1.8</v>
      </c>
      <c r="E157" s="56">
        <v>2.2999999999999998</v>
      </c>
      <c r="F157" s="56">
        <v>1.8</v>
      </c>
    </row>
    <row r="158" spans="1:6" x14ac:dyDescent="0.3">
      <c r="A158" s="56">
        <v>600</v>
      </c>
      <c r="B158" s="56">
        <v>0.5</v>
      </c>
      <c r="C158" s="56">
        <v>1.3</v>
      </c>
      <c r="D158" s="56">
        <v>1</v>
      </c>
      <c r="E158" s="56">
        <v>1</v>
      </c>
      <c r="F158" s="56">
        <v>1</v>
      </c>
    </row>
    <row r="159" spans="1:6" x14ac:dyDescent="0.3">
      <c r="A159" s="56">
        <v>601</v>
      </c>
      <c r="B159" s="56">
        <v>0.53</v>
      </c>
      <c r="C159" s="56">
        <v>1.34</v>
      </c>
      <c r="D159" s="56">
        <v>1.04</v>
      </c>
      <c r="E159" s="56">
        <v>1.04</v>
      </c>
      <c r="F159" s="56">
        <v>1.04</v>
      </c>
    </row>
    <row r="160" spans="1:6" x14ac:dyDescent="0.3">
      <c r="A160" s="56">
        <v>602</v>
      </c>
      <c r="B160" s="56">
        <v>0.56000000000000005</v>
      </c>
      <c r="C160" s="56">
        <v>1.38</v>
      </c>
      <c r="D160" s="56">
        <v>1.08</v>
      </c>
      <c r="E160" s="56">
        <v>1.08</v>
      </c>
      <c r="F160" s="56">
        <v>1.08</v>
      </c>
    </row>
    <row r="161" spans="1:6" x14ac:dyDescent="0.3">
      <c r="A161" s="56">
        <v>603</v>
      </c>
      <c r="B161" s="56">
        <v>0.59</v>
      </c>
      <c r="C161" s="56">
        <v>1.42</v>
      </c>
      <c r="D161" s="56">
        <v>1.1200000000000001</v>
      </c>
      <c r="E161" s="56">
        <v>1.1200000000000001</v>
      </c>
      <c r="F161" s="56">
        <v>1.1200000000000001</v>
      </c>
    </row>
    <row r="162" spans="1:6" x14ac:dyDescent="0.3">
      <c r="A162" s="56">
        <v>604</v>
      </c>
      <c r="B162" s="56">
        <v>0.62</v>
      </c>
      <c r="C162" s="56">
        <v>1.46</v>
      </c>
      <c r="D162" s="56">
        <v>1.1599999999999999</v>
      </c>
      <c r="E162" s="56">
        <v>1.1599999999999999</v>
      </c>
      <c r="F162" s="56">
        <v>1.1599999999999999</v>
      </c>
    </row>
    <row r="163" spans="1:6" x14ac:dyDescent="0.3">
      <c r="A163" s="56">
        <v>605</v>
      </c>
      <c r="B163" s="56">
        <v>0.65</v>
      </c>
      <c r="C163" s="56">
        <v>1.5</v>
      </c>
      <c r="D163" s="56">
        <v>1.2</v>
      </c>
      <c r="E163" s="56">
        <v>1.2</v>
      </c>
      <c r="F163" s="56">
        <v>1.2</v>
      </c>
    </row>
    <row r="164" spans="1:6" x14ac:dyDescent="0.3">
      <c r="A164" s="56">
        <v>606</v>
      </c>
      <c r="B164" s="56">
        <v>0.68</v>
      </c>
      <c r="C164" s="56">
        <v>1.54</v>
      </c>
      <c r="D164" s="56">
        <v>1.24</v>
      </c>
      <c r="E164" s="56">
        <v>1.24</v>
      </c>
      <c r="F164" s="56">
        <v>1.24</v>
      </c>
    </row>
    <row r="165" spans="1:6" x14ac:dyDescent="0.3">
      <c r="A165" s="56">
        <v>607</v>
      </c>
      <c r="B165" s="56">
        <v>0.71</v>
      </c>
      <c r="C165" s="56">
        <v>1.58</v>
      </c>
      <c r="D165" s="56">
        <v>1.28</v>
      </c>
      <c r="E165" s="56">
        <v>1.28</v>
      </c>
      <c r="F165" s="56">
        <v>1.28</v>
      </c>
    </row>
    <row r="166" spans="1:6" x14ac:dyDescent="0.3">
      <c r="A166" s="56">
        <v>608</v>
      </c>
      <c r="B166" s="56">
        <v>0.74</v>
      </c>
      <c r="C166" s="56">
        <v>1.62</v>
      </c>
      <c r="D166" s="56">
        <v>1.32</v>
      </c>
      <c r="E166" s="56">
        <v>1.32</v>
      </c>
      <c r="F166" s="56">
        <v>1.32</v>
      </c>
    </row>
    <row r="167" spans="1:6" x14ac:dyDescent="0.3">
      <c r="A167" s="56">
        <v>609</v>
      </c>
      <c r="B167" s="56">
        <v>0.77</v>
      </c>
      <c r="C167" s="56">
        <v>1.66</v>
      </c>
      <c r="D167" s="56">
        <v>1.36</v>
      </c>
      <c r="E167" s="56">
        <v>1.36</v>
      </c>
      <c r="F167" s="56">
        <v>1.36</v>
      </c>
    </row>
    <row r="168" spans="1:6" x14ac:dyDescent="0.3">
      <c r="A168" s="56">
        <v>610</v>
      </c>
      <c r="B168" s="56">
        <v>0.8</v>
      </c>
      <c r="C168" s="56">
        <v>1.7</v>
      </c>
      <c r="D168" s="56">
        <v>1.4</v>
      </c>
      <c r="E168" s="56">
        <v>1.4</v>
      </c>
      <c r="F168" s="56">
        <v>1.4</v>
      </c>
    </row>
    <row r="169" spans="1:6" x14ac:dyDescent="0.3">
      <c r="A169" s="56">
        <v>611</v>
      </c>
      <c r="B169" s="56">
        <v>0.83</v>
      </c>
      <c r="C169" s="56">
        <v>1.73</v>
      </c>
      <c r="D169" s="56">
        <v>1.43</v>
      </c>
      <c r="E169" s="56">
        <v>1.43</v>
      </c>
      <c r="F169" s="56">
        <v>1.43</v>
      </c>
    </row>
    <row r="170" spans="1:6" x14ac:dyDescent="0.3">
      <c r="A170" s="56">
        <v>612</v>
      </c>
      <c r="B170" s="56">
        <v>0.86</v>
      </c>
      <c r="C170" s="56">
        <v>1.76</v>
      </c>
      <c r="D170" s="56">
        <v>1.46</v>
      </c>
      <c r="E170" s="56">
        <v>1.46</v>
      </c>
      <c r="F170" s="56">
        <v>1.46</v>
      </c>
    </row>
    <row r="171" spans="1:6" x14ac:dyDescent="0.3">
      <c r="A171" s="56">
        <v>613</v>
      </c>
      <c r="B171" s="56">
        <v>0.89</v>
      </c>
      <c r="C171" s="56">
        <v>1.79</v>
      </c>
      <c r="D171" s="56">
        <v>1.49</v>
      </c>
      <c r="E171" s="56">
        <v>1.49</v>
      </c>
      <c r="F171" s="56">
        <v>1.49</v>
      </c>
    </row>
    <row r="172" spans="1:6" x14ac:dyDescent="0.3">
      <c r="A172" s="56">
        <v>614</v>
      </c>
      <c r="B172" s="56">
        <v>0.92</v>
      </c>
      <c r="C172" s="56">
        <v>1.82</v>
      </c>
      <c r="D172" s="56">
        <v>1.52</v>
      </c>
      <c r="E172" s="56">
        <v>1.52</v>
      </c>
      <c r="F172" s="56">
        <v>1.52</v>
      </c>
    </row>
    <row r="173" spans="1:6" x14ac:dyDescent="0.3">
      <c r="A173" s="56">
        <v>615</v>
      </c>
      <c r="B173" s="56">
        <v>0.95</v>
      </c>
      <c r="C173" s="56">
        <v>1.85</v>
      </c>
      <c r="D173" s="56">
        <v>1.55</v>
      </c>
      <c r="E173" s="56">
        <v>1.55</v>
      </c>
      <c r="F173" s="56">
        <v>1.55</v>
      </c>
    </row>
    <row r="174" spans="1:6" x14ac:dyDescent="0.3">
      <c r="A174" s="56">
        <v>616</v>
      </c>
      <c r="B174" s="56">
        <v>0.98</v>
      </c>
      <c r="C174" s="56">
        <v>1.88</v>
      </c>
      <c r="D174" s="56">
        <v>1.58</v>
      </c>
      <c r="E174" s="56">
        <v>1.58</v>
      </c>
      <c r="F174" s="56">
        <v>1.58</v>
      </c>
    </row>
    <row r="175" spans="1:6" x14ac:dyDescent="0.3">
      <c r="A175" s="56">
        <v>617</v>
      </c>
      <c r="B175" s="56">
        <v>1.01</v>
      </c>
      <c r="C175" s="56">
        <v>1.91</v>
      </c>
      <c r="D175" s="56">
        <v>1.61</v>
      </c>
      <c r="E175" s="56">
        <v>1.61</v>
      </c>
      <c r="F175" s="56">
        <v>1.61</v>
      </c>
    </row>
    <row r="176" spans="1:6" x14ac:dyDescent="0.3">
      <c r="A176" s="56">
        <v>618</v>
      </c>
      <c r="B176" s="56">
        <v>1.04</v>
      </c>
      <c r="C176" s="56">
        <v>1.94</v>
      </c>
      <c r="D176" s="56">
        <v>1.64</v>
      </c>
      <c r="E176" s="56">
        <v>1.64</v>
      </c>
      <c r="F176" s="56">
        <v>1.64</v>
      </c>
    </row>
    <row r="177" spans="1:6" x14ac:dyDescent="0.3">
      <c r="A177" s="56">
        <v>619</v>
      </c>
      <c r="B177" s="56">
        <v>1.07</v>
      </c>
      <c r="C177" s="56">
        <v>1.97</v>
      </c>
      <c r="D177" s="56">
        <v>1.67</v>
      </c>
      <c r="E177" s="56">
        <v>1.67</v>
      </c>
      <c r="F177" s="56">
        <v>1.67</v>
      </c>
    </row>
    <row r="178" spans="1:6" x14ac:dyDescent="0.3">
      <c r="A178" s="56">
        <v>620</v>
      </c>
      <c r="B178" s="56">
        <v>1.1000000000000001</v>
      </c>
      <c r="C178" s="56">
        <v>2</v>
      </c>
      <c r="D178" s="56">
        <v>1.7</v>
      </c>
      <c r="E178" s="56">
        <v>1.7</v>
      </c>
      <c r="F178" s="56">
        <v>1.7</v>
      </c>
    </row>
    <row r="179" spans="1:6" x14ac:dyDescent="0.3">
      <c r="A179" s="56">
        <v>621</v>
      </c>
      <c r="B179" s="56">
        <v>1.1200000000000001</v>
      </c>
      <c r="C179" s="56">
        <v>2.02</v>
      </c>
      <c r="D179" s="56">
        <v>1.72</v>
      </c>
      <c r="E179" s="56">
        <v>1.72</v>
      </c>
      <c r="F179" s="56">
        <v>1.72</v>
      </c>
    </row>
    <row r="180" spans="1:6" x14ac:dyDescent="0.3">
      <c r="A180" s="56">
        <v>622</v>
      </c>
      <c r="B180" s="56">
        <v>1.1399999999999999</v>
      </c>
      <c r="C180" s="56">
        <v>2.04</v>
      </c>
      <c r="D180" s="56">
        <v>1.74</v>
      </c>
      <c r="E180" s="56">
        <v>1.74</v>
      </c>
      <c r="F180" s="56">
        <v>1.74</v>
      </c>
    </row>
    <row r="181" spans="1:6" x14ac:dyDescent="0.3">
      <c r="A181" s="56">
        <v>623</v>
      </c>
      <c r="B181" s="56">
        <v>1.1599999999999999</v>
      </c>
      <c r="C181" s="56">
        <v>2.06</v>
      </c>
      <c r="D181" s="56">
        <v>1.76</v>
      </c>
      <c r="E181" s="56">
        <v>1.76</v>
      </c>
      <c r="F181" s="56">
        <v>1.76</v>
      </c>
    </row>
    <row r="182" spans="1:6" x14ac:dyDescent="0.3">
      <c r="A182" s="56">
        <v>624</v>
      </c>
      <c r="B182" s="56">
        <v>1.18</v>
      </c>
      <c r="C182" s="56">
        <v>2.08</v>
      </c>
      <c r="D182" s="56">
        <v>1.78</v>
      </c>
      <c r="E182" s="56">
        <v>1.78</v>
      </c>
      <c r="F182" s="56">
        <v>1.78</v>
      </c>
    </row>
    <row r="183" spans="1:6" x14ac:dyDescent="0.3">
      <c r="A183" s="56">
        <v>625</v>
      </c>
      <c r="B183" s="56">
        <v>1.2</v>
      </c>
      <c r="C183" s="56">
        <v>2.1</v>
      </c>
      <c r="D183" s="56">
        <v>1.8</v>
      </c>
      <c r="E183" s="56">
        <v>1.8</v>
      </c>
      <c r="F183" s="56">
        <v>1.8</v>
      </c>
    </row>
    <row r="184" spans="1:6" x14ac:dyDescent="0.3">
      <c r="A184" s="56">
        <v>700</v>
      </c>
      <c r="B184" s="56">
        <v>1</v>
      </c>
      <c r="C184" s="56">
        <v>1</v>
      </c>
      <c r="D184" s="56">
        <v>1</v>
      </c>
      <c r="E184" s="56">
        <v>1</v>
      </c>
      <c r="F184" s="56">
        <v>1</v>
      </c>
    </row>
    <row r="185" spans="1:6" x14ac:dyDescent="0.3">
      <c r="A185" s="56">
        <v>701</v>
      </c>
      <c r="B185" s="56">
        <v>1.04</v>
      </c>
      <c r="C185" s="56">
        <v>1.04</v>
      </c>
      <c r="D185" s="56">
        <v>1.04</v>
      </c>
      <c r="E185" s="56">
        <v>1.07</v>
      </c>
      <c r="F185" s="56">
        <v>1.04</v>
      </c>
    </row>
    <row r="186" spans="1:6" x14ac:dyDescent="0.3">
      <c r="A186" s="56">
        <v>702</v>
      </c>
      <c r="B186" s="56">
        <v>1.08</v>
      </c>
      <c r="C186" s="56">
        <v>1.08</v>
      </c>
      <c r="D186" s="56">
        <v>1.08</v>
      </c>
      <c r="E186" s="56">
        <v>1.1399999999999999</v>
      </c>
      <c r="F186" s="56">
        <v>1.08</v>
      </c>
    </row>
    <row r="187" spans="1:6" x14ac:dyDescent="0.3">
      <c r="A187" s="56">
        <v>703</v>
      </c>
      <c r="B187" s="56">
        <v>1.1200000000000001</v>
      </c>
      <c r="C187" s="56">
        <v>1.1200000000000001</v>
      </c>
      <c r="D187" s="56">
        <v>1.1200000000000001</v>
      </c>
      <c r="E187" s="56">
        <v>1.21</v>
      </c>
      <c r="F187" s="56">
        <v>1.1200000000000001</v>
      </c>
    </row>
    <row r="188" spans="1:6" x14ac:dyDescent="0.3">
      <c r="A188" s="56">
        <v>704</v>
      </c>
      <c r="B188" s="56">
        <v>1.1599999999999999</v>
      </c>
      <c r="C188" s="56">
        <v>1.1599999999999999</v>
      </c>
      <c r="D188" s="56">
        <v>1.1599999999999999</v>
      </c>
      <c r="E188" s="56">
        <v>1.28</v>
      </c>
      <c r="F188" s="56">
        <v>1.1599999999999999</v>
      </c>
    </row>
    <row r="189" spans="1:6" x14ac:dyDescent="0.3">
      <c r="A189" s="56">
        <v>705</v>
      </c>
      <c r="B189" s="56">
        <v>1.2</v>
      </c>
      <c r="C189" s="56">
        <v>1.2</v>
      </c>
      <c r="D189" s="56">
        <v>1.2</v>
      </c>
      <c r="E189" s="56">
        <v>1.35</v>
      </c>
      <c r="F189" s="56">
        <v>1.2</v>
      </c>
    </row>
    <row r="190" spans="1:6" x14ac:dyDescent="0.3">
      <c r="A190" s="56">
        <v>706</v>
      </c>
      <c r="B190" s="56">
        <v>1.24</v>
      </c>
      <c r="C190" s="56">
        <v>1.24</v>
      </c>
      <c r="D190" s="56">
        <v>1.24</v>
      </c>
      <c r="E190" s="56">
        <v>1.42</v>
      </c>
      <c r="F190" s="56">
        <v>1.24</v>
      </c>
    </row>
    <row r="191" spans="1:6" x14ac:dyDescent="0.3">
      <c r="A191" s="56">
        <v>707</v>
      </c>
      <c r="B191" s="56">
        <v>1.28</v>
      </c>
      <c r="C191" s="56">
        <v>1.28</v>
      </c>
      <c r="D191" s="56">
        <v>1.28</v>
      </c>
      <c r="E191" s="56">
        <v>1.49</v>
      </c>
      <c r="F191" s="56">
        <v>1.28</v>
      </c>
    </row>
    <row r="192" spans="1:6" x14ac:dyDescent="0.3">
      <c r="A192" s="56">
        <v>708</v>
      </c>
      <c r="B192" s="56">
        <v>1.32</v>
      </c>
      <c r="C192" s="56">
        <v>1.32</v>
      </c>
      <c r="D192" s="56">
        <v>1.32</v>
      </c>
      <c r="E192" s="56">
        <v>1.56</v>
      </c>
      <c r="F192" s="56">
        <v>1.32</v>
      </c>
    </row>
    <row r="193" spans="1:6" x14ac:dyDescent="0.3">
      <c r="A193" s="56">
        <v>709</v>
      </c>
      <c r="B193" s="56">
        <v>1.36</v>
      </c>
      <c r="C193" s="56">
        <v>1.36</v>
      </c>
      <c r="D193" s="56">
        <v>1.36</v>
      </c>
      <c r="E193" s="56">
        <v>1.63</v>
      </c>
      <c r="F193" s="56">
        <v>1.36</v>
      </c>
    </row>
    <row r="194" spans="1:6" x14ac:dyDescent="0.3">
      <c r="A194" s="56">
        <v>710</v>
      </c>
      <c r="B194" s="56">
        <v>1.4</v>
      </c>
      <c r="C194" s="56">
        <v>1.4</v>
      </c>
      <c r="D194" s="56">
        <v>1.4</v>
      </c>
      <c r="E194" s="56">
        <v>1.7</v>
      </c>
      <c r="F194" s="56">
        <v>1.4</v>
      </c>
    </row>
    <row r="195" spans="1:6" x14ac:dyDescent="0.3">
      <c r="A195" s="56">
        <v>711</v>
      </c>
      <c r="B195" s="56">
        <v>1.43</v>
      </c>
      <c r="C195" s="56">
        <v>1.43</v>
      </c>
      <c r="D195" s="56">
        <v>1.43</v>
      </c>
      <c r="E195" s="56">
        <v>1.75</v>
      </c>
      <c r="F195" s="56">
        <v>1.43</v>
      </c>
    </row>
    <row r="196" spans="1:6" x14ac:dyDescent="0.3">
      <c r="A196" s="56">
        <v>712</v>
      </c>
      <c r="B196" s="56">
        <v>1.46</v>
      </c>
      <c r="C196" s="56">
        <v>1.46</v>
      </c>
      <c r="D196" s="56">
        <v>1.46</v>
      </c>
      <c r="E196" s="56">
        <v>1.8</v>
      </c>
      <c r="F196" s="56">
        <v>1.46</v>
      </c>
    </row>
    <row r="197" spans="1:6" x14ac:dyDescent="0.3">
      <c r="A197" s="56">
        <v>713</v>
      </c>
      <c r="B197" s="56">
        <v>1.49</v>
      </c>
      <c r="C197" s="56">
        <v>1.49</v>
      </c>
      <c r="D197" s="56">
        <v>1.49</v>
      </c>
      <c r="E197" s="56">
        <v>1.85</v>
      </c>
      <c r="F197" s="56">
        <v>1.49</v>
      </c>
    </row>
    <row r="198" spans="1:6" x14ac:dyDescent="0.3">
      <c r="A198" s="56">
        <v>714</v>
      </c>
      <c r="B198" s="56">
        <v>1.52</v>
      </c>
      <c r="C198" s="56">
        <v>1.52</v>
      </c>
      <c r="D198" s="56">
        <v>1.52</v>
      </c>
      <c r="E198" s="56">
        <v>1.9</v>
      </c>
      <c r="F198" s="56">
        <v>1.52</v>
      </c>
    </row>
    <row r="199" spans="1:6" x14ac:dyDescent="0.3">
      <c r="A199" s="56">
        <v>715</v>
      </c>
      <c r="B199" s="56">
        <v>1.55</v>
      </c>
      <c r="C199" s="56">
        <v>1.55</v>
      </c>
      <c r="D199" s="56">
        <v>1.55</v>
      </c>
      <c r="E199" s="56">
        <v>1.95</v>
      </c>
      <c r="F199" s="56">
        <v>1.55</v>
      </c>
    </row>
    <row r="200" spans="1:6" x14ac:dyDescent="0.3">
      <c r="A200" s="56">
        <v>716</v>
      </c>
      <c r="B200" s="56">
        <v>1.58</v>
      </c>
      <c r="C200" s="56">
        <v>1.58</v>
      </c>
      <c r="D200" s="56">
        <v>1.58</v>
      </c>
      <c r="E200" s="56">
        <v>2</v>
      </c>
      <c r="F200" s="56">
        <v>1.58</v>
      </c>
    </row>
    <row r="201" spans="1:6" x14ac:dyDescent="0.3">
      <c r="A201" s="56">
        <v>717</v>
      </c>
      <c r="B201" s="56">
        <v>1.61</v>
      </c>
      <c r="C201" s="56">
        <v>1.61</v>
      </c>
      <c r="D201" s="56">
        <v>1.61</v>
      </c>
      <c r="E201" s="56">
        <v>2.0499999999999998</v>
      </c>
      <c r="F201" s="56">
        <v>1.61</v>
      </c>
    </row>
    <row r="202" spans="1:6" x14ac:dyDescent="0.3">
      <c r="A202" s="56">
        <v>718</v>
      </c>
      <c r="B202" s="56">
        <v>1.64</v>
      </c>
      <c r="C202" s="56">
        <v>1.64</v>
      </c>
      <c r="D202" s="56">
        <v>1.64</v>
      </c>
      <c r="E202" s="56">
        <v>2.1</v>
      </c>
      <c r="F202" s="56">
        <v>1.64</v>
      </c>
    </row>
    <row r="203" spans="1:6" x14ac:dyDescent="0.3">
      <c r="A203" s="56">
        <v>719</v>
      </c>
      <c r="B203" s="56">
        <v>1.67</v>
      </c>
      <c r="C203" s="56">
        <v>1.67</v>
      </c>
      <c r="D203" s="56">
        <v>1.67</v>
      </c>
      <c r="E203" s="56">
        <v>2.15</v>
      </c>
      <c r="F203" s="56">
        <v>1.67</v>
      </c>
    </row>
    <row r="204" spans="1:6" x14ac:dyDescent="0.3">
      <c r="A204" s="56">
        <v>720</v>
      </c>
      <c r="B204" s="56">
        <v>1.7</v>
      </c>
      <c r="C204" s="56">
        <v>1.7</v>
      </c>
      <c r="D204" s="56">
        <v>1.7</v>
      </c>
      <c r="E204" s="56">
        <v>2.2000000000000002</v>
      </c>
      <c r="F204" s="56">
        <v>1.7</v>
      </c>
    </row>
    <row r="205" spans="1:6" x14ac:dyDescent="0.3">
      <c r="A205" s="56">
        <v>721</v>
      </c>
      <c r="B205" s="56">
        <v>1.72</v>
      </c>
      <c r="C205" s="56">
        <v>1.72</v>
      </c>
      <c r="D205" s="56">
        <v>1.72</v>
      </c>
      <c r="E205" s="56">
        <v>2.2200000000000002</v>
      </c>
      <c r="F205" s="56">
        <v>1.72</v>
      </c>
    </row>
    <row r="206" spans="1:6" x14ac:dyDescent="0.3">
      <c r="A206" s="56">
        <v>722</v>
      </c>
      <c r="B206" s="56">
        <v>1.74</v>
      </c>
      <c r="C206" s="56">
        <v>1.74</v>
      </c>
      <c r="D206" s="56">
        <v>1.74</v>
      </c>
      <c r="E206" s="56">
        <v>2.2400000000000002</v>
      </c>
      <c r="F206" s="56">
        <v>1.74</v>
      </c>
    </row>
    <row r="207" spans="1:6" x14ac:dyDescent="0.3">
      <c r="A207" s="56">
        <v>723</v>
      </c>
      <c r="B207" s="56">
        <v>1.76</v>
      </c>
      <c r="C207" s="56">
        <v>1.76</v>
      </c>
      <c r="D207" s="56">
        <v>1.76</v>
      </c>
      <c r="E207" s="56">
        <v>2.2599999999999998</v>
      </c>
      <c r="F207" s="56">
        <v>1.76</v>
      </c>
    </row>
    <row r="208" spans="1:6" x14ac:dyDescent="0.3">
      <c r="A208" s="56">
        <v>724</v>
      </c>
      <c r="B208" s="56">
        <v>1.78</v>
      </c>
      <c r="C208" s="56">
        <v>1.78</v>
      </c>
      <c r="D208" s="56">
        <v>1.78</v>
      </c>
      <c r="E208" s="56">
        <v>2.2799999999999998</v>
      </c>
      <c r="F208" s="56">
        <v>1.78</v>
      </c>
    </row>
    <row r="209" spans="1:6" x14ac:dyDescent="0.3">
      <c r="A209" s="56">
        <v>725</v>
      </c>
      <c r="B209" s="56">
        <v>1.8</v>
      </c>
      <c r="C209" s="56">
        <v>1.8</v>
      </c>
      <c r="D209" s="56">
        <v>1.8</v>
      </c>
      <c r="E209" s="56">
        <v>2.2999999999999998</v>
      </c>
      <c r="F209" s="56">
        <v>1.8</v>
      </c>
    </row>
    <row r="210" spans="1:6" x14ac:dyDescent="0.3">
      <c r="A210" s="56">
        <v>800</v>
      </c>
      <c r="B210" s="56">
        <v>0.8</v>
      </c>
      <c r="C210" s="56">
        <v>0.8</v>
      </c>
      <c r="D210" s="56">
        <v>1</v>
      </c>
      <c r="E210" s="56">
        <v>1</v>
      </c>
      <c r="F210" s="56">
        <v>1</v>
      </c>
    </row>
    <row r="211" spans="1:6" x14ac:dyDescent="0.3">
      <c r="A211" s="56">
        <v>801</v>
      </c>
      <c r="B211" s="56">
        <v>0.83</v>
      </c>
      <c r="C211" s="56">
        <v>0.83</v>
      </c>
      <c r="D211" s="56">
        <v>1.07</v>
      </c>
      <c r="E211" s="56">
        <v>1.04</v>
      </c>
      <c r="F211" s="56">
        <v>1.04</v>
      </c>
    </row>
    <row r="212" spans="1:6" x14ac:dyDescent="0.3">
      <c r="A212" s="56">
        <v>802</v>
      </c>
      <c r="B212" s="56">
        <v>0.86</v>
      </c>
      <c r="C212" s="56">
        <v>0.86</v>
      </c>
      <c r="D212" s="56">
        <v>1.1399999999999999</v>
      </c>
      <c r="E212" s="56">
        <v>1.08</v>
      </c>
      <c r="F212" s="56">
        <v>1.08</v>
      </c>
    </row>
    <row r="213" spans="1:6" x14ac:dyDescent="0.3">
      <c r="A213" s="56">
        <v>803</v>
      </c>
      <c r="B213" s="56">
        <v>0.89</v>
      </c>
      <c r="C213" s="56">
        <v>0.89</v>
      </c>
      <c r="D213" s="56">
        <v>1.21</v>
      </c>
      <c r="E213" s="56">
        <v>1.1200000000000001</v>
      </c>
      <c r="F213" s="56">
        <v>1.1200000000000001</v>
      </c>
    </row>
    <row r="214" spans="1:6" x14ac:dyDescent="0.3">
      <c r="A214" s="56">
        <v>804</v>
      </c>
      <c r="B214" s="56">
        <v>0.92</v>
      </c>
      <c r="C214" s="56">
        <v>0.92</v>
      </c>
      <c r="D214" s="56">
        <v>1.28</v>
      </c>
      <c r="E214" s="56">
        <v>1.1599999999999999</v>
      </c>
      <c r="F214" s="56">
        <v>1.1599999999999999</v>
      </c>
    </row>
    <row r="215" spans="1:6" x14ac:dyDescent="0.3">
      <c r="A215" s="56">
        <v>805</v>
      </c>
      <c r="B215" s="56">
        <v>0.95</v>
      </c>
      <c r="C215" s="56">
        <v>0.95</v>
      </c>
      <c r="D215" s="56">
        <v>1.35</v>
      </c>
      <c r="E215" s="56">
        <v>1.2</v>
      </c>
      <c r="F215" s="56">
        <v>1.2</v>
      </c>
    </row>
    <row r="216" spans="1:6" x14ac:dyDescent="0.3">
      <c r="A216" s="56">
        <v>806</v>
      </c>
      <c r="B216" s="56">
        <v>0.98</v>
      </c>
      <c r="C216" s="56">
        <v>0.98</v>
      </c>
      <c r="D216" s="56">
        <v>1.42</v>
      </c>
      <c r="E216" s="56">
        <v>1.24</v>
      </c>
      <c r="F216" s="56">
        <v>1.24</v>
      </c>
    </row>
    <row r="217" spans="1:6" x14ac:dyDescent="0.3">
      <c r="A217" s="56">
        <v>807</v>
      </c>
      <c r="B217" s="56">
        <v>1.01</v>
      </c>
      <c r="C217" s="56">
        <v>1.01</v>
      </c>
      <c r="D217" s="56">
        <v>1.49</v>
      </c>
      <c r="E217" s="56">
        <v>1.28</v>
      </c>
      <c r="F217" s="56">
        <v>1.28</v>
      </c>
    </row>
    <row r="218" spans="1:6" x14ac:dyDescent="0.3">
      <c r="A218" s="56">
        <v>808</v>
      </c>
      <c r="B218" s="56">
        <v>1.04</v>
      </c>
      <c r="C218" s="56">
        <v>1.04</v>
      </c>
      <c r="D218" s="56">
        <v>1.56</v>
      </c>
      <c r="E218" s="56">
        <v>1.32</v>
      </c>
      <c r="F218" s="56">
        <v>1.32</v>
      </c>
    </row>
    <row r="219" spans="1:6" x14ac:dyDescent="0.3">
      <c r="A219" s="56">
        <v>809</v>
      </c>
      <c r="B219" s="56">
        <v>1.07</v>
      </c>
      <c r="C219" s="56">
        <v>1.07</v>
      </c>
      <c r="D219" s="56">
        <v>1.63</v>
      </c>
      <c r="E219" s="56">
        <v>1.36</v>
      </c>
      <c r="F219" s="56">
        <v>1.36</v>
      </c>
    </row>
    <row r="220" spans="1:6" x14ac:dyDescent="0.3">
      <c r="A220" s="56">
        <v>810</v>
      </c>
      <c r="B220" s="56">
        <v>1.1000000000000001</v>
      </c>
      <c r="C220" s="56">
        <v>1.1000000000000001</v>
      </c>
      <c r="D220" s="56">
        <v>1.7</v>
      </c>
      <c r="E220" s="56">
        <v>1.4</v>
      </c>
      <c r="F220" s="56">
        <v>1.4</v>
      </c>
    </row>
    <row r="221" spans="1:6" x14ac:dyDescent="0.3">
      <c r="A221" s="56">
        <v>811</v>
      </c>
      <c r="B221" s="56">
        <v>1.1100000000000001</v>
      </c>
      <c r="C221" s="56">
        <v>1.1100000000000001</v>
      </c>
      <c r="D221" s="56">
        <v>1.75</v>
      </c>
      <c r="E221" s="56">
        <v>1.43</v>
      </c>
      <c r="F221" s="56">
        <v>1.43</v>
      </c>
    </row>
    <row r="222" spans="1:6" x14ac:dyDescent="0.3">
      <c r="A222" s="56">
        <v>812</v>
      </c>
      <c r="B222" s="56">
        <v>1.1200000000000001</v>
      </c>
      <c r="C222" s="56">
        <v>1.1200000000000001</v>
      </c>
      <c r="D222" s="56">
        <v>1.8</v>
      </c>
      <c r="E222" s="56">
        <v>1.46</v>
      </c>
      <c r="F222" s="56">
        <v>1.46</v>
      </c>
    </row>
    <row r="223" spans="1:6" x14ac:dyDescent="0.3">
      <c r="A223" s="56">
        <v>813</v>
      </c>
      <c r="B223" s="56">
        <v>1.1299999999999999</v>
      </c>
      <c r="C223" s="56">
        <v>1.1299999999999999</v>
      </c>
      <c r="D223" s="56">
        <v>1.85</v>
      </c>
      <c r="E223" s="56">
        <v>1.49</v>
      </c>
      <c r="F223" s="56">
        <v>1.49</v>
      </c>
    </row>
    <row r="224" spans="1:6" x14ac:dyDescent="0.3">
      <c r="A224" s="56">
        <v>814</v>
      </c>
      <c r="B224" s="56">
        <v>1.1399999999999999</v>
      </c>
      <c r="C224" s="56">
        <v>1.1399999999999999</v>
      </c>
      <c r="D224" s="56">
        <v>1.9</v>
      </c>
      <c r="E224" s="56">
        <v>1.52</v>
      </c>
      <c r="F224" s="56">
        <v>1.52</v>
      </c>
    </row>
    <row r="225" spans="1:6" x14ac:dyDescent="0.3">
      <c r="A225" s="56">
        <v>815</v>
      </c>
      <c r="B225" s="56">
        <v>1.1499999999999999</v>
      </c>
      <c r="C225" s="56">
        <v>1.1499999999999999</v>
      </c>
      <c r="D225" s="56">
        <v>1.95</v>
      </c>
      <c r="E225" s="56">
        <v>1.55</v>
      </c>
      <c r="F225" s="56">
        <v>1.55</v>
      </c>
    </row>
    <row r="226" spans="1:6" x14ac:dyDescent="0.3">
      <c r="A226" s="56">
        <v>816</v>
      </c>
      <c r="B226" s="56">
        <v>1.1599999999999999</v>
      </c>
      <c r="C226" s="56">
        <v>1.1599999999999999</v>
      </c>
      <c r="D226" s="56">
        <v>2</v>
      </c>
      <c r="E226" s="56">
        <v>1.58</v>
      </c>
      <c r="F226" s="56">
        <v>1.58</v>
      </c>
    </row>
    <row r="227" spans="1:6" x14ac:dyDescent="0.3">
      <c r="A227" s="56">
        <v>817</v>
      </c>
      <c r="B227" s="56">
        <v>1.17</v>
      </c>
      <c r="C227" s="56">
        <v>1.17</v>
      </c>
      <c r="D227" s="56">
        <v>2.0499999999999998</v>
      </c>
      <c r="E227" s="56">
        <v>1.61</v>
      </c>
      <c r="F227" s="56">
        <v>1.61</v>
      </c>
    </row>
    <row r="228" spans="1:6" x14ac:dyDescent="0.3">
      <c r="A228" s="56">
        <v>818</v>
      </c>
      <c r="B228" s="56">
        <v>1.18</v>
      </c>
      <c r="C228" s="56">
        <v>1.18</v>
      </c>
      <c r="D228" s="56">
        <v>2.1</v>
      </c>
      <c r="E228" s="56">
        <v>1.64</v>
      </c>
      <c r="F228" s="56">
        <v>1.64</v>
      </c>
    </row>
    <row r="229" spans="1:6" x14ac:dyDescent="0.3">
      <c r="A229" s="56">
        <v>819</v>
      </c>
      <c r="B229" s="56">
        <v>1.19</v>
      </c>
      <c r="C229" s="56">
        <v>1.19</v>
      </c>
      <c r="D229" s="56">
        <v>2.15</v>
      </c>
      <c r="E229" s="56">
        <v>1.67</v>
      </c>
      <c r="F229" s="56">
        <v>1.67</v>
      </c>
    </row>
    <row r="230" spans="1:6" x14ac:dyDescent="0.3">
      <c r="A230" s="56">
        <v>820</v>
      </c>
      <c r="B230" s="56">
        <v>1.2</v>
      </c>
      <c r="C230" s="56">
        <v>1.2</v>
      </c>
      <c r="D230" s="56">
        <v>2.2000000000000002</v>
      </c>
      <c r="E230" s="56">
        <v>1.7</v>
      </c>
      <c r="F230" s="56">
        <v>1.7</v>
      </c>
    </row>
    <row r="231" spans="1:6" x14ac:dyDescent="0.3">
      <c r="A231" s="56">
        <v>821</v>
      </c>
      <c r="B231" s="56">
        <v>1.22</v>
      </c>
      <c r="C231" s="56">
        <v>1.22</v>
      </c>
      <c r="D231" s="56">
        <v>2.23</v>
      </c>
      <c r="E231" s="56">
        <v>1.72</v>
      </c>
      <c r="F231" s="56">
        <v>1.72</v>
      </c>
    </row>
    <row r="232" spans="1:6" x14ac:dyDescent="0.3">
      <c r="A232" s="56">
        <v>822</v>
      </c>
      <c r="B232" s="56">
        <v>1.24</v>
      </c>
      <c r="C232" s="56">
        <v>1.24</v>
      </c>
      <c r="D232" s="56">
        <v>2.2599999999999998</v>
      </c>
      <c r="E232" s="56">
        <v>1.74</v>
      </c>
      <c r="F232" s="56">
        <v>1.74</v>
      </c>
    </row>
    <row r="233" spans="1:6" x14ac:dyDescent="0.3">
      <c r="A233" s="56">
        <v>823</v>
      </c>
      <c r="B233" s="56">
        <v>1.26</v>
      </c>
      <c r="C233" s="56">
        <v>1.26</v>
      </c>
      <c r="D233" s="56">
        <v>2.29</v>
      </c>
      <c r="E233" s="56">
        <v>1.76</v>
      </c>
      <c r="F233" s="56">
        <v>1.76</v>
      </c>
    </row>
    <row r="234" spans="1:6" x14ac:dyDescent="0.3">
      <c r="A234" s="56">
        <v>824</v>
      </c>
      <c r="B234" s="56">
        <v>1.28</v>
      </c>
      <c r="C234" s="56">
        <v>1.28</v>
      </c>
      <c r="D234" s="56">
        <v>2.3199999999999998</v>
      </c>
      <c r="E234" s="56">
        <v>1.78</v>
      </c>
      <c r="F234" s="56">
        <v>1.78</v>
      </c>
    </row>
    <row r="235" spans="1:6" x14ac:dyDescent="0.3">
      <c r="A235" s="56">
        <v>825</v>
      </c>
      <c r="B235" s="56">
        <v>1.3</v>
      </c>
      <c r="C235" s="56">
        <v>1.3</v>
      </c>
      <c r="D235" s="56">
        <v>2.35</v>
      </c>
      <c r="E235" s="56">
        <v>1.8</v>
      </c>
      <c r="F235" s="56">
        <v>1.8</v>
      </c>
    </row>
    <row r="236" spans="1:6" x14ac:dyDescent="0.3">
      <c r="A236" s="56">
        <v>900</v>
      </c>
      <c r="B236" s="56">
        <v>1</v>
      </c>
      <c r="C236" s="56">
        <v>1</v>
      </c>
      <c r="D236" s="56">
        <v>1</v>
      </c>
      <c r="E236" s="56">
        <v>1</v>
      </c>
      <c r="F236" s="56">
        <v>1</v>
      </c>
    </row>
    <row r="237" spans="1:6" x14ac:dyDescent="0.3">
      <c r="A237" s="56">
        <v>901</v>
      </c>
      <c r="B237" s="56">
        <v>1.05</v>
      </c>
      <c r="C237" s="56">
        <v>1.05</v>
      </c>
      <c r="D237" s="56">
        <v>1.05</v>
      </c>
      <c r="E237" s="56">
        <v>1.04</v>
      </c>
      <c r="F237" s="56">
        <v>1.04</v>
      </c>
    </row>
    <row r="238" spans="1:6" x14ac:dyDescent="0.3">
      <c r="A238" s="56">
        <v>902</v>
      </c>
      <c r="B238" s="56">
        <v>1.1000000000000001</v>
      </c>
      <c r="C238" s="56">
        <v>1.1000000000000001</v>
      </c>
      <c r="D238" s="56">
        <v>1.1000000000000001</v>
      </c>
      <c r="E238" s="56">
        <v>1.08</v>
      </c>
      <c r="F238" s="56">
        <v>1.08</v>
      </c>
    </row>
    <row r="239" spans="1:6" x14ac:dyDescent="0.3">
      <c r="A239" s="56">
        <v>903</v>
      </c>
      <c r="B239" s="56">
        <v>1.1499999999999999</v>
      </c>
      <c r="C239" s="56">
        <v>1.1499999999999999</v>
      </c>
      <c r="D239" s="56">
        <v>1.1499999999999999</v>
      </c>
      <c r="E239" s="56">
        <v>1.1200000000000001</v>
      </c>
      <c r="F239" s="56">
        <v>1.1200000000000001</v>
      </c>
    </row>
    <row r="240" spans="1:6" x14ac:dyDescent="0.3">
      <c r="A240" s="56">
        <v>904</v>
      </c>
      <c r="B240" s="56">
        <v>1.2</v>
      </c>
      <c r="C240" s="56">
        <v>1.2</v>
      </c>
      <c r="D240" s="56">
        <v>1.2</v>
      </c>
      <c r="E240" s="56">
        <v>1.1599999999999999</v>
      </c>
      <c r="F240" s="56">
        <v>1.1599999999999999</v>
      </c>
    </row>
    <row r="241" spans="1:6" x14ac:dyDescent="0.3">
      <c r="A241" s="56">
        <v>905</v>
      </c>
      <c r="B241" s="56">
        <v>1.25</v>
      </c>
      <c r="C241" s="56">
        <v>1.25</v>
      </c>
      <c r="D241" s="56">
        <v>1.25</v>
      </c>
      <c r="E241" s="56">
        <v>1.2</v>
      </c>
      <c r="F241" s="56">
        <v>1.2</v>
      </c>
    </row>
    <row r="242" spans="1:6" x14ac:dyDescent="0.3">
      <c r="A242" s="56">
        <v>906</v>
      </c>
      <c r="B242" s="56">
        <v>1.3</v>
      </c>
      <c r="C242" s="56">
        <v>1.3</v>
      </c>
      <c r="D242" s="56">
        <v>1.3</v>
      </c>
      <c r="E242" s="56">
        <v>1.24</v>
      </c>
      <c r="F242" s="56">
        <v>1.24</v>
      </c>
    </row>
    <row r="243" spans="1:6" x14ac:dyDescent="0.3">
      <c r="A243" s="56">
        <v>907</v>
      </c>
      <c r="B243" s="56">
        <v>1.35</v>
      </c>
      <c r="C243" s="56">
        <v>1.35</v>
      </c>
      <c r="D243" s="56">
        <v>1.35</v>
      </c>
      <c r="E243" s="56">
        <v>1.28</v>
      </c>
      <c r="F243" s="56">
        <v>1.28</v>
      </c>
    </row>
    <row r="244" spans="1:6" x14ac:dyDescent="0.3">
      <c r="A244" s="56">
        <v>908</v>
      </c>
      <c r="B244" s="56">
        <v>1.4</v>
      </c>
      <c r="C244" s="56">
        <v>1.4</v>
      </c>
      <c r="D244" s="56">
        <v>1.4</v>
      </c>
      <c r="E244" s="56">
        <v>1.32</v>
      </c>
      <c r="F244" s="56">
        <v>1.32</v>
      </c>
    </row>
    <row r="245" spans="1:6" x14ac:dyDescent="0.3">
      <c r="A245" s="56">
        <v>909</v>
      </c>
      <c r="B245" s="56">
        <v>1.45</v>
      </c>
      <c r="C245" s="56">
        <v>1.45</v>
      </c>
      <c r="D245" s="56">
        <v>1.45</v>
      </c>
      <c r="E245" s="56">
        <v>1.36</v>
      </c>
      <c r="F245" s="56">
        <v>1.36</v>
      </c>
    </row>
    <row r="246" spans="1:6" x14ac:dyDescent="0.3">
      <c r="A246" s="56">
        <v>910</v>
      </c>
      <c r="B246" s="56">
        <v>1.5</v>
      </c>
      <c r="C246" s="56">
        <v>1.5</v>
      </c>
      <c r="D246" s="56">
        <v>1.5</v>
      </c>
      <c r="E246" s="56">
        <v>1.4</v>
      </c>
      <c r="F246" s="56">
        <v>1.4</v>
      </c>
    </row>
    <row r="247" spans="1:6" x14ac:dyDescent="0.3">
      <c r="A247" s="56">
        <v>911</v>
      </c>
      <c r="B247" s="56">
        <v>1.53</v>
      </c>
      <c r="C247" s="56">
        <v>1.53</v>
      </c>
      <c r="D247" s="56">
        <v>1.54</v>
      </c>
      <c r="E247" s="56">
        <v>1.43</v>
      </c>
      <c r="F247" s="56">
        <v>1.43</v>
      </c>
    </row>
    <row r="248" spans="1:6" x14ac:dyDescent="0.3">
      <c r="A248" s="56">
        <v>912</v>
      </c>
      <c r="B248" s="56">
        <v>1.56</v>
      </c>
      <c r="C248" s="56">
        <v>1.56</v>
      </c>
      <c r="D248" s="56">
        <v>1.58</v>
      </c>
      <c r="E248" s="56">
        <v>1.46</v>
      </c>
      <c r="F248" s="56">
        <v>1.46</v>
      </c>
    </row>
    <row r="249" spans="1:6" x14ac:dyDescent="0.3">
      <c r="A249" s="56">
        <v>913</v>
      </c>
      <c r="B249" s="56">
        <v>1.59</v>
      </c>
      <c r="C249" s="56">
        <v>1.59</v>
      </c>
      <c r="D249" s="56">
        <v>1.62</v>
      </c>
      <c r="E249" s="56">
        <v>1.49</v>
      </c>
      <c r="F249" s="56">
        <v>1.49</v>
      </c>
    </row>
    <row r="250" spans="1:6" x14ac:dyDescent="0.3">
      <c r="A250" s="56">
        <v>914</v>
      </c>
      <c r="B250" s="56">
        <v>1.62</v>
      </c>
      <c r="C250" s="56">
        <v>1.62</v>
      </c>
      <c r="D250" s="56">
        <v>1.66</v>
      </c>
      <c r="E250" s="56">
        <v>1.52</v>
      </c>
      <c r="F250" s="56">
        <v>1.52</v>
      </c>
    </row>
    <row r="251" spans="1:6" x14ac:dyDescent="0.3">
      <c r="A251" s="56">
        <v>915</v>
      </c>
      <c r="B251" s="56">
        <v>1.65</v>
      </c>
      <c r="C251" s="56">
        <v>1.65</v>
      </c>
      <c r="D251" s="56">
        <v>1.7</v>
      </c>
      <c r="E251" s="56">
        <v>1.55</v>
      </c>
      <c r="F251" s="56">
        <v>1.55</v>
      </c>
    </row>
    <row r="252" spans="1:6" x14ac:dyDescent="0.3">
      <c r="A252" s="56">
        <v>916</v>
      </c>
      <c r="B252" s="56">
        <v>1.68</v>
      </c>
      <c r="C252" s="56">
        <v>1.68</v>
      </c>
      <c r="D252" s="56">
        <v>1.74</v>
      </c>
      <c r="E252" s="56">
        <v>1.58</v>
      </c>
      <c r="F252" s="56">
        <v>1.58</v>
      </c>
    </row>
    <row r="253" spans="1:6" x14ac:dyDescent="0.3">
      <c r="A253" s="56">
        <v>917</v>
      </c>
      <c r="B253" s="56">
        <v>1.71</v>
      </c>
      <c r="C253" s="56">
        <v>1.71</v>
      </c>
      <c r="D253" s="56">
        <v>1.78</v>
      </c>
      <c r="E253" s="56">
        <v>1.61</v>
      </c>
      <c r="F253" s="56">
        <v>1.61</v>
      </c>
    </row>
    <row r="254" spans="1:6" x14ac:dyDescent="0.3">
      <c r="A254" s="56">
        <v>918</v>
      </c>
      <c r="B254" s="56">
        <v>1.74</v>
      </c>
      <c r="C254" s="56">
        <v>1.74</v>
      </c>
      <c r="D254" s="56">
        <v>1.82</v>
      </c>
      <c r="E254" s="56">
        <v>1.64</v>
      </c>
      <c r="F254" s="56">
        <v>1.64</v>
      </c>
    </row>
    <row r="255" spans="1:6" x14ac:dyDescent="0.3">
      <c r="A255" s="56">
        <v>919</v>
      </c>
      <c r="B255" s="56">
        <v>1.77</v>
      </c>
      <c r="C255" s="56">
        <v>1.77</v>
      </c>
      <c r="D255" s="56">
        <v>1.86</v>
      </c>
      <c r="E255" s="56">
        <v>1.67</v>
      </c>
      <c r="F255" s="56">
        <v>1.67</v>
      </c>
    </row>
    <row r="256" spans="1:6" x14ac:dyDescent="0.3">
      <c r="A256" s="56">
        <v>920</v>
      </c>
      <c r="B256" s="56">
        <v>1.8</v>
      </c>
      <c r="C256" s="56">
        <v>1.8</v>
      </c>
      <c r="D256" s="56">
        <v>1.9</v>
      </c>
      <c r="E256" s="56">
        <v>1.7</v>
      </c>
      <c r="F256" s="56">
        <v>1.7</v>
      </c>
    </row>
    <row r="257" spans="1:6" x14ac:dyDescent="0.3">
      <c r="A257" s="56">
        <v>921</v>
      </c>
      <c r="B257" s="56">
        <v>1.82</v>
      </c>
      <c r="C257" s="56">
        <v>1.82</v>
      </c>
      <c r="D257" s="56">
        <v>1.92</v>
      </c>
      <c r="E257" s="56">
        <v>1.72</v>
      </c>
      <c r="F257" s="56">
        <v>1.72</v>
      </c>
    </row>
    <row r="258" spans="1:6" x14ac:dyDescent="0.3">
      <c r="A258" s="56">
        <v>922</v>
      </c>
      <c r="B258" s="56">
        <v>1.84</v>
      </c>
      <c r="C258" s="56">
        <v>1.84</v>
      </c>
      <c r="D258" s="56">
        <v>1.94</v>
      </c>
      <c r="E258" s="56">
        <v>1.74</v>
      </c>
      <c r="F258" s="56">
        <v>1.74</v>
      </c>
    </row>
    <row r="259" spans="1:6" x14ac:dyDescent="0.3">
      <c r="A259" s="56">
        <v>923</v>
      </c>
      <c r="B259" s="56">
        <v>1.86</v>
      </c>
      <c r="C259" s="56">
        <v>1.86</v>
      </c>
      <c r="D259" s="56">
        <v>1.96</v>
      </c>
      <c r="E259" s="56">
        <v>1.76</v>
      </c>
      <c r="F259" s="56">
        <v>1.76</v>
      </c>
    </row>
    <row r="260" spans="1:6" x14ac:dyDescent="0.3">
      <c r="A260" s="56">
        <v>924</v>
      </c>
      <c r="B260" s="56">
        <v>1.88</v>
      </c>
      <c r="C260" s="56">
        <v>1.88</v>
      </c>
      <c r="D260" s="56">
        <v>1.98</v>
      </c>
      <c r="E260" s="56">
        <v>1.78</v>
      </c>
      <c r="F260" s="56">
        <v>1.78</v>
      </c>
    </row>
    <row r="261" spans="1:6" x14ac:dyDescent="0.3">
      <c r="A261" s="56">
        <v>925</v>
      </c>
      <c r="B261" s="56">
        <v>1.9</v>
      </c>
      <c r="C261" s="56">
        <v>1.9</v>
      </c>
      <c r="D261" s="56">
        <v>2</v>
      </c>
      <c r="E261" s="56">
        <v>1.8</v>
      </c>
      <c r="F261" s="56">
        <v>1.8</v>
      </c>
    </row>
    <row r="262" spans="1:6" x14ac:dyDescent="0.3">
      <c r="A262" s="56">
        <v>1000</v>
      </c>
      <c r="B262" s="56">
        <v>1</v>
      </c>
      <c r="C262" s="56">
        <v>1</v>
      </c>
      <c r="D262" s="56">
        <v>1</v>
      </c>
      <c r="E262" s="56">
        <v>1</v>
      </c>
      <c r="F262" s="56">
        <v>1</v>
      </c>
    </row>
    <row r="263" spans="1:6" x14ac:dyDescent="0.3">
      <c r="A263" s="56">
        <v>1001</v>
      </c>
      <c r="B263" s="56">
        <v>1.04</v>
      </c>
      <c r="C263" s="56">
        <v>1.04</v>
      </c>
      <c r="D263" s="56">
        <v>1.04</v>
      </c>
      <c r="E263" s="56">
        <v>1.04</v>
      </c>
      <c r="F263" s="56">
        <v>1.03</v>
      </c>
    </row>
    <row r="264" spans="1:6" x14ac:dyDescent="0.3">
      <c r="A264" s="56">
        <v>1002</v>
      </c>
      <c r="B264" s="56">
        <v>1.08</v>
      </c>
      <c r="C264" s="56">
        <v>1.08</v>
      </c>
      <c r="D264" s="56">
        <v>1.08</v>
      </c>
      <c r="E264" s="56">
        <v>1.08</v>
      </c>
      <c r="F264" s="56">
        <v>1.06</v>
      </c>
    </row>
    <row r="265" spans="1:6" x14ac:dyDescent="0.3">
      <c r="A265" s="56">
        <v>1003</v>
      </c>
      <c r="B265" s="56">
        <v>1.1200000000000001</v>
      </c>
      <c r="C265" s="56">
        <v>1.1200000000000001</v>
      </c>
      <c r="D265" s="56">
        <v>1.1200000000000001</v>
      </c>
      <c r="E265" s="56">
        <v>1.1200000000000001</v>
      </c>
      <c r="F265" s="56">
        <v>1.0900000000000001</v>
      </c>
    </row>
    <row r="266" spans="1:6" x14ac:dyDescent="0.3">
      <c r="A266" s="56">
        <v>1004</v>
      </c>
      <c r="B266" s="56">
        <v>1.1599999999999999</v>
      </c>
      <c r="C266" s="56">
        <v>1.1599999999999999</v>
      </c>
      <c r="D266" s="56">
        <v>1.1599999999999999</v>
      </c>
      <c r="E266" s="56">
        <v>1.1599999999999999</v>
      </c>
      <c r="F266" s="56">
        <v>1.1200000000000001</v>
      </c>
    </row>
    <row r="267" spans="1:6" x14ac:dyDescent="0.3">
      <c r="A267" s="56">
        <v>1005</v>
      </c>
      <c r="B267" s="56">
        <v>1.2</v>
      </c>
      <c r="C267" s="56">
        <v>1.2</v>
      </c>
      <c r="D267" s="56">
        <v>1.2</v>
      </c>
      <c r="E267" s="56">
        <v>1.2</v>
      </c>
      <c r="F267" s="56">
        <v>1.1499999999999999</v>
      </c>
    </row>
    <row r="268" spans="1:6" x14ac:dyDescent="0.3">
      <c r="A268" s="56">
        <v>1006</v>
      </c>
      <c r="B268" s="56">
        <v>1.24</v>
      </c>
      <c r="C268" s="56">
        <v>1.24</v>
      </c>
      <c r="D268" s="56">
        <v>1.24</v>
      </c>
      <c r="E268" s="56">
        <v>1.24</v>
      </c>
      <c r="F268" s="56">
        <v>1.18</v>
      </c>
    </row>
    <row r="269" spans="1:6" x14ac:dyDescent="0.3">
      <c r="A269" s="56">
        <v>1007</v>
      </c>
      <c r="B269" s="56">
        <v>1.28</v>
      </c>
      <c r="C269" s="56">
        <v>1.28</v>
      </c>
      <c r="D269" s="56">
        <v>1.28</v>
      </c>
      <c r="E269" s="56">
        <v>1.28</v>
      </c>
      <c r="F269" s="56">
        <v>1.21</v>
      </c>
    </row>
    <row r="270" spans="1:6" x14ac:dyDescent="0.3">
      <c r="A270" s="56">
        <v>1008</v>
      </c>
      <c r="B270" s="56">
        <v>1.32</v>
      </c>
      <c r="C270" s="56">
        <v>1.32</v>
      </c>
      <c r="D270" s="56">
        <v>1.32</v>
      </c>
      <c r="E270" s="56">
        <v>1.32</v>
      </c>
      <c r="F270" s="56">
        <v>1.24</v>
      </c>
    </row>
    <row r="271" spans="1:6" x14ac:dyDescent="0.3">
      <c r="A271" s="56">
        <v>1009</v>
      </c>
      <c r="B271" s="56">
        <v>1.36</v>
      </c>
      <c r="C271" s="56">
        <v>1.36</v>
      </c>
      <c r="D271" s="56">
        <v>1.36</v>
      </c>
      <c r="E271" s="56">
        <v>1.36</v>
      </c>
      <c r="F271" s="56">
        <v>1.27</v>
      </c>
    </row>
    <row r="272" spans="1:6" x14ac:dyDescent="0.3">
      <c r="A272" s="56">
        <v>1010</v>
      </c>
      <c r="B272" s="56">
        <v>1.4</v>
      </c>
      <c r="C272" s="56">
        <v>1.4</v>
      </c>
      <c r="D272" s="56">
        <v>1.4</v>
      </c>
      <c r="E272" s="56">
        <v>1.4</v>
      </c>
      <c r="F272" s="56">
        <v>1.3</v>
      </c>
    </row>
    <row r="273" spans="1:6" x14ac:dyDescent="0.3">
      <c r="A273" s="56">
        <v>1011</v>
      </c>
      <c r="B273" s="56">
        <v>1.43</v>
      </c>
      <c r="C273" s="56">
        <v>1.43</v>
      </c>
      <c r="D273" s="56">
        <v>1.43</v>
      </c>
      <c r="E273" s="56">
        <v>1.43</v>
      </c>
      <c r="F273" s="56">
        <v>1.31</v>
      </c>
    </row>
    <row r="274" spans="1:6" x14ac:dyDescent="0.3">
      <c r="A274" s="56">
        <v>1012</v>
      </c>
      <c r="B274" s="56">
        <v>1.46</v>
      </c>
      <c r="C274" s="56">
        <v>1.46</v>
      </c>
      <c r="D274" s="56">
        <v>1.46</v>
      </c>
      <c r="E274" s="56">
        <v>1.46</v>
      </c>
      <c r="F274" s="56">
        <v>1.32</v>
      </c>
    </row>
    <row r="275" spans="1:6" x14ac:dyDescent="0.3">
      <c r="A275" s="56">
        <v>1013</v>
      </c>
      <c r="B275" s="56">
        <v>1.49</v>
      </c>
      <c r="C275" s="56">
        <v>1.49</v>
      </c>
      <c r="D275" s="56">
        <v>1.49</v>
      </c>
      <c r="E275" s="56">
        <v>1.49</v>
      </c>
      <c r="F275" s="56">
        <v>1.33</v>
      </c>
    </row>
    <row r="276" spans="1:6" x14ac:dyDescent="0.3">
      <c r="A276" s="56">
        <v>1014</v>
      </c>
      <c r="B276" s="56">
        <v>1.52</v>
      </c>
      <c r="C276" s="56">
        <v>1.52</v>
      </c>
      <c r="D276" s="56">
        <v>1.52</v>
      </c>
      <c r="E276" s="56">
        <v>1.52</v>
      </c>
      <c r="F276" s="56">
        <v>1.34</v>
      </c>
    </row>
    <row r="277" spans="1:6" x14ac:dyDescent="0.3">
      <c r="A277" s="56">
        <v>1015</v>
      </c>
      <c r="B277" s="56">
        <v>1.55</v>
      </c>
      <c r="C277" s="56">
        <v>1.55</v>
      </c>
      <c r="D277" s="56">
        <v>1.55</v>
      </c>
      <c r="E277" s="56">
        <v>1.55</v>
      </c>
      <c r="F277" s="56">
        <v>1.35</v>
      </c>
    </row>
    <row r="278" spans="1:6" x14ac:dyDescent="0.3">
      <c r="A278" s="56">
        <v>1016</v>
      </c>
      <c r="B278" s="56">
        <v>1.58</v>
      </c>
      <c r="C278" s="56">
        <v>1.58</v>
      </c>
      <c r="D278" s="56">
        <v>1.58</v>
      </c>
      <c r="E278" s="56">
        <v>1.58</v>
      </c>
      <c r="F278" s="56">
        <v>1.36</v>
      </c>
    </row>
    <row r="279" spans="1:6" x14ac:dyDescent="0.3">
      <c r="A279" s="56">
        <v>1017</v>
      </c>
      <c r="B279" s="56">
        <v>1.61</v>
      </c>
      <c r="C279" s="56">
        <v>1.61</v>
      </c>
      <c r="D279" s="56">
        <v>1.61</v>
      </c>
      <c r="E279" s="56">
        <v>1.61</v>
      </c>
      <c r="F279" s="56">
        <v>1.37</v>
      </c>
    </row>
    <row r="280" spans="1:6" x14ac:dyDescent="0.3">
      <c r="A280" s="56">
        <v>1018</v>
      </c>
      <c r="B280" s="56">
        <v>1.64</v>
      </c>
      <c r="C280" s="56">
        <v>1.64</v>
      </c>
      <c r="D280" s="56">
        <v>1.64</v>
      </c>
      <c r="E280" s="56">
        <v>1.64</v>
      </c>
      <c r="F280" s="56">
        <v>1.38</v>
      </c>
    </row>
    <row r="281" spans="1:6" x14ac:dyDescent="0.3">
      <c r="A281" s="56">
        <v>1019</v>
      </c>
      <c r="B281" s="56">
        <v>1.67</v>
      </c>
      <c r="C281" s="56">
        <v>1.67</v>
      </c>
      <c r="D281" s="56">
        <v>1.67</v>
      </c>
      <c r="E281" s="56">
        <v>1.67</v>
      </c>
      <c r="F281" s="56">
        <v>1.39</v>
      </c>
    </row>
    <row r="282" spans="1:6" x14ac:dyDescent="0.3">
      <c r="A282" s="56">
        <v>1020</v>
      </c>
      <c r="B282" s="56">
        <v>1.7</v>
      </c>
      <c r="C282" s="56">
        <v>1.7</v>
      </c>
      <c r="D282" s="56">
        <v>1.7</v>
      </c>
      <c r="E282" s="56">
        <v>1.7</v>
      </c>
      <c r="F282" s="56">
        <v>1.4</v>
      </c>
    </row>
    <row r="283" spans="1:6" x14ac:dyDescent="0.3">
      <c r="A283" s="56">
        <v>1021</v>
      </c>
      <c r="B283" s="56">
        <v>1.74</v>
      </c>
      <c r="C283" s="56">
        <v>1.74</v>
      </c>
      <c r="D283" s="56">
        <v>1.74</v>
      </c>
      <c r="E283" s="56">
        <v>1.74</v>
      </c>
      <c r="F283" s="56">
        <v>1.41</v>
      </c>
    </row>
    <row r="284" spans="1:6" x14ac:dyDescent="0.3">
      <c r="A284" s="56">
        <v>1022</v>
      </c>
      <c r="B284" s="56">
        <v>1.78</v>
      </c>
      <c r="C284" s="56">
        <v>1.78</v>
      </c>
      <c r="D284" s="56">
        <v>1.78</v>
      </c>
      <c r="E284" s="56">
        <v>1.78</v>
      </c>
      <c r="F284" s="56">
        <v>1.42</v>
      </c>
    </row>
    <row r="285" spans="1:6" x14ac:dyDescent="0.3">
      <c r="A285" s="56">
        <v>1023</v>
      </c>
      <c r="B285" s="56">
        <v>1.82</v>
      </c>
      <c r="C285" s="56">
        <v>1.82</v>
      </c>
      <c r="D285" s="56">
        <v>1.82</v>
      </c>
      <c r="E285" s="56">
        <v>1.82</v>
      </c>
      <c r="F285" s="56">
        <v>1.43</v>
      </c>
    </row>
    <row r="286" spans="1:6" x14ac:dyDescent="0.3">
      <c r="A286" s="56">
        <v>1024</v>
      </c>
      <c r="B286" s="56">
        <v>1.86</v>
      </c>
      <c r="C286" s="56">
        <v>1.86</v>
      </c>
      <c r="D286" s="56">
        <v>1.86</v>
      </c>
      <c r="E286" s="56">
        <v>1.86</v>
      </c>
      <c r="F286" s="56">
        <v>1.44</v>
      </c>
    </row>
    <row r="287" spans="1:6" x14ac:dyDescent="0.3">
      <c r="A287" s="56">
        <v>1025</v>
      </c>
      <c r="B287" s="56">
        <v>1.9</v>
      </c>
      <c r="C287" s="56">
        <v>1.9</v>
      </c>
      <c r="D287" s="56">
        <v>1.9</v>
      </c>
      <c r="E287" s="56">
        <v>1.9</v>
      </c>
      <c r="F287" s="56">
        <v>1.45</v>
      </c>
    </row>
    <row r="288" spans="1:6" x14ac:dyDescent="0.3">
      <c r="A288" s="56">
        <v>1100</v>
      </c>
      <c r="B288" s="56">
        <v>1</v>
      </c>
      <c r="C288" s="56">
        <v>1</v>
      </c>
      <c r="D288" s="56">
        <v>1</v>
      </c>
      <c r="E288" s="56">
        <v>1</v>
      </c>
      <c r="F288" s="56">
        <v>1</v>
      </c>
    </row>
    <row r="289" spans="1:6" x14ac:dyDescent="0.3">
      <c r="A289" s="56">
        <v>1101</v>
      </c>
      <c r="B289" s="56">
        <v>1.04</v>
      </c>
      <c r="C289" s="56">
        <v>1.04</v>
      </c>
      <c r="D289" s="56">
        <v>1.04</v>
      </c>
      <c r="E289" s="56">
        <v>1.04</v>
      </c>
      <c r="F289" s="56">
        <v>1.03</v>
      </c>
    </row>
    <row r="290" spans="1:6" x14ac:dyDescent="0.3">
      <c r="A290" s="56">
        <v>1102</v>
      </c>
      <c r="B290" s="56">
        <v>1.08</v>
      </c>
      <c r="C290" s="56">
        <v>1.08</v>
      </c>
      <c r="D290" s="56">
        <v>1.08</v>
      </c>
      <c r="E290" s="56">
        <v>1.08</v>
      </c>
      <c r="F290" s="56">
        <v>1.06</v>
      </c>
    </row>
    <row r="291" spans="1:6" x14ac:dyDescent="0.3">
      <c r="A291" s="56">
        <v>1103</v>
      </c>
      <c r="B291" s="56">
        <v>1.1200000000000001</v>
      </c>
      <c r="C291" s="56">
        <v>1.1200000000000001</v>
      </c>
      <c r="D291" s="56">
        <v>1.1200000000000001</v>
      </c>
      <c r="E291" s="56">
        <v>1.1200000000000001</v>
      </c>
      <c r="F291" s="56">
        <v>1.0900000000000001</v>
      </c>
    </row>
    <row r="292" spans="1:6" x14ac:dyDescent="0.3">
      <c r="A292" s="56">
        <v>1104</v>
      </c>
      <c r="B292" s="56">
        <v>1.1599999999999999</v>
      </c>
      <c r="C292" s="56">
        <v>1.1599999999999999</v>
      </c>
      <c r="D292" s="56">
        <v>1.1599999999999999</v>
      </c>
      <c r="E292" s="56">
        <v>1.1599999999999999</v>
      </c>
      <c r="F292" s="56">
        <v>1.1200000000000001</v>
      </c>
    </row>
    <row r="293" spans="1:6" x14ac:dyDescent="0.3">
      <c r="A293" s="56">
        <v>1105</v>
      </c>
      <c r="B293" s="56">
        <v>1.2</v>
      </c>
      <c r="C293" s="56">
        <v>1.2</v>
      </c>
      <c r="D293" s="56">
        <v>1.2</v>
      </c>
      <c r="E293" s="56">
        <v>1.2</v>
      </c>
      <c r="F293" s="56">
        <v>1.1499999999999999</v>
      </c>
    </row>
    <row r="294" spans="1:6" x14ac:dyDescent="0.3">
      <c r="A294" s="56">
        <v>1106</v>
      </c>
      <c r="B294" s="56">
        <v>1.24</v>
      </c>
      <c r="C294" s="56">
        <v>1.24</v>
      </c>
      <c r="D294" s="56">
        <v>1.24</v>
      </c>
      <c r="E294" s="56">
        <v>1.24</v>
      </c>
      <c r="F294" s="56">
        <v>1.18</v>
      </c>
    </row>
    <row r="295" spans="1:6" x14ac:dyDescent="0.3">
      <c r="A295" s="56">
        <v>1107</v>
      </c>
      <c r="B295" s="56">
        <v>1.28</v>
      </c>
      <c r="C295" s="56">
        <v>1.28</v>
      </c>
      <c r="D295" s="56">
        <v>1.28</v>
      </c>
      <c r="E295" s="56">
        <v>1.28</v>
      </c>
      <c r="F295" s="56">
        <v>1.21</v>
      </c>
    </row>
    <row r="296" spans="1:6" x14ac:dyDescent="0.3">
      <c r="A296" s="56">
        <v>1108</v>
      </c>
      <c r="B296" s="56">
        <v>1.32</v>
      </c>
      <c r="C296" s="56">
        <v>1.32</v>
      </c>
      <c r="D296" s="56">
        <v>1.32</v>
      </c>
      <c r="E296" s="56">
        <v>1.32</v>
      </c>
      <c r="F296" s="56">
        <v>1.24</v>
      </c>
    </row>
    <row r="297" spans="1:6" x14ac:dyDescent="0.3">
      <c r="A297" s="56">
        <v>1109</v>
      </c>
      <c r="B297" s="56">
        <v>1.36</v>
      </c>
      <c r="C297" s="56">
        <v>1.36</v>
      </c>
      <c r="D297" s="56">
        <v>1.36</v>
      </c>
      <c r="E297" s="56">
        <v>1.36</v>
      </c>
      <c r="F297" s="56">
        <v>1.27</v>
      </c>
    </row>
    <row r="298" spans="1:6" x14ac:dyDescent="0.3">
      <c r="A298" s="56">
        <v>1110</v>
      </c>
      <c r="B298" s="56">
        <v>1.4</v>
      </c>
      <c r="C298" s="56">
        <v>1.4</v>
      </c>
      <c r="D298" s="56">
        <v>1.4</v>
      </c>
      <c r="E298" s="56">
        <v>1.4</v>
      </c>
      <c r="F298" s="56">
        <v>1.3</v>
      </c>
    </row>
    <row r="299" spans="1:6" x14ac:dyDescent="0.3">
      <c r="A299" s="56">
        <v>1111</v>
      </c>
      <c r="B299" s="56">
        <v>1.43</v>
      </c>
      <c r="C299" s="56">
        <v>1.43</v>
      </c>
      <c r="D299" s="56">
        <v>1.43</v>
      </c>
      <c r="E299" s="56">
        <v>1.43</v>
      </c>
      <c r="F299" s="56">
        <v>1.31</v>
      </c>
    </row>
    <row r="300" spans="1:6" x14ac:dyDescent="0.3">
      <c r="A300" s="56">
        <v>1112</v>
      </c>
      <c r="B300" s="56">
        <v>1.46</v>
      </c>
      <c r="C300" s="56">
        <v>1.46</v>
      </c>
      <c r="D300" s="56">
        <v>1.46</v>
      </c>
      <c r="E300" s="56">
        <v>1.46</v>
      </c>
      <c r="F300" s="56">
        <v>1.32</v>
      </c>
    </row>
    <row r="301" spans="1:6" x14ac:dyDescent="0.3">
      <c r="A301" s="56">
        <v>1113</v>
      </c>
      <c r="B301" s="56">
        <v>1.49</v>
      </c>
      <c r="C301" s="56">
        <v>1.49</v>
      </c>
      <c r="D301" s="56">
        <v>1.49</v>
      </c>
      <c r="E301" s="56">
        <v>1.49</v>
      </c>
      <c r="F301" s="56">
        <v>1.33</v>
      </c>
    </row>
    <row r="302" spans="1:6" x14ac:dyDescent="0.3">
      <c r="A302" s="56">
        <v>1114</v>
      </c>
      <c r="B302" s="56">
        <v>1.52</v>
      </c>
      <c r="C302" s="56">
        <v>1.52</v>
      </c>
      <c r="D302" s="56">
        <v>1.52</v>
      </c>
      <c r="E302" s="56">
        <v>1.52</v>
      </c>
      <c r="F302" s="56">
        <v>1.34</v>
      </c>
    </row>
    <row r="303" spans="1:6" x14ac:dyDescent="0.3">
      <c r="A303" s="56">
        <v>1115</v>
      </c>
      <c r="B303" s="56">
        <v>1.55</v>
      </c>
      <c r="C303" s="56">
        <v>1.55</v>
      </c>
      <c r="D303" s="56">
        <v>1.55</v>
      </c>
      <c r="E303" s="56">
        <v>1.55</v>
      </c>
      <c r="F303" s="56">
        <v>1.35</v>
      </c>
    </row>
    <row r="304" spans="1:6" x14ac:dyDescent="0.3">
      <c r="A304" s="56">
        <v>1116</v>
      </c>
      <c r="B304" s="56">
        <v>1.58</v>
      </c>
      <c r="C304" s="56">
        <v>1.58</v>
      </c>
      <c r="D304" s="56">
        <v>1.58</v>
      </c>
      <c r="E304" s="56">
        <v>1.58</v>
      </c>
      <c r="F304" s="56">
        <v>1.36</v>
      </c>
    </row>
    <row r="305" spans="1:6" x14ac:dyDescent="0.3">
      <c r="A305" s="56">
        <v>1117</v>
      </c>
      <c r="B305" s="56">
        <v>1.61</v>
      </c>
      <c r="C305" s="56">
        <v>1.61</v>
      </c>
      <c r="D305" s="56">
        <v>1.61</v>
      </c>
      <c r="E305" s="56">
        <v>1.61</v>
      </c>
      <c r="F305" s="56">
        <v>1.37</v>
      </c>
    </row>
    <row r="306" spans="1:6" x14ac:dyDescent="0.3">
      <c r="A306" s="56">
        <v>1118</v>
      </c>
      <c r="B306" s="56">
        <v>1.64</v>
      </c>
      <c r="C306" s="56">
        <v>1.64</v>
      </c>
      <c r="D306" s="56">
        <v>1.64</v>
      </c>
      <c r="E306" s="56">
        <v>1.64</v>
      </c>
      <c r="F306" s="56">
        <v>1.38</v>
      </c>
    </row>
    <row r="307" spans="1:6" x14ac:dyDescent="0.3">
      <c r="A307" s="56">
        <v>1119</v>
      </c>
      <c r="B307" s="56">
        <v>1.67</v>
      </c>
      <c r="C307" s="56">
        <v>1.67</v>
      </c>
      <c r="D307" s="56">
        <v>1.67</v>
      </c>
      <c r="E307" s="56">
        <v>1.67</v>
      </c>
      <c r="F307" s="56">
        <v>1.39</v>
      </c>
    </row>
    <row r="308" spans="1:6" x14ac:dyDescent="0.3">
      <c r="A308" s="56">
        <v>1120</v>
      </c>
      <c r="B308" s="56">
        <v>1.7</v>
      </c>
      <c r="C308" s="56">
        <v>1.7</v>
      </c>
      <c r="D308" s="56">
        <v>1.7</v>
      </c>
      <c r="E308" s="56">
        <v>1.7</v>
      </c>
      <c r="F308" s="56">
        <v>1.4</v>
      </c>
    </row>
    <row r="309" spans="1:6" x14ac:dyDescent="0.3">
      <c r="A309" s="56">
        <v>1121</v>
      </c>
      <c r="B309" s="56">
        <v>1.74</v>
      </c>
      <c r="C309" s="56">
        <v>1.74</v>
      </c>
      <c r="D309" s="56">
        <v>1.74</v>
      </c>
      <c r="E309" s="56">
        <v>1.74</v>
      </c>
      <c r="F309" s="56">
        <v>1.41</v>
      </c>
    </row>
    <row r="310" spans="1:6" x14ac:dyDescent="0.3">
      <c r="A310" s="56">
        <v>1122</v>
      </c>
      <c r="B310" s="56">
        <v>1.78</v>
      </c>
      <c r="C310" s="56">
        <v>1.78</v>
      </c>
      <c r="D310" s="56">
        <v>1.78</v>
      </c>
      <c r="E310" s="56">
        <v>1.78</v>
      </c>
      <c r="F310" s="56">
        <v>1.42</v>
      </c>
    </row>
    <row r="311" spans="1:6" x14ac:dyDescent="0.3">
      <c r="A311" s="56">
        <v>1123</v>
      </c>
      <c r="B311" s="56">
        <v>1.82</v>
      </c>
      <c r="C311" s="56">
        <v>1.82</v>
      </c>
      <c r="D311" s="56">
        <v>1.82</v>
      </c>
      <c r="E311" s="56">
        <v>1.82</v>
      </c>
      <c r="F311" s="56">
        <v>1.43</v>
      </c>
    </row>
    <row r="312" spans="1:6" x14ac:dyDescent="0.3">
      <c r="A312" s="56">
        <v>1124</v>
      </c>
      <c r="B312" s="56">
        <v>1.86</v>
      </c>
      <c r="C312" s="56">
        <v>1.86</v>
      </c>
      <c r="D312" s="56">
        <v>1.86</v>
      </c>
      <c r="E312" s="56">
        <v>1.86</v>
      </c>
      <c r="F312" s="56">
        <v>1.44</v>
      </c>
    </row>
    <row r="313" spans="1:6" x14ac:dyDescent="0.3">
      <c r="A313" s="56">
        <v>1125</v>
      </c>
      <c r="B313" s="56">
        <v>1.9</v>
      </c>
      <c r="C313" s="56">
        <v>1.9</v>
      </c>
      <c r="D313" s="56">
        <v>1.9</v>
      </c>
      <c r="E313" s="56">
        <v>1.9</v>
      </c>
      <c r="F313" s="56">
        <v>1.45</v>
      </c>
    </row>
    <row r="314" spans="1:6" x14ac:dyDescent="0.3">
      <c r="A314" s="56">
        <v>1200</v>
      </c>
      <c r="B314" s="56">
        <v>0.8</v>
      </c>
      <c r="C314" s="56">
        <v>0.8</v>
      </c>
      <c r="D314" s="56">
        <v>0.8</v>
      </c>
      <c r="E314" s="56">
        <v>0.8</v>
      </c>
      <c r="F314" s="56">
        <v>1</v>
      </c>
    </row>
    <row r="315" spans="1:6" x14ac:dyDescent="0.3">
      <c r="A315" s="56">
        <v>1201</v>
      </c>
      <c r="B315" s="56">
        <v>0.84</v>
      </c>
      <c r="C315" s="56">
        <v>0.84</v>
      </c>
      <c r="D315" s="56">
        <v>0.84</v>
      </c>
      <c r="E315" s="56">
        <v>0.84</v>
      </c>
      <c r="F315" s="56">
        <v>1.04</v>
      </c>
    </row>
    <row r="316" spans="1:6" x14ac:dyDescent="0.3">
      <c r="A316" s="56">
        <v>1202</v>
      </c>
      <c r="B316" s="56">
        <v>0.88</v>
      </c>
      <c r="C316" s="56">
        <v>0.88</v>
      </c>
      <c r="D316" s="56">
        <v>0.88</v>
      </c>
      <c r="E316" s="56">
        <v>0.88</v>
      </c>
      <c r="F316" s="56">
        <v>1.08</v>
      </c>
    </row>
    <row r="317" spans="1:6" x14ac:dyDescent="0.3">
      <c r="A317" s="56">
        <v>1203</v>
      </c>
      <c r="B317" s="56">
        <v>0.92</v>
      </c>
      <c r="C317" s="56">
        <v>0.92</v>
      </c>
      <c r="D317" s="56">
        <v>0.92</v>
      </c>
      <c r="E317" s="56">
        <v>0.92</v>
      </c>
      <c r="F317" s="56">
        <v>1.1200000000000001</v>
      </c>
    </row>
    <row r="318" spans="1:6" x14ac:dyDescent="0.3">
      <c r="A318" s="56">
        <v>1204</v>
      </c>
      <c r="B318" s="56">
        <v>0.96</v>
      </c>
      <c r="C318" s="56">
        <v>0.96</v>
      </c>
      <c r="D318" s="56">
        <v>0.96</v>
      </c>
      <c r="E318" s="56">
        <v>0.96</v>
      </c>
      <c r="F318" s="56">
        <v>1.1599999999999999</v>
      </c>
    </row>
    <row r="319" spans="1:6" x14ac:dyDescent="0.3">
      <c r="A319" s="56">
        <v>1205</v>
      </c>
      <c r="B319" s="56">
        <v>1</v>
      </c>
      <c r="C319" s="56">
        <v>1</v>
      </c>
      <c r="D319" s="56">
        <v>1</v>
      </c>
      <c r="E319" s="56">
        <v>1</v>
      </c>
      <c r="F319" s="56">
        <v>1.2</v>
      </c>
    </row>
    <row r="320" spans="1:6" x14ac:dyDescent="0.3">
      <c r="A320" s="56">
        <v>1206</v>
      </c>
      <c r="B320" s="56">
        <v>1.04</v>
      </c>
      <c r="C320" s="56">
        <v>1.04</v>
      </c>
      <c r="D320" s="56">
        <v>1.04</v>
      </c>
      <c r="E320" s="56">
        <v>1.04</v>
      </c>
      <c r="F320" s="56">
        <v>1.24</v>
      </c>
    </row>
    <row r="321" spans="1:6" x14ac:dyDescent="0.3">
      <c r="A321" s="56">
        <v>1207</v>
      </c>
      <c r="B321" s="56">
        <v>1.08</v>
      </c>
      <c r="C321" s="56">
        <v>1.08</v>
      </c>
      <c r="D321" s="56">
        <v>1.08</v>
      </c>
      <c r="E321" s="56">
        <v>1.08</v>
      </c>
      <c r="F321" s="56">
        <v>1.28</v>
      </c>
    </row>
    <row r="322" spans="1:6" x14ac:dyDescent="0.3">
      <c r="A322" s="56">
        <v>1208</v>
      </c>
      <c r="B322" s="56">
        <v>1.1200000000000001</v>
      </c>
      <c r="C322" s="56">
        <v>1.1200000000000001</v>
      </c>
      <c r="D322" s="56">
        <v>1.1200000000000001</v>
      </c>
      <c r="E322" s="56">
        <v>1.1200000000000001</v>
      </c>
      <c r="F322" s="56">
        <v>1.32</v>
      </c>
    </row>
    <row r="323" spans="1:6" x14ac:dyDescent="0.3">
      <c r="A323" s="56">
        <v>1209</v>
      </c>
      <c r="B323" s="56">
        <v>1.1599999999999999</v>
      </c>
      <c r="C323" s="56">
        <v>1.1599999999999999</v>
      </c>
      <c r="D323" s="56">
        <v>1.1599999999999999</v>
      </c>
      <c r="E323" s="56">
        <v>1.1599999999999999</v>
      </c>
      <c r="F323" s="56">
        <v>1.36</v>
      </c>
    </row>
    <row r="324" spans="1:6" x14ac:dyDescent="0.3">
      <c r="A324" s="56">
        <v>1210</v>
      </c>
      <c r="B324" s="56">
        <v>1.2</v>
      </c>
      <c r="C324" s="56">
        <v>1.2</v>
      </c>
      <c r="D324" s="56">
        <v>1.2</v>
      </c>
      <c r="E324" s="56">
        <v>1.2</v>
      </c>
      <c r="F324" s="56">
        <v>1.4</v>
      </c>
    </row>
    <row r="325" spans="1:6" x14ac:dyDescent="0.3">
      <c r="A325" s="56">
        <v>1211</v>
      </c>
      <c r="B325" s="56">
        <v>1.22</v>
      </c>
      <c r="C325" s="56">
        <v>1.22</v>
      </c>
      <c r="D325" s="56">
        <v>1.22</v>
      </c>
      <c r="E325" s="56">
        <v>1.22</v>
      </c>
      <c r="F325" s="56">
        <v>1.43</v>
      </c>
    </row>
    <row r="326" spans="1:6" x14ac:dyDescent="0.3">
      <c r="A326" s="56">
        <v>1212</v>
      </c>
      <c r="B326" s="56">
        <v>1.24</v>
      </c>
      <c r="C326" s="56">
        <v>1.24</v>
      </c>
      <c r="D326" s="56">
        <v>1.24</v>
      </c>
      <c r="E326" s="56">
        <v>1.24</v>
      </c>
      <c r="F326" s="56">
        <v>1.46</v>
      </c>
    </row>
    <row r="327" spans="1:6" x14ac:dyDescent="0.3">
      <c r="A327" s="56">
        <v>1213</v>
      </c>
      <c r="B327" s="56">
        <v>1.26</v>
      </c>
      <c r="C327" s="56">
        <v>1.26</v>
      </c>
      <c r="D327" s="56">
        <v>1.26</v>
      </c>
      <c r="E327" s="56">
        <v>1.26</v>
      </c>
      <c r="F327" s="56">
        <v>1.49</v>
      </c>
    </row>
    <row r="328" spans="1:6" x14ac:dyDescent="0.3">
      <c r="A328" s="56">
        <v>1214</v>
      </c>
      <c r="B328" s="56">
        <v>1.28</v>
      </c>
      <c r="C328" s="56">
        <v>1.28</v>
      </c>
      <c r="D328" s="56">
        <v>1.28</v>
      </c>
      <c r="E328" s="56">
        <v>1.28</v>
      </c>
      <c r="F328" s="56">
        <v>1.52</v>
      </c>
    </row>
    <row r="329" spans="1:6" x14ac:dyDescent="0.3">
      <c r="A329" s="56">
        <v>1215</v>
      </c>
      <c r="B329" s="56">
        <v>1.3</v>
      </c>
      <c r="C329" s="56">
        <v>1.3</v>
      </c>
      <c r="D329" s="56">
        <v>1.3</v>
      </c>
      <c r="E329" s="56">
        <v>1.3</v>
      </c>
      <c r="F329" s="56">
        <v>1.55</v>
      </c>
    </row>
    <row r="330" spans="1:6" x14ac:dyDescent="0.3">
      <c r="A330" s="56">
        <v>1216</v>
      </c>
      <c r="B330" s="56">
        <v>1.32</v>
      </c>
      <c r="C330" s="56">
        <v>1.32</v>
      </c>
      <c r="D330" s="56">
        <v>1.32</v>
      </c>
      <c r="E330" s="56">
        <v>1.32</v>
      </c>
      <c r="F330" s="56">
        <v>1.58</v>
      </c>
    </row>
    <row r="331" spans="1:6" x14ac:dyDescent="0.3">
      <c r="A331" s="56">
        <v>1217</v>
      </c>
      <c r="B331" s="56">
        <v>1.34</v>
      </c>
      <c r="C331" s="56">
        <v>1.34</v>
      </c>
      <c r="D331" s="56">
        <v>1.34</v>
      </c>
      <c r="E331" s="56">
        <v>1.34</v>
      </c>
      <c r="F331" s="56">
        <v>1.61</v>
      </c>
    </row>
    <row r="332" spans="1:6" x14ac:dyDescent="0.3">
      <c r="A332" s="56">
        <v>1218</v>
      </c>
      <c r="B332" s="56">
        <v>1.36</v>
      </c>
      <c r="C332" s="56">
        <v>1.36</v>
      </c>
      <c r="D332" s="56">
        <v>1.36</v>
      </c>
      <c r="E332" s="56">
        <v>1.36</v>
      </c>
      <c r="F332" s="56">
        <v>1.64</v>
      </c>
    </row>
    <row r="333" spans="1:6" x14ac:dyDescent="0.3">
      <c r="A333" s="56">
        <v>1219</v>
      </c>
      <c r="B333" s="56">
        <v>1.38</v>
      </c>
      <c r="C333" s="56">
        <v>1.38</v>
      </c>
      <c r="D333" s="56">
        <v>1.38</v>
      </c>
      <c r="E333" s="56">
        <v>1.38</v>
      </c>
      <c r="F333" s="56">
        <v>1.67</v>
      </c>
    </row>
    <row r="334" spans="1:6" x14ac:dyDescent="0.3">
      <c r="A334" s="56">
        <v>1220</v>
      </c>
      <c r="B334" s="56">
        <v>1.4</v>
      </c>
      <c r="C334" s="56">
        <v>1.4</v>
      </c>
      <c r="D334" s="56">
        <v>1.4</v>
      </c>
      <c r="E334" s="56">
        <v>1.4</v>
      </c>
      <c r="F334" s="56">
        <v>1.7</v>
      </c>
    </row>
    <row r="335" spans="1:6" x14ac:dyDescent="0.3">
      <c r="A335" s="56">
        <v>1221</v>
      </c>
      <c r="B335" s="56">
        <v>1.42</v>
      </c>
      <c r="C335" s="56">
        <v>1.42</v>
      </c>
      <c r="D335" s="56">
        <v>1.42</v>
      </c>
      <c r="E335" s="56">
        <v>1.42</v>
      </c>
      <c r="F335" s="56">
        <v>1.72</v>
      </c>
    </row>
    <row r="336" spans="1:6" x14ac:dyDescent="0.3">
      <c r="A336" s="56">
        <v>1222</v>
      </c>
      <c r="B336" s="56">
        <v>1.44</v>
      </c>
      <c r="C336" s="56">
        <v>1.44</v>
      </c>
      <c r="D336" s="56">
        <v>1.44</v>
      </c>
      <c r="E336" s="56">
        <v>1.44</v>
      </c>
      <c r="F336" s="56">
        <v>1.74</v>
      </c>
    </row>
    <row r="337" spans="1:6" x14ac:dyDescent="0.3">
      <c r="A337" s="56">
        <v>1223</v>
      </c>
      <c r="B337" s="56">
        <v>1.46</v>
      </c>
      <c r="C337" s="56">
        <v>1.46</v>
      </c>
      <c r="D337" s="56">
        <v>1.46</v>
      </c>
      <c r="E337" s="56">
        <v>1.46</v>
      </c>
      <c r="F337" s="56">
        <v>1.76</v>
      </c>
    </row>
    <row r="338" spans="1:6" x14ac:dyDescent="0.3">
      <c r="A338" s="56">
        <v>1224</v>
      </c>
      <c r="B338" s="56">
        <v>1.48</v>
      </c>
      <c r="C338" s="56">
        <v>1.48</v>
      </c>
      <c r="D338" s="56">
        <v>1.48</v>
      </c>
      <c r="E338" s="56">
        <v>1.48</v>
      </c>
      <c r="F338" s="56">
        <v>1.78</v>
      </c>
    </row>
    <row r="339" spans="1:6" x14ac:dyDescent="0.3">
      <c r="A339" s="56">
        <v>1225</v>
      </c>
      <c r="B339" s="56">
        <v>1.5</v>
      </c>
      <c r="C339" s="56">
        <v>1.5</v>
      </c>
      <c r="D339" s="56">
        <v>1.5</v>
      </c>
      <c r="E339" s="56">
        <v>1.5</v>
      </c>
      <c r="F339" s="56">
        <v>1.8</v>
      </c>
    </row>
    <row r="340" spans="1:6" x14ac:dyDescent="0.3">
      <c r="A340" s="56">
        <v>1300</v>
      </c>
      <c r="B340" s="56">
        <v>1</v>
      </c>
      <c r="C340" s="56">
        <v>1</v>
      </c>
      <c r="D340" s="56">
        <v>1</v>
      </c>
      <c r="E340" s="56">
        <v>1</v>
      </c>
      <c r="F340" s="56">
        <v>1</v>
      </c>
    </row>
    <row r="341" spans="1:6" x14ac:dyDescent="0.3">
      <c r="A341" s="56">
        <v>1301</v>
      </c>
      <c r="B341" s="56">
        <v>1.02</v>
      </c>
      <c r="C341" s="56">
        <v>1.02</v>
      </c>
      <c r="D341" s="56">
        <v>1.1200000000000001</v>
      </c>
      <c r="E341" s="56">
        <v>1.07</v>
      </c>
      <c r="F341" s="56">
        <v>1.07</v>
      </c>
    </row>
    <row r="342" spans="1:6" x14ac:dyDescent="0.3">
      <c r="A342" s="56">
        <v>1302</v>
      </c>
      <c r="B342" s="56">
        <v>1.04</v>
      </c>
      <c r="C342" s="56">
        <v>1.04</v>
      </c>
      <c r="D342" s="56">
        <v>1.24</v>
      </c>
      <c r="E342" s="56">
        <v>1.1399999999999999</v>
      </c>
      <c r="F342" s="56">
        <v>1.1399999999999999</v>
      </c>
    </row>
    <row r="343" spans="1:6" x14ac:dyDescent="0.3">
      <c r="A343" s="56">
        <v>1303</v>
      </c>
      <c r="B343" s="56">
        <v>1.06</v>
      </c>
      <c r="C343" s="56">
        <v>1.06</v>
      </c>
      <c r="D343" s="56">
        <v>1.36</v>
      </c>
      <c r="E343" s="56">
        <v>1.21</v>
      </c>
      <c r="F343" s="56">
        <v>1.21</v>
      </c>
    </row>
    <row r="344" spans="1:6" x14ac:dyDescent="0.3">
      <c r="A344" s="56">
        <v>1304</v>
      </c>
      <c r="B344" s="56">
        <v>1.08</v>
      </c>
      <c r="C344" s="56">
        <v>1.08</v>
      </c>
      <c r="D344" s="56">
        <v>1.48</v>
      </c>
      <c r="E344" s="56">
        <v>1.28</v>
      </c>
      <c r="F344" s="56">
        <v>1.28</v>
      </c>
    </row>
    <row r="345" spans="1:6" x14ac:dyDescent="0.3">
      <c r="A345" s="56">
        <v>1305</v>
      </c>
      <c r="B345" s="56">
        <v>1.1000000000000001</v>
      </c>
      <c r="C345" s="56">
        <v>1.1000000000000001</v>
      </c>
      <c r="D345" s="56">
        <v>1.6</v>
      </c>
      <c r="E345" s="56">
        <v>1.35</v>
      </c>
      <c r="F345" s="56">
        <v>1.35</v>
      </c>
    </row>
    <row r="346" spans="1:6" x14ac:dyDescent="0.3">
      <c r="A346" s="56">
        <v>1306</v>
      </c>
      <c r="B346" s="56">
        <v>1.1200000000000001</v>
      </c>
      <c r="C346" s="56">
        <v>1.1200000000000001</v>
      </c>
      <c r="D346" s="56">
        <v>1.72</v>
      </c>
      <c r="E346" s="56">
        <v>1.42</v>
      </c>
      <c r="F346" s="56">
        <v>1.42</v>
      </c>
    </row>
    <row r="347" spans="1:6" x14ac:dyDescent="0.3">
      <c r="A347" s="56">
        <v>1307</v>
      </c>
      <c r="B347" s="56">
        <v>1.1399999999999999</v>
      </c>
      <c r="C347" s="56">
        <v>1.1399999999999999</v>
      </c>
      <c r="D347" s="56">
        <v>1.84</v>
      </c>
      <c r="E347" s="56">
        <v>1.49</v>
      </c>
      <c r="F347" s="56">
        <v>1.49</v>
      </c>
    </row>
    <row r="348" spans="1:6" x14ac:dyDescent="0.3">
      <c r="A348" s="56">
        <v>1308</v>
      </c>
      <c r="B348" s="56">
        <v>1.1599999999999999</v>
      </c>
      <c r="C348" s="56">
        <v>1.1599999999999999</v>
      </c>
      <c r="D348" s="56">
        <v>1.96</v>
      </c>
      <c r="E348" s="56">
        <v>1.56</v>
      </c>
      <c r="F348" s="56">
        <v>1.56</v>
      </c>
    </row>
    <row r="349" spans="1:6" x14ac:dyDescent="0.3">
      <c r="A349" s="56">
        <v>1309</v>
      </c>
      <c r="B349" s="56">
        <v>1.18</v>
      </c>
      <c r="C349" s="56">
        <v>1.18</v>
      </c>
      <c r="D349" s="56">
        <v>2.08</v>
      </c>
      <c r="E349" s="56">
        <v>1.63</v>
      </c>
      <c r="F349" s="56">
        <v>1.63</v>
      </c>
    </row>
    <row r="350" spans="1:6" x14ac:dyDescent="0.3">
      <c r="A350" s="56">
        <v>1310</v>
      </c>
      <c r="B350" s="56">
        <v>1.2</v>
      </c>
      <c r="C350" s="56">
        <v>1.2</v>
      </c>
      <c r="D350" s="56">
        <v>2.2000000000000002</v>
      </c>
      <c r="E350" s="56">
        <v>1.7</v>
      </c>
      <c r="F350" s="56">
        <v>1.7</v>
      </c>
    </row>
    <row r="351" spans="1:6" x14ac:dyDescent="0.3">
      <c r="A351" s="56">
        <v>1311</v>
      </c>
      <c r="B351" s="56">
        <v>1.22</v>
      </c>
      <c r="C351" s="56">
        <v>1.22</v>
      </c>
      <c r="D351" s="56">
        <v>2.3199999999999998</v>
      </c>
      <c r="E351" s="56">
        <v>1.76</v>
      </c>
      <c r="F351" s="56">
        <v>1.76</v>
      </c>
    </row>
    <row r="352" spans="1:6" x14ac:dyDescent="0.3">
      <c r="A352" s="56">
        <v>1312</v>
      </c>
      <c r="B352" s="56">
        <v>1.24</v>
      </c>
      <c r="C352" s="56">
        <v>1.24</v>
      </c>
      <c r="D352" s="56">
        <v>2.44</v>
      </c>
      <c r="E352" s="56">
        <v>1.82</v>
      </c>
      <c r="F352" s="56">
        <v>1.82</v>
      </c>
    </row>
    <row r="353" spans="1:6" x14ac:dyDescent="0.3">
      <c r="A353" s="56">
        <v>1313</v>
      </c>
      <c r="B353" s="56">
        <v>1.26</v>
      </c>
      <c r="C353" s="56">
        <v>1.26</v>
      </c>
      <c r="D353" s="56">
        <v>2.56</v>
      </c>
      <c r="E353" s="56">
        <v>1.88</v>
      </c>
      <c r="F353" s="56">
        <v>1.88</v>
      </c>
    </row>
    <row r="354" spans="1:6" x14ac:dyDescent="0.3">
      <c r="A354" s="56">
        <v>1314</v>
      </c>
      <c r="B354" s="56">
        <v>1.28</v>
      </c>
      <c r="C354" s="56">
        <v>1.28</v>
      </c>
      <c r="D354" s="56">
        <v>2.68</v>
      </c>
      <c r="E354" s="56">
        <v>1.94</v>
      </c>
      <c r="F354" s="56">
        <v>1.94</v>
      </c>
    </row>
    <row r="355" spans="1:6" x14ac:dyDescent="0.3">
      <c r="A355" s="56">
        <v>1315</v>
      </c>
      <c r="B355" s="56">
        <v>1.3</v>
      </c>
      <c r="C355" s="56">
        <v>1.3</v>
      </c>
      <c r="D355" s="56">
        <v>2.8</v>
      </c>
      <c r="E355" s="56">
        <v>2</v>
      </c>
      <c r="F355" s="56">
        <v>2</v>
      </c>
    </row>
    <row r="356" spans="1:6" x14ac:dyDescent="0.3">
      <c r="A356" s="56">
        <v>1316</v>
      </c>
      <c r="B356" s="56">
        <v>1.32</v>
      </c>
      <c r="C356" s="56">
        <v>1.32</v>
      </c>
      <c r="D356" s="56">
        <v>2.92</v>
      </c>
      <c r="E356" s="56">
        <v>2.06</v>
      </c>
      <c r="F356" s="56">
        <v>2.06</v>
      </c>
    </row>
    <row r="357" spans="1:6" x14ac:dyDescent="0.3">
      <c r="A357" s="56">
        <v>1317</v>
      </c>
      <c r="B357" s="56">
        <v>1.34</v>
      </c>
      <c r="C357" s="56">
        <v>1.34</v>
      </c>
      <c r="D357" s="56">
        <v>3.04</v>
      </c>
      <c r="E357" s="56">
        <v>2.12</v>
      </c>
      <c r="F357" s="56">
        <v>2.12</v>
      </c>
    </row>
    <row r="358" spans="1:6" x14ac:dyDescent="0.3">
      <c r="A358" s="56">
        <v>1318</v>
      </c>
      <c r="B358" s="56">
        <v>1.36</v>
      </c>
      <c r="C358" s="56">
        <v>1.36</v>
      </c>
      <c r="D358" s="56">
        <v>3.16</v>
      </c>
      <c r="E358" s="56">
        <v>2.1800000000000002</v>
      </c>
      <c r="F358" s="56">
        <v>2.1800000000000002</v>
      </c>
    </row>
    <row r="359" spans="1:6" x14ac:dyDescent="0.3">
      <c r="A359" s="56">
        <v>1319</v>
      </c>
      <c r="B359" s="56">
        <v>1.38</v>
      </c>
      <c r="C359" s="56">
        <v>1.38</v>
      </c>
      <c r="D359" s="56">
        <v>3.28</v>
      </c>
      <c r="E359" s="56">
        <v>2.2400000000000002</v>
      </c>
      <c r="F359" s="56">
        <v>2.2400000000000002</v>
      </c>
    </row>
    <row r="360" spans="1:6" x14ac:dyDescent="0.3">
      <c r="A360" s="56">
        <v>1320</v>
      </c>
      <c r="B360" s="56">
        <v>1.4</v>
      </c>
      <c r="C360" s="56">
        <v>1.4</v>
      </c>
      <c r="D360" s="56">
        <v>3.4</v>
      </c>
      <c r="E360" s="56">
        <v>2.2999999999999998</v>
      </c>
      <c r="F360" s="56">
        <v>2.2999999999999998</v>
      </c>
    </row>
    <row r="361" spans="1:6" x14ac:dyDescent="0.3">
      <c r="A361" s="56">
        <v>1321</v>
      </c>
      <c r="B361" s="56">
        <v>1.42</v>
      </c>
      <c r="C361" s="56">
        <v>1.42</v>
      </c>
      <c r="D361" s="56">
        <v>3.58</v>
      </c>
      <c r="E361" s="56">
        <v>2.3199999999999998</v>
      </c>
      <c r="F361" s="56">
        <v>2.3199999999999998</v>
      </c>
    </row>
    <row r="362" spans="1:6" x14ac:dyDescent="0.3">
      <c r="A362" s="56">
        <v>1322</v>
      </c>
      <c r="B362" s="56">
        <v>1.44</v>
      </c>
      <c r="C362" s="56">
        <v>1.44</v>
      </c>
      <c r="D362" s="56">
        <v>3.76</v>
      </c>
      <c r="E362" s="56">
        <v>2.34</v>
      </c>
      <c r="F362" s="56">
        <v>2.34</v>
      </c>
    </row>
    <row r="363" spans="1:6" x14ac:dyDescent="0.3">
      <c r="A363" s="56">
        <v>1323</v>
      </c>
      <c r="B363" s="56">
        <v>1.46</v>
      </c>
      <c r="C363" s="56">
        <v>1.46</v>
      </c>
      <c r="D363" s="56">
        <v>3.94</v>
      </c>
      <c r="E363" s="56">
        <v>2.36</v>
      </c>
      <c r="F363" s="56">
        <v>2.36</v>
      </c>
    </row>
    <row r="364" spans="1:6" x14ac:dyDescent="0.3">
      <c r="A364" s="56">
        <v>1324</v>
      </c>
      <c r="B364" s="56">
        <v>1.48</v>
      </c>
      <c r="C364" s="56">
        <v>1.48</v>
      </c>
      <c r="D364" s="56">
        <v>4.12</v>
      </c>
      <c r="E364" s="56">
        <v>2.38</v>
      </c>
      <c r="F364" s="56">
        <v>2.38</v>
      </c>
    </row>
    <row r="365" spans="1:6" x14ac:dyDescent="0.3">
      <c r="A365" s="56">
        <v>1325</v>
      </c>
      <c r="B365" s="56">
        <v>1.5</v>
      </c>
      <c r="C365" s="56">
        <v>1.5</v>
      </c>
      <c r="D365" s="56">
        <v>4.3</v>
      </c>
      <c r="E365" s="56">
        <v>2.4</v>
      </c>
      <c r="F365" s="56">
        <v>2.4</v>
      </c>
    </row>
    <row r="366" spans="1:6" x14ac:dyDescent="0.3">
      <c r="A366" s="56">
        <v>1600</v>
      </c>
      <c r="B366" s="56">
        <v>1</v>
      </c>
      <c r="C366" s="56">
        <v>1</v>
      </c>
      <c r="D366" s="56">
        <v>1</v>
      </c>
      <c r="E366" s="56">
        <v>1</v>
      </c>
      <c r="F366" s="56">
        <v>1</v>
      </c>
    </row>
    <row r="367" spans="1:6" x14ac:dyDescent="0.3">
      <c r="A367" s="56">
        <v>1601</v>
      </c>
      <c r="B367" s="56">
        <v>1.03</v>
      </c>
      <c r="C367" s="56">
        <v>1.03</v>
      </c>
      <c r="D367" s="56">
        <v>1.03</v>
      </c>
      <c r="E367" s="56">
        <v>1.03</v>
      </c>
      <c r="F367" s="56">
        <v>1.03</v>
      </c>
    </row>
    <row r="368" spans="1:6" x14ac:dyDescent="0.3">
      <c r="A368" s="56">
        <v>1602</v>
      </c>
      <c r="B368" s="56">
        <v>1.06</v>
      </c>
      <c r="C368" s="56">
        <v>1.06</v>
      </c>
      <c r="D368" s="56">
        <v>1.06</v>
      </c>
      <c r="E368" s="56">
        <v>1.06</v>
      </c>
      <c r="F368" s="56">
        <v>1.06</v>
      </c>
    </row>
    <row r="369" spans="1:6" x14ac:dyDescent="0.3">
      <c r="A369" s="56">
        <v>1603</v>
      </c>
      <c r="B369" s="56">
        <v>1.0900000000000001</v>
      </c>
      <c r="C369" s="56">
        <v>1.0900000000000001</v>
      </c>
      <c r="D369" s="56">
        <v>1.0900000000000001</v>
      </c>
      <c r="E369" s="56">
        <v>1.0900000000000001</v>
      </c>
      <c r="F369" s="56">
        <v>1.0900000000000001</v>
      </c>
    </row>
    <row r="370" spans="1:6" x14ac:dyDescent="0.3">
      <c r="A370" s="56">
        <v>1604</v>
      </c>
      <c r="B370" s="56">
        <v>1.1200000000000001</v>
      </c>
      <c r="C370" s="56">
        <v>1.1200000000000001</v>
      </c>
      <c r="D370" s="56">
        <v>1.1200000000000001</v>
      </c>
      <c r="E370" s="56">
        <v>1.1200000000000001</v>
      </c>
      <c r="F370" s="56">
        <v>1.1200000000000001</v>
      </c>
    </row>
    <row r="371" spans="1:6" x14ac:dyDescent="0.3">
      <c r="A371" s="56">
        <v>1605</v>
      </c>
      <c r="B371" s="56">
        <v>1.1499999999999999</v>
      </c>
      <c r="C371" s="56">
        <v>1.1499999999999999</v>
      </c>
      <c r="D371" s="56">
        <v>1.1499999999999999</v>
      </c>
      <c r="E371" s="56">
        <v>1.1499999999999999</v>
      </c>
      <c r="F371" s="56">
        <v>1.1499999999999999</v>
      </c>
    </row>
    <row r="372" spans="1:6" x14ac:dyDescent="0.3">
      <c r="A372" s="56">
        <v>1606</v>
      </c>
      <c r="B372" s="56">
        <v>1.18</v>
      </c>
      <c r="C372" s="56">
        <v>1.18</v>
      </c>
      <c r="D372" s="56">
        <v>1.18</v>
      </c>
      <c r="E372" s="56">
        <v>1.18</v>
      </c>
      <c r="F372" s="56">
        <v>1.18</v>
      </c>
    </row>
    <row r="373" spans="1:6" x14ac:dyDescent="0.3">
      <c r="A373" s="56">
        <v>1607</v>
      </c>
      <c r="B373" s="56">
        <v>1.21</v>
      </c>
      <c r="C373" s="56">
        <v>1.21</v>
      </c>
      <c r="D373" s="56">
        <v>1.21</v>
      </c>
      <c r="E373" s="56">
        <v>1.21</v>
      </c>
      <c r="F373" s="56">
        <v>1.21</v>
      </c>
    </row>
    <row r="374" spans="1:6" x14ac:dyDescent="0.3">
      <c r="A374" s="56">
        <v>1608</v>
      </c>
      <c r="B374" s="56">
        <v>1.24</v>
      </c>
      <c r="C374" s="56">
        <v>1.24</v>
      </c>
      <c r="D374" s="56">
        <v>1.24</v>
      </c>
      <c r="E374" s="56">
        <v>1.24</v>
      </c>
      <c r="F374" s="56">
        <v>1.24</v>
      </c>
    </row>
    <row r="375" spans="1:6" x14ac:dyDescent="0.3">
      <c r="A375" s="56">
        <v>1609</v>
      </c>
      <c r="B375" s="56">
        <v>1.27</v>
      </c>
      <c r="C375" s="56">
        <v>1.27</v>
      </c>
      <c r="D375" s="56">
        <v>1.27</v>
      </c>
      <c r="E375" s="56">
        <v>1.27</v>
      </c>
      <c r="F375" s="56">
        <v>1.27</v>
      </c>
    </row>
    <row r="376" spans="1:6" x14ac:dyDescent="0.3">
      <c r="A376" s="56">
        <v>1610</v>
      </c>
      <c r="B376" s="56">
        <v>1.2</v>
      </c>
      <c r="C376" s="56">
        <v>1.2</v>
      </c>
      <c r="D376" s="56">
        <v>1.2</v>
      </c>
      <c r="E376" s="56">
        <v>1.2</v>
      </c>
      <c r="F376" s="56">
        <v>1.2</v>
      </c>
    </row>
    <row r="377" spans="1:6" x14ac:dyDescent="0.3">
      <c r="A377" s="56">
        <v>1611</v>
      </c>
      <c r="B377" s="56">
        <v>1.22</v>
      </c>
      <c r="C377" s="56">
        <v>1.22</v>
      </c>
      <c r="D377" s="56">
        <v>1.22</v>
      </c>
      <c r="E377" s="56">
        <v>1.22</v>
      </c>
      <c r="F377" s="56">
        <v>1.22</v>
      </c>
    </row>
    <row r="378" spans="1:6" x14ac:dyDescent="0.3">
      <c r="A378" s="56">
        <v>1612</v>
      </c>
      <c r="B378" s="56">
        <v>1.24</v>
      </c>
      <c r="C378" s="56">
        <v>1.24</v>
      </c>
      <c r="D378" s="56">
        <v>1.24</v>
      </c>
      <c r="E378" s="56">
        <v>1.24</v>
      </c>
      <c r="F378" s="56">
        <v>1.24</v>
      </c>
    </row>
    <row r="379" spans="1:6" x14ac:dyDescent="0.3">
      <c r="A379" s="56">
        <v>1613</v>
      </c>
      <c r="B379" s="56">
        <v>1.26</v>
      </c>
      <c r="C379" s="56">
        <v>1.26</v>
      </c>
      <c r="D379" s="56">
        <v>1.26</v>
      </c>
      <c r="E379" s="56">
        <v>1.26</v>
      </c>
      <c r="F379" s="56">
        <v>1.26</v>
      </c>
    </row>
    <row r="380" spans="1:6" x14ac:dyDescent="0.3">
      <c r="A380" s="56">
        <v>1614</v>
      </c>
      <c r="B380" s="56">
        <v>1.28</v>
      </c>
      <c r="C380" s="56">
        <v>1.28</v>
      </c>
      <c r="D380" s="56">
        <v>1.28</v>
      </c>
      <c r="E380" s="56">
        <v>1.28</v>
      </c>
      <c r="F380" s="56">
        <v>1.28</v>
      </c>
    </row>
    <row r="381" spans="1:6" x14ac:dyDescent="0.3">
      <c r="A381" s="56">
        <v>1615</v>
      </c>
      <c r="B381" s="56">
        <v>1.3</v>
      </c>
      <c r="C381" s="56">
        <v>1.3</v>
      </c>
      <c r="D381" s="56">
        <v>1.3</v>
      </c>
      <c r="E381" s="56">
        <v>1.3</v>
      </c>
      <c r="F381" s="56">
        <v>1.3</v>
      </c>
    </row>
    <row r="382" spans="1:6" x14ac:dyDescent="0.3">
      <c r="A382" s="56">
        <v>1616</v>
      </c>
      <c r="B382" s="56">
        <v>1.31</v>
      </c>
      <c r="C382" s="56">
        <v>1.31</v>
      </c>
      <c r="D382" s="56">
        <v>1.31</v>
      </c>
      <c r="E382" s="56">
        <v>1.31</v>
      </c>
      <c r="F382" s="56">
        <v>1.31</v>
      </c>
    </row>
    <row r="383" spans="1:6" x14ac:dyDescent="0.3">
      <c r="A383" s="56">
        <v>1617</v>
      </c>
      <c r="B383" s="56">
        <v>1.32</v>
      </c>
      <c r="C383" s="56">
        <v>1.32</v>
      </c>
      <c r="D383" s="56">
        <v>1.32</v>
      </c>
      <c r="E383" s="56">
        <v>1.32</v>
      </c>
      <c r="F383" s="56">
        <v>1.32</v>
      </c>
    </row>
    <row r="384" spans="1:6" x14ac:dyDescent="0.3">
      <c r="A384" s="56">
        <v>1618</v>
      </c>
      <c r="B384" s="56">
        <v>1.33</v>
      </c>
      <c r="C384" s="56">
        <v>1.33</v>
      </c>
      <c r="D384" s="56">
        <v>1.33</v>
      </c>
      <c r="E384" s="56">
        <v>1.33</v>
      </c>
      <c r="F384" s="56">
        <v>1.33</v>
      </c>
    </row>
    <row r="385" spans="1:6" x14ac:dyDescent="0.3">
      <c r="A385" s="56">
        <v>1619</v>
      </c>
      <c r="B385" s="56">
        <v>1.34</v>
      </c>
      <c r="C385" s="56">
        <v>1.34</v>
      </c>
      <c r="D385" s="56">
        <v>1.34</v>
      </c>
      <c r="E385" s="56">
        <v>1.34</v>
      </c>
      <c r="F385" s="56">
        <v>1.34</v>
      </c>
    </row>
    <row r="386" spans="1:6" x14ac:dyDescent="0.3">
      <c r="A386" s="56">
        <v>1620</v>
      </c>
      <c r="B386" s="56">
        <v>1.35</v>
      </c>
      <c r="C386" s="56">
        <v>1.35</v>
      </c>
      <c r="D386" s="56">
        <v>1.35</v>
      </c>
      <c r="E386" s="56">
        <v>1.35</v>
      </c>
      <c r="F386" s="56">
        <v>1.35</v>
      </c>
    </row>
    <row r="387" spans="1:6" x14ac:dyDescent="0.3">
      <c r="A387" s="56">
        <v>1621</v>
      </c>
      <c r="B387" s="56">
        <v>1.36</v>
      </c>
      <c r="C387" s="56">
        <v>1.36</v>
      </c>
      <c r="D387" s="56">
        <v>1.36</v>
      </c>
      <c r="E387" s="56">
        <v>1.36</v>
      </c>
      <c r="F387" s="56">
        <v>1.36</v>
      </c>
    </row>
    <row r="388" spans="1:6" x14ac:dyDescent="0.3">
      <c r="A388" s="56">
        <v>1622</v>
      </c>
      <c r="B388" s="56">
        <v>1.37</v>
      </c>
      <c r="C388" s="56">
        <v>1.37</v>
      </c>
      <c r="D388" s="56">
        <v>1.37</v>
      </c>
      <c r="E388" s="56">
        <v>1.37</v>
      </c>
      <c r="F388" s="56">
        <v>1.37</v>
      </c>
    </row>
    <row r="389" spans="1:6" x14ac:dyDescent="0.3">
      <c r="A389" s="56">
        <v>1623</v>
      </c>
      <c r="B389" s="56">
        <v>1.38</v>
      </c>
      <c r="C389" s="56">
        <v>1.38</v>
      </c>
      <c r="D389" s="56">
        <v>1.38</v>
      </c>
      <c r="E389" s="56">
        <v>1.38</v>
      </c>
      <c r="F389" s="56">
        <v>1.38</v>
      </c>
    </row>
    <row r="390" spans="1:6" x14ac:dyDescent="0.3">
      <c r="A390" s="56">
        <v>1624</v>
      </c>
      <c r="B390" s="56">
        <v>1.39</v>
      </c>
      <c r="C390" s="56">
        <v>1.39</v>
      </c>
      <c r="D390" s="56">
        <v>1.39</v>
      </c>
      <c r="E390" s="56">
        <v>1.39</v>
      </c>
      <c r="F390" s="56">
        <v>1.39</v>
      </c>
    </row>
    <row r="391" spans="1:6" x14ac:dyDescent="0.3">
      <c r="A391" s="56">
        <v>1625</v>
      </c>
      <c r="B391" s="56">
        <v>1.4</v>
      </c>
      <c r="C391" s="56">
        <v>1.4</v>
      </c>
      <c r="D391" s="56">
        <v>1.4</v>
      </c>
      <c r="E391" s="56">
        <v>1.4</v>
      </c>
      <c r="F391" s="56">
        <v>1.4</v>
      </c>
    </row>
    <row r="392" spans="1:6" x14ac:dyDescent="0.3">
      <c r="A392" s="56">
        <v>1700</v>
      </c>
      <c r="B392" s="56">
        <v>1</v>
      </c>
      <c r="C392" s="56">
        <v>1</v>
      </c>
      <c r="D392" s="56">
        <v>1</v>
      </c>
      <c r="E392" s="56">
        <v>1</v>
      </c>
      <c r="F392" s="56">
        <v>1</v>
      </c>
    </row>
    <row r="393" spans="1:6" x14ac:dyDescent="0.3">
      <c r="A393" s="56">
        <v>1701</v>
      </c>
      <c r="B393" s="56">
        <v>1.01</v>
      </c>
      <c r="C393" s="56">
        <v>1.01</v>
      </c>
      <c r="D393" s="56">
        <v>1.01</v>
      </c>
      <c r="E393" s="56">
        <v>1.01</v>
      </c>
      <c r="F393" s="56">
        <v>1.01</v>
      </c>
    </row>
    <row r="394" spans="1:6" x14ac:dyDescent="0.3">
      <c r="A394" s="56">
        <v>1702</v>
      </c>
      <c r="B394" s="56">
        <v>1.02</v>
      </c>
      <c r="C394" s="56">
        <v>1.02</v>
      </c>
      <c r="D394" s="56">
        <v>1.02</v>
      </c>
      <c r="E394" s="56">
        <v>1.02</v>
      </c>
      <c r="F394" s="56">
        <v>1.02</v>
      </c>
    </row>
    <row r="395" spans="1:6" x14ac:dyDescent="0.3">
      <c r="A395" s="56">
        <v>1703</v>
      </c>
      <c r="B395" s="56">
        <v>1.03</v>
      </c>
      <c r="C395" s="56">
        <v>1.03</v>
      </c>
      <c r="D395" s="56">
        <v>1.03</v>
      </c>
      <c r="E395" s="56">
        <v>1.03</v>
      </c>
      <c r="F395" s="56">
        <v>1.03</v>
      </c>
    </row>
    <row r="396" spans="1:6" x14ac:dyDescent="0.3">
      <c r="A396" s="56">
        <v>1704</v>
      </c>
      <c r="B396" s="56">
        <v>1.04</v>
      </c>
      <c r="C396" s="56">
        <v>1.04</v>
      </c>
      <c r="D396" s="56">
        <v>1.04</v>
      </c>
      <c r="E396" s="56">
        <v>1.04</v>
      </c>
      <c r="F396" s="56">
        <v>1.04</v>
      </c>
    </row>
    <row r="397" spans="1:6" x14ac:dyDescent="0.3">
      <c r="A397" s="56">
        <v>1705</v>
      </c>
      <c r="B397" s="56">
        <v>1.05</v>
      </c>
      <c r="C397" s="56">
        <v>1.05</v>
      </c>
      <c r="D397" s="56">
        <v>1.05</v>
      </c>
      <c r="E397" s="56">
        <v>1.05</v>
      </c>
      <c r="F397" s="56">
        <v>1.05</v>
      </c>
    </row>
    <row r="398" spans="1:6" x14ac:dyDescent="0.3">
      <c r="A398" s="56">
        <v>1706</v>
      </c>
      <c r="B398" s="56">
        <v>1.06</v>
      </c>
      <c r="C398" s="56">
        <v>1.06</v>
      </c>
      <c r="D398" s="56">
        <v>1.06</v>
      </c>
      <c r="E398" s="56">
        <v>1.06</v>
      </c>
      <c r="F398" s="56">
        <v>1.06</v>
      </c>
    </row>
    <row r="399" spans="1:6" x14ac:dyDescent="0.3">
      <c r="A399" s="56">
        <v>1707</v>
      </c>
      <c r="B399" s="56">
        <v>1.07</v>
      </c>
      <c r="C399" s="56">
        <v>1.07</v>
      </c>
      <c r="D399" s="56">
        <v>1.07</v>
      </c>
      <c r="E399" s="56">
        <v>1.07</v>
      </c>
      <c r="F399" s="56">
        <v>1.07</v>
      </c>
    </row>
    <row r="400" spans="1:6" x14ac:dyDescent="0.3">
      <c r="A400" s="56">
        <v>1708</v>
      </c>
      <c r="B400" s="56">
        <v>1.08</v>
      </c>
      <c r="C400" s="56">
        <v>1.08</v>
      </c>
      <c r="D400" s="56">
        <v>1.08</v>
      </c>
      <c r="E400" s="56">
        <v>1.08</v>
      </c>
      <c r="F400" s="56">
        <v>1.08</v>
      </c>
    </row>
    <row r="401" spans="1:6" x14ac:dyDescent="0.3">
      <c r="A401" s="56">
        <v>1709</v>
      </c>
      <c r="B401" s="56">
        <v>1.0900000000000001</v>
      </c>
      <c r="C401" s="56">
        <v>1.0900000000000001</v>
      </c>
      <c r="D401" s="56">
        <v>1.0900000000000001</v>
      </c>
      <c r="E401" s="56">
        <v>1.0900000000000001</v>
      </c>
      <c r="F401" s="56">
        <v>1.0900000000000001</v>
      </c>
    </row>
    <row r="402" spans="1:6" x14ac:dyDescent="0.3">
      <c r="A402" s="56">
        <v>1710</v>
      </c>
      <c r="B402" s="56">
        <v>1.1000000000000001</v>
      </c>
      <c r="C402" s="56">
        <v>1.1000000000000001</v>
      </c>
      <c r="D402" s="56">
        <v>1.1000000000000001</v>
      </c>
      <c r="E402" s="56">
        <v>1.1000000000000001</v>
      </c>
      <c r="F402" s="56">
        <v>1.1000000000000001</v>
      </c>
    </row>
    <row r="403" spans="1:6" x14ac:dyDescent="0.3">
      <c r="A403" s="56">
        <v>1711</v>
      </c>
      <c r="B403" s="56">
        <v>1.1100000000000001</v>
      </c>
      <c r="C403" s="56">
        <v>1.1100000000000001</v>
      </c>
      <c r="D403" s="56">
        <v>1.1100000000000001</v>
      </c>
      <c r="E403" s="56">
        <v>1.1100000000000001</v>
      </c>
      <c r="F403" s="56">
        <v>1.1100000000000001</v>
      </c>
    </row>
    <row r="404" spans="1:6" x14ac:dyDescent="0.3">
      <c r="A404" s="56">
        <v>1712</v>
      </c>
      <c r="B404" s="56">
        <v>1.1200000000000001</v>
      </c>
      <c r="C404" s="56">
        <v>1.1200000000000001</v>
      </c>
      <c r="D404" s="56">
        <v>1.1200000000000001</v>
      </c>
      <c r="E404" s="56">
        <v>1.1200000000000001</v>
      </c>
      <c r="F404" s="56">
        <v>1.1200000000000001</v>
      </c>
    </row>
    <row r="405" spans="1:6" x14ac:dyDescent="0.3">
      <c r="A405" s="56">
        <v>1713</v>
      </c>
      <c r="B405" s="56">
        <v>1.1299999999999999</v>
      </c>
      <c r="C405" s="56">
        <v>1.1299999999999999</v>
      </c>
      <c r="D405" s="56">
        <v>1.1299999999999999</v>
      </c>
      <c r="E405" s="56">
        <v>1.1299999999999999</v>
      </c>
      <c r="F405" s="56">
        <v>1.1299999999999999</v>
      </c>
    </row>
    <row r="406" spans="1:6" x14ac:dyDescent="0.3">
      <c r="A406" s="56">
        <v>1714</v>
      </c>
      <c r="B406" s="56">
        <v>1.1399999999999999</v>
      </c>
      <c r="C406" s="56">
        <v>1.1399999999999999</v>
      </c>
      <c r="D406" s="56">
        <v>1.1399999999999999</v>
      </c>
      <c r="E406" s="56">
        <v>1.1399999999999999</v>
      </c>
      <c r="F406" s="56">
        <v>1.1399999999999999</v>
      </c>
    </row>
    <row r="407" spans="1:6" x14ac:dyDescent="0.3">
      <c r="A407" s="56">
        <v>1715</v>
      </c>
      <c r="B407" s="56">
        <v>1.1499999999999999</v>
      </c>
      <c r="C407" s="56">
        <v>1.1499999999999999</v>
      </c>
      <c r="D407" s="56">
        <v>1.1499999999999999</v>
      </c>
      <c r="E407" s="56">
        <v>1.1499999999999999</v>
      </c>
      <c r="F407" s="56">
        <v>1.1499999999999999</v>
      </c>
    </row>
    <row r="408" spans="1:6" x14ac:dyDescent="0.3">
      <c r="A408" s="56">
        <v>1716</v>
      </c>
      <c r="B408" s="56">
        <v>1.1599999999999999</v>
      </c>
      <c r="C408" s="56">
        <v>1.1599999999999999</v>
      </c>
      <c r="D408" s="56">
        <v>1.1599999999999999</v>
      </c>
      <c r="E408" s="56">
        <v>1.1599999999999999</v>
      </c>
      <c r="F408" s="56">
        <v>1.1599999999999999</v>
      </c>
    </row>
    <row r="409" spans="1:6" x14ac:dyDescent="0.3">
      <c r="A409" s="56">
        <v>1717</v>
      </c>
      <c r="B409" s="56">
        <v>1.17</v>
      </c>
      <c r="C409" s="56">
        <v>1.17</v>
      </c>
      <c r="D409" s="56">
        <v>1.17</v>
      </c>
      <c r="E409" s="56">
        <v>1.17</v>
      </c>
      <c r="F409" s="56">
        <v>1.17</v>
      </c>
    </row>
    <row r="410" spans="1:6" x14ac:dyDescent="0.3">
      <c r="A410" s="56">
        <v>1718</v>
      </c>
      <c r="B410" s="56">
        <v>1.18</v>
      </c>
      <c r="C410" s="56">
        <v>1.18</v>
      </c>
      <c r="D410" s="56">
        <v>1.18</v>
      </c>
      <c r="E410" s="56">
        <v>1.18</v>
      </c>
      <c r="F410" s="56">
        <v>1.18</v>
      </c>
    </row>
    <row r="411" spans="1:6" x14ac:dyDescent="0.3">
      <c r="A411" s="56">
        <v>1719</v>
      </c>
      <c r="B411" s="56">
        <v>1.19</v>
      </c>
      <c r="C411" s="56">
        <v>1.19</v>
      </c>
      <c r="D411" s="56">
        <v>1.19</v>
      </c>
      <c r="E411" s="56">
        <v>1.19</v>
      </c>
      <c r="F411" s="56">
        <v>1.19</v>
      </c>
    </row>
    <row r="412" spans="1:6" x14ac:dyDescent="0.3">
      <c r="A412" s="56">
        <v>1720</v>
      </c>
      <c r="B412" s="56">
        <v>1.2</v>
      </c>
      <c r="C412" s="56">
        <v>1.2</v>
      </c>
      <c r="D412" s="56">
        <v>1.2</v>
      </c>
      <c r="E412" s="56">
        <v>1.2</v>
      </c>
      <c r="F412" s="56">
        <v>1.2</v>
      </c>
    </row>
    <row r="413" spans="1:6" x14ac:dyDescent="0.3">
      <c r="A413" s="56">
        <v>1721</v>
      </c>
      <c r="B413" s="56">
        <v>1.21</v>
      </c>
      <c r="C413" s="56">
        <v>1.21</v>
      </c>
      <c r="D413" s="56">
        <v>1.21</v>
      </c>
      <c r="E413" s="56">
        <v>1.21</v>
      </c>
      <c r="F413" s="56">
        <v>1.21</v>
      </c>
    </row>
    <row r="414" spans="1:6" x14ac:dyDescent="0.3">
      <c r="A414" s="56">
        <v>1722</v>
      </c>
      <c r="B414" s="56">
        <v>1.22</v>
      </c>
      <c r="C414" s="56">
        <v>1.22</v>
      </c>
      <c r="D414" s="56">
        <v>1.22</v>
      </c>
      <c r="E414" s="56">
        <v>1.22</v>
      </c>
      <c r="F414" s="56">
        <v>1.22</v>
      </c>
    </row>
    <row r="415" spans="1:6" x14ac:dyDescent="0.3">
      <c r="A415" s="56">
        <v>1723</v>
      </c>
      <c r="B415" s="56">
        <v>1.23</v>
      </c>
      <c r="C415" s="56">
        <v>1.23</v>
      </c>
      <c r="D415" s="56">
        <v>1.23</v>
      </c>
      <c r="E415" s="56">
        <v>1.23</v>
      </c>
      <c r="F415" s="56">
        <v>1.23</v>
      </c>
    </row>
    <row r="416" spans="1:6" x14ac:dyDescent="0.3">
      <c r="A416" s="56">
        <v>1724</v>
      </c>
      <c r="B416" s="56">
        <v>1.24</v>
      </c>
      <c r="C416" s="56">
        <v>1.24</v>
      </c>
      <c r="D416" s="56">
        <v>1.24</v>
      </c>
      <c r="E416" s="56">
        <v>1.24</v>
      </c>
      <c r="F416" s="56">
        <v>1.24</v>
      </c>
    </row>
    <row r="417" spans="1:6" x14ac:dyDescent="0.3">
      <c r="A417" s="56">
        <v>1725</v>
      </c>
      <c r="B417" s="56">
        <v>1.25</v>
      </c>
      <c r="C417" s="56">
        <v>1.25</v>
      </c>
      <c r="D417" s="56">
        <v>1.25</v>
      </c>
      <c r="E417" s="56">
        <v>1.25</v>
      </c>
      <c r="F417" s="56">
        <v>1.25</v>
      </c>
    </row>
    <row r="418" spans="1:6" x14ac:dyDescent="0.3">
      <c r="A418" s="56">
        <v>1800</v>
      </c>
      <c r="B418" s="56">
        <v>1</v>
      </c>
      <c r="C418" s="56">
        <v>1</v>
      </c>
      <c r="D418" s="56">
        <v>1</v>
      </c>
      <c r="E418" s="56">
        <v>1</v>
      </c>
      <c r="F418" s="56">
        <v>1</v>
      </c>
    </row>
    <row r="419" spans="1:6" x14ac:dyDescent="0.3">
      <c r="A419" s="56">
        <v>1801</v>
      </c>
      <c r="B419" s="56">
        <v>1.03</v>
      </c>
      <c r="C419" s="56">
        <v>1.03</v>
      </c>
      <c r="D419" s="56">
        <v>1.03</v>
      </c>
      <c r="E419" s="56">
        <v>1.03</v>
      </c>
      <c r="F419" s="56">
        <v>1.03</v>
      </c>
    </row>
    <row r="420" spans="1:6" x14ac:dyDescent="0.3">
      <c r="A420" s="56">
        <v>1802</v>
      </c>
      <c r="B420" s="56">
        <v>1.06</v>
      </c>
      <c r="C420" s="56">
        <v>1.06</v>
      </c>
      <c r="D420" s="56">
        <v>1.06</v>
      </c>
      <c r="E420" s="56">
        <v>1.06</v>
      </c>
      <c r="F420" s="56">
        <v>1.06</v>
      </c>
    </row>
    <row r="421" spans="1:6" x14ac:dyDescent="0.3">
      <c r="A421" s="56">
        <v>1803</v>
      </c>
      <c r="B421" s="56">
        <v>1.0900000000000001</v>
      </c>
      <c r="C421" s="56">
        <v>1.0900000000000001</v>
      </c>
      <c r="D421" s="56">
        <v>1.0900000000000001</v>
      </c>
      <c r="E421" s="56">
        <v>1.0900000000000001</v>
      </c>
      <c r="F421" s="56">
        <v>1.0900000000000001</v>
      </c>
    </row>
    <row r="422" spans="1:6" x14ac:dyDescent="0.3">
      <c r="A422" s="56">
        <v>1804</v>
      </c>
      <c r="B422" s="56">
        <v>1.1200000000000001</v>
      </c>
      <c r="C422" s="56">
        <v>1.1200000000000001</v>
      </c>
      <c r="D422" s="56">
        <v>1.1200000000000001</v>
      </c>
      <c r="E422" s="56">
        <v>1.1200000000000001</v>
      </c>
      <c r="F422" s="56">
        <v>1.1200000000000001</v>
      </c>
    </row>
    <row r="423" spans="1:6" x14ac:dyDescent="0.3">
      <c r="A423" s="56">
        <v>1805</v>
      </c>
      <c r="B423" s="56">
        <v>1.1499999999999999</v>
      </c>
      <c r="C423" s="56">
        <v>1.1499999999999999</v>
      </c>
      <c r="D423" s="56">
        <v>1.1499999999999999</v>
      </c>
      <c r="E423" s="56">
        <v>1.1499999999999999</v>
      </c>
      <c r="F423" s="56">
        <v>1.1499999999999999</v>
      </c>
    </row>
    <row r="424" spans="1:6" x14ac:dyDescent="0.3">
      <c r="A424" s="56">
        <v>1806</v>
      </c>
      <c r="B424" s="56">
        <v>1.18</v>
      </c>
      <c r="C424" s="56">
        <v>1.18</v>
      </c>
      <c r="D424" s="56">
        <v>1.18</v>
      </c>
      <c r="E424" s="56">
        <v>1.18</v>
      </c>
      <c r="F424" s="56">
        <v>1.18</v>
      </c>
    </row>
    <row r="425" spans="1:6" x14ac:dyDescent="0.3">
      <c r="A425" s="56">
        <v>1807</v>
      </c>
      <c r="B425" s="56">
        <v>1.21</v>
      </c>
      <c r="C425" s="56">
        <v>1.21</v>
      </c>
      <c r="D425" s="56">
        <v>1.21</v>
      </c>
      <c r="E425" s="56">
        <v>1.21</v>
      </c>
      <c r="F425" s="56">
        <v>1.21</v>
      </c>
    </row>
    <row r="426" spans="1:6" x14ac:dyDescent="0.3">
      <c r="A426" s="56">
        <v>1808</v>
      </c>
      <c r="B426" s="56">
        <v>1.24</v>
      </c>
      <c r="C426" s="56">
        <v>1.24</v>
      </c>
      <c r="D426" s="56">
        <v>1.24</v>
      </c>
      <c r="E426" s="56">
        <v>1.24</v>
      </c>
      <c r="F426" s="56">
        <v>1.24</v>
      </c>
    </row>
    <row r="427" spans="1:6" x14ac:dyDescent="0.3">
      <c r="A427" s="56">
        <v>1809</v>
      </c>
      <c r="B427" s="56">
        <v>1.27</v>
      </c>
      <c r="C427" s="56">
        <v>1.27</v>
      </c>
      <c r="D427" s="56">
        <v>1.27</v>
      </c>
      <c r="E427" s="56">
        <v>1.27</v>
      </c>
      <c r="F427" s="56">
        <v>1.27</v>
      </c>
    </row>
    <row r="428" spans="1:6" x14ac:dyDescent="0.3">
      <c r="A428" s="56">
        <v>1810</v>
      </c>
      <c r="B428" s="56">
        <v>1.3</v>
      </c>
      <c r="C428" s="56">
        <v>1.3</v>
      </c>
      <c r="D428" s="56">
        <v>1.3</v>
      </c>
      <c r="E428" s="56">
        <v>1.3</v>
      </c>
      <c r="F428" s="56">
        <v>1.3</v>
      </c>
    </row>
    <row r="429" spans="1:6" x14ac:dyDescent="0.3">
      <c r="A429" s="56">
        <v>1811</v>
      </c>
      <c r="B429" s="56">
        <v>1.32</v>
      </c>
      <c r="C429" s="56">
        <v>1.32</v>
      </c>
      <c r="D429" s="56">
        <v>1.32</v>
      </c>
      <c r="E429" s="56">
        <v>1.32</v>
      </c>
      <c r="F429" s="56">
        <v>1.32</v>
      </c>
    </row>
    <row r="430" spans="1:6" x14ac:dyDescent="0.3">
      <c r="A430" s="56">
        <v>1812</v>
      </c>
      <c r="B430" s="56">
        <v>1.34</v>
      </c>
      <c r="C430" s="56">
        <v>1.34</v>
      </c>
      <c r="D430" s="56">
        <v>1.34</v>
      </c>
      <c r="E430" s="56">
        <v>1.34</v>
      </c>
      <c r="F430" s="56">
        <v>1.34</v>
      </c>
    </row>
    <row r="431" spans="1:6" x14ac:dyDescent="0.3">
      <c r="A431" s="56">
        <v>1813</v>
      </c>
      <c r="B431" s="56">
        <v>1.36</v>
      </c>
      <c r="C431" s="56">
        <v>1.36</v>
      </c>
      <c r="D431" s="56">
        <v>1.36</v>
      </c>
      <c r="E431" s="56">
        <v>1.36</v>
      </c>
      <c r="F431" s="56">
        <v>1.36</v>
      </c>
    </row>
    <row r="432" spans="1:6" x14ac:dyDescent="0.3">
      <c r="A432" s="56">
        <v>1814</v>
      </c>
      <c r="B432" s="56">
        <v>1.38</v>
      </c>
      <c r="C432" s="56">
        <v>1.38</v>
      </c>
      <c r="D432" s="56">
        <v>1.38</v>
      </c>
      <c r="E432" s="56">
        <v>1.38</v>
      </c>
      <c r="F432" s="56">
        <v>1.38</v>
      </c>
    </row>
    <row r="433" spans="1:6" x14ac:dyDescent="0.3">
      <c r="A433" s="56">
        <v>1815</v>
      </c>
      <c r="B433" s="56">
        <v>1.4</v>
      </c>
      <c r="C433" s="56">
        <v>1.4</v>
      </c>
      <c r="D433" s="56">
        <v>1.4</v>
      </c>
      <c r="E433" s="56">
        <v>1.4</v>
      </c>
      <c r="F433" s="56">
        <v>1.4</v>
      </c>
    </row>
    <row r="434" spans="1:6" x14ac:dyDescent="0.3">
      <c r="A434" s="56">
        <v>1816</v>
      </c>
      <c r="B434" s="56">
        <v>1.42</v>
      </c>
      <c r="C434" s="56">
        <v>1.42</v>
      </c>
      <c r="D434" s="56">
        <v>1.42</v>
      </c>
      <c r="E434" s="56">
        <v>1.42</v>
      </c>
      <c r="F434" s="56">
        <v>1.42</v>
      </c>
    </row>
    <row r="435" spans="1:6" x14ac:dyDescent="0.3">
      <c r="A435" s="56">
        <v>1817</v>
      </c>
      <c r="B435" s="56">
        <v>1.44</v>
      </c>
      <c r="C435" s="56">
        <v>1.44</v>
      </c>
      <c r="D435" s="56">
        <v>1.44</v>
      </c>
      <c r="E435" s="56">
        <v>1.44</v>
      </c>
      <c r="F435" s="56">
        <v>1.44</v>
      </c>
    </row>
    <row r="436" spans="1:6" x14ac:dyDescent="0.3">
      <c r="A436" s="56">
        <v>1818</v>
      </c>
      <c r="B436" s="56">
        <v>1.46</v>
      </c>
      <c r="C436" s="56">
        <v>1.46</v>
      </c>
      <c r="D436" s="56">
        <v>1.46</v>
      </c>
      <c r="E436" s="56">
        <v>1.46</v>
      </c>
      <c r="F436" s="56">
        <v>1.46</v>
      </c>
    </row>
    <row r="437" spans="1:6" x14ac:dyDescent="0.3">
      <c r="A437" s="56">
        <v>1819</v>
      </c>
      <c r="B437" s="56">
        <v>1.48</v>
      </c>
      <c r="C437" s="56">
        <v>1.48</v>
      </c>
      <c r="D437" s="56">
        <v>1.48</v>
      </c>
      <c r="E437" s="56">
        <v>1.48</v>
      </c>
      <c r="F437" s="56">
        <v>1.48</v>
      </c>
    </row>
    <row r="438" spans="1:6" x14ac:dyDescent="0.3">
      <c r="A438" s="56">
        <v>1820</v>
      </c>
      <c r="B438" s="56">
        <v>1.5</v>
      </c>
      <c r="C438" s="56">
        <v>1.5</v>
      </c>
      <c r="D438" s="56">
        <v>1.5</v>
      </c>
      <c r="E438" s="56">
        <v>1.5</v>
      </c>
      <c r="F438" s="56">
        <v>1.5</v>
      </c>
    </row>
    <row r="439" spans="1:6" x14ac:dyDescent="0.3">
      <c r="A439" s="56">
        <v>1821</v>
      </c>
      <c r="B439" s="56">
        <v>1.52</v>
      </c>
      <c r="C439" s="56">
        <v>1.52</v>
      </c>
      <c r="D439" s="56">
        <v>1.52</v>
      </c>
      <c r="E439" s="56">
        <v>1.52</v>
      </c>
      <c r="F439" s="56">
        <v>1.52</v>
      </c>
    </row>
    <row r="440" spans="1:6" x14ac:dyDescent="0.3">
      <c r="A440" s="56">
        <v>1822</v>
      </c>
      <c r="B440" s="56">
        <v>1.54</v>
      </c>
      <c r="C440" s="56">
        <v>1.54</v>
      </c>
      <c r="D440" s="56">
        <v>1.54</v>
      </c>
      <c r="E440" s="56">
        <v>1.54</v>
      </c>
      <c r="F440" s="56">
        <v>1.54</v>
      </c>
    </row>
    <row r="441" spans="1:6" x14ac:dyDescent="0.3">
      <c r="A441" s="56">
        <v>1823</v>
      </c>
      <c r="B441" s="56">
        <v>1.56</v>
      </c>
      <c r="C441" s="56">
        <v>1.56</v>
      </c>
      <c r="D441" s="56">
        <v>1.56</v>
      </c>
      <c r="E441" s="56">
        <v>1.56</v>
      </c>
      <c r="F441" s="56">
        <v>1.56</v>
      </c>
    </row>
    <row r="442" spans="1:6" x14ac:dyDescent="0.3">
      <c r="A442" s="56">
        <v>1824</v>
      </c>
      <c r="B442" s="56">
        <v>1.58</v>
      </c>
      <c r="C442" s="56">
        <v>1.58</v>
      </c>
      <c r="D442" s="56">
        <v>1.58</v>
      </c>
      <c r="E442" s="56">
        <v>1.58</v>
      </c>
      <c r="F442" s="56">
        <v>1.58</v>
      </c>
    </row>
    <row r="443" spans="1:6" x14ac:dyDescent="0.3">
      <c r="A443" s="56">
        <v>1825</v>
      </c>
      <c r="B443" s="56">
        <v>1.6</v>
      </c>
      <c r="C443" s="56">
        <v>1.6</v>
      </c>
      <c r="D443" s="56">
        <v>1.6</v>
      </c>
      <c r="E443" s="56">
        <v>1.6</v>
      </c>
      <c r="F443" s="56">
        <v>1.6</v>
      </c>
    </row>
    <row r="444" spans="1:6" x14ac:dyDescent="0.3">
      <c r="A444" s="56">
        <v>1900</v>
      </c>
      <c r="B444" s="56">
        <v>1</v>
      </c>
      <c r="C444" s="56">
        <v>1</v>
      </c>
      <c r="D444" s="56">
        <v>1</v>
      </c>
      <c r="E444" s="56">
        <v>1</v>
      </c>
      <c r="F444" s="56">
        <v>1</v>
      </c>
    </row>
    <row r="445" spans="1:6" x14ac:dyDescent="0.3">
      <c r="A445" s="56">
        <v>1901</v>
      </c>
      <c r="B445" s="56">
        <v>1.08</v>
      </c>
      <c r="C445" s="56">
        <v>1.08</v>
      </c>
      <c r="D445" s="56">
        <v>1.08</v>
      </c>
      <c r="E445" s="56">
        <v>1.08</v>
      </c>
      <c r="F445" s="56">
        <v>1.08</v>
      </c>
    </row>
    <row r="446" spans="1:6" x14ac:dyDescent="0.3">
      <c r="A446" s="56">
        <v>1902</v>
      </c>
      <c r="B446" s="56">
        <v>1.1599999999999999</v>
      </c>
      <c r="C446" s="56">
        <v>1.1599999999999999</v>
      </c>
      <c r="D446" s="56">
        <v>1.1599999999999999</v>
      </c>
      <c r="E446" s="56">
        <v>1.1599999999999999</v>
      </c>
      <c r="F446" s="56">
        <v>1.1599999999999999</v>
      </c>
    </row>
    <row r="447" spans="1:6" x14ac:dyDescent="0.3">
      <c r="A447" s="56">
        <v>1903</v>
      </c>
      <c r="B447" s="56">
        <v>1.24</v>
      </c>
      <c r="C447" s="56">
        <v>1.24</v>
      </c>
      <c r="D447" s="56">
        <v>1.24</v>
      </c>
      <c r="E447" s="56">
        <v>1.24</v>
      </c>
      <c r="F447" s="56">
        <v>1.24</v>
      </c>
    </row>
    <row r="448" spans="1:6" x14ac:dyDescent="0.3">
      <c r="A448" s="56">
        <v>1904</v>
      </c>
      <c r="B448" s="56">
        <v>1.32</v>
      </c>
      <c r="C448" s="56">
        <v>1.32</v>
      </c>
      <c r="D448" s="56">
        <v>1.32</v>
      </c>
      <c r="E448" s="56">
        <v>1.32</v>
      </c>
      <c r="F448" s="56">
        <v>1.32</v>
      </c>
    </row>
    <row r="449" spans="1:6" x14ac:dyDescent="0.3">
      <c r="A449" s="56">
        <v>1905</v>
      </c>
      <c r="B449" s="56">
        <v>1.4</v>
      </c>
      <c r="C449" s="56">
        <v>1.4</v>
      </c>
      <c r="D449" s="56">
        <v>1.4</v>
      </c>
      <c r="E449" s="56">
        <v>1.4</v>
      </c>
      <c r="F449" s="56">
        <v>1.4</v>
      </c>
    </row>
    <row r="450" spans="1:6" x14ac:dyDescent="0.3">
      <c r="A450" s="56">
        <v>1906</v>
      </c>
      <c r="B450" s="56">
        <v>1.48</v>
      </c>
      <c r="C450" s="56">
        <v>1.48</v>
      </c>
      <c r="D450" s="56">
        <v>1.48</v>
      </c>
      <c r="E450" s="56">
        <v>1.48</v>
      </c>
      <c r="F450" s="56">
        <v>1.48</v>
      </c>
    </row>
    <row r="451" spans="1:6" x14ac:dyDescent="0.3">
      <c r="A451" s="56">
        <v>1907</v>
      </c>
      <c r="B451" s="56">
        <v>1.56</v>
      </c>
      <c r="C451" s="56">
        <v>1.56</v>
      </c>
      <c r="D451" s="56">
        <v>1.56</v>
      </c>
      <c r="E451" s="56">
        <v>1.56</v>
      </c>
      <c r="F451" s="56">
        <v>1.56</v>
      </c>
    </row>
    <row r="452" spans="1:6" x14ac:dyDescent="0.3">
      <c r="A452" s="56">
        <v>1908</v>
      </c>
      <c r="B452" s="56">
        <v>1.64</v>
      </c>
      <c r="C452" s="56">
        <v>1.64</v>
      </c>
      <c r="D452" s="56">
        <v>1.64</v>
      </c>
      <c r="E452" s="56">
        <v>1.64</v>
      </c>
      <c r="F452" s="56">
        <v>1.64</v>
      </c>
    </row>
    <row r="453" spans="1:6" x14ac:dyDescent="0.3">
      <c r="A453" s="56">
        <v>1909</v>
      </c>
      <c r="B453" s="56">
        <v>1.72</v>
      </c>
      <c r="C453" s="56">
        <v>1.72</v>
      </c>
      <c r="D453" s="56">
        <v>1.72</v>
      </c>
      <c r="E453" s="56">
        <v>1.72</v>
      </c>
      <c r="F453" s="56">
        <v>1.72</v>
      </c>
    </row>
    <row r="454" spans="1:6" x14ac:dyDescent="0.3">
      <c r="A454" s="56">
        <v>1910</v>
      </c>
      <c r="B454" s="56">
        <v>1.8</v>
      </c>
      <c r="C454" s="56">
        <v>1.8</v>
      </c>
      <c r="D454" s="56">
        <v>1.8</v>
      </c>
      <c r="E454" s="56">
        <v>1.8</v>
      </c>
      <c r="F454" s="56">
        <v>1.8</v>
      </c>
    </row>
    <row r="455" spans="1:6" x14ac:dyDescent="0.3">
      <c r="A455" s="56">
        <v>1911</v>
      </c>
      <c r="B455" s="56">
        <v>1.88</v>
      </c>
      <c r="C455" s="56">
        <v>1.88</v>
      </c>
      <c r="D455" s="56">
        <v>1.88</v>
      </c>
      <c r="E455" s="56">
        <v>1.88</v>
      </c>
      <c r="F455" s="56">
        <v>1.88</v>
      </c>
    </row>
    <row r="456" spans="1:6" x14ac:dyDescent="0.3">
      <c r="A456" s="56">
        <v>1912</v>
      </c>
      <c r="B456" s="56">
        <v>1.96</v>
      </c>
      <c r="C456" s="56">
        <v>1.96</v>
      </c>
      <c r="D456" s="56">
        <v>1.96</v>
      </c>
      <c r="E456" s="56">
        <v>1.96</v>
      </c>
      <c r="F456" s="56">
        <v>1.96</v>
      </c>
    </row>
    <row r="457" spans="1:6" x14ac:dyDescent="0.3">
      <c r="A457" s="56">
        <v>1913</v>
      </c>
      <c r="B457" s="56">
        <v>2.04</v>
      </c>
      <c r="C457" s="56">
        <v>2.04</v>
      </c>
      <c r="D457" s="56">
        <v>2.04</v>
      </c>
      <c r="E457" s="56">
        <v>2.04</v>
      </c>
      <c r="F457" s="56">
        <v>2.04</v>
      </c>
    </row>
    <row r="458" spans="1:6" x14ac:dyDescent="0.3">
      <c r="A458" s="56">
        <v>1914</v>
      </c>
      <c r="B458" s="56">
        <v>2.12</v>
      </c>
      <c r="C458" s="56">
        <v>2.12</v>
      </c>
      <c r="D458" s="56">
        <v>2.12</v>
      </c>
      <c r="E458" s="56">
        <v>2.12</v>
      </c>
      <c r="F458" s="56">
        <v>2.12</v>
      </c>
    </row>
    <row r="459" spans="1:6" x14ac:dyDescent="0.3">
      <c r="A459" s="56">
        <v>1915</v>
      </c>
      <c r="B459" s="56">
        <v>2.2000000000000002</v>
      </c>
      <c r="C459" s="56">
        <v>2.2000000000000002</v>
      </c>
      <c r="D459" s="56">
        <v>2.2000000000000002</v>
      </c>
      <c r="E459" s="56">
        <v>2.2000000000000002</v>
      </c>
      <c r="F459" s="56">
        <v>2.2000000000000002</v>
      </c>
    </row>
    <row r="460" spans="1:6" x14ac:dyDescent="0.3">
      <c r="A460" s="56">
        <v>1916</v>
      </c>
      <c r="B460" s="56">
        <v>2.2799999999999998</v>
      </c>
      <c r="C460" s="56">
        <v>2.2799999999999998</v>
      </c>
      <c r="D460" s="56">
        <v>2.2799999999999998</v>
      </c>
      <c r="E460" s="56">
        <v>2.2799999999999998</v>
      </c>
      <c r="F460" s="56">
        <v>2.2799999999999998</v>
      </c>
    </row>
    <row r="461" spans="1:6" x14ac:dyDescent="0.3">
      <c r="A461" s="56">
        <v>1917</v>
      </c>
      <c r="B461" s="56">
        <v>2.36</v>
      </c>
      <c r="C461" s="56">
        <v>2.36</v>
      </c>
      <c r="D461" s="56">
        <v>2.36</v>
      </c>
      <c r="E461" s="56">
        <v>2.36</v>
      </c>
      <c r="F461" s="56">
        <v>2.36</v>
      </c>
    </row>
    <row r="462" spans="1:6" x14ac:dyDescent="0.3">
      <c r="A462" s="56">
        <v>1918</v>
      </c>
      <c r="B462" s="56">
        <v>2.44</v>
      </c>
      <c r="C462" s="56">
        <v>2.44</v>
      </c>
      <c r="D462" s="56">
        <v>2.44</v>
      </c>
      <c r="E462" s="56">
        <v>2.44</v>
      </c>
      <c r="F462" s="56">
        <v>2.44</v>
      </c>
    </row>
    <row r="463" spans="1:6" x14ac:dyDescent="0.3">
      <c r="A463" s="56">
        <v>1919</v>
      </c>
      <c r="B463" s="56">
        <v>2.52</v>
      </c>
      <c r="C463" s="56">
        <v>2.52</v>
      </c>
      <c r="D463" s="56">
        <v>2.52</v>
      </c>
      <c r="E463" s="56">
        <v>2.52</v>
      </c>
      <c r="F463" s="56">
        <v>2.52</v>
      </c>
    </row>
    <row r="464" spans="1:6" x14ac:dyDescent="0.3">
      <c r="A464" s="56">
        <v>1920</v>
      </c>
      <c r="B464" s="56">
        <v>2.6</v>
      </c>
      <c r="C464" s="56">
        <v>2.6</v>
      </c>
      <c r="D464" s="56">
        <v>2.6</v>
      </c>
      <c r="E464" s="56">
        <v>2.6</v>
      </c>
      <c r="F464" s="56">
        <v>2.6</v>
      </c>
    </row>
    <row r="465" spans="1:6" x14ac:dyDescent="0.3">
      <c r="A465" s="56">
        <v>1921</v>
      </c>
      <c r="B465" s="56">
        <v>2.68</v>
      </c>
      <c r="C465" s="56">
        <v>2.68</v>
      </c>
      <c r="D465" s="56">
        <v>2.68</v>
      </c>
      <c r="E465" s="56">
        <v>2.68</v>
      </c>
      <c r="F465" s="56">
        <v>2.68</v>
      </c>
    </row>
    <row r="466" spans="1:6" x14ac:dyDescent="0.3">
      <c r="A466" s="56">
        <v>1922</v>
      </c>
      <c r="B466" s="56">
        <v>2.76</v>
      </c>
      <c r="C466" s="56">
        <v>2.76</v>
      </c>
      <c r="D466" s="56">
        <v>2.76</v>
      </c>
      <c r="E466" s="56">
        <v>2.76</v>
      </c>
      <c r="F466" s="56">
        <v>2.76</v>
      </c>
    </row>
    <row r="467" spans="1:6" x14ac:dyDescent="0.3">
      <c r="A467" s="56">
        <v>1923</v>
      </c>
      <c r="B467" s="56">
        <v>2.84</v>
      </c>
      <c r="C467" s="56">
        <v>2.84</v>
      </c>
      <c r="D467" s="56">
        <v>2.84</v>
      </c>
      <c r="E467" s="56">
        <v>2.84</v>
      </c>
      <c r="F467" s="56">
        <v>2.84</v>
      </c>
    </row>
    <row r="468" spans="1:6" x14ac:dyDescent="0.3">
      <c r="A468" s="56">
        <v>1924</v>
      </c>
      <c r="B468" s="56">
        <v>2.92</v>
      </c>
      <c r="C468" s="56">
        <v>2.92</v>
      </c>
      <c r="D468" s="56">
        <v>2.92</v>
      </c>
      <c r="E468" s="56">
        <v>2.92</v>
      </c>
      <c r="F468" s="56">
        <v>2.92</v>
      </c>
    </row>
    <row r="469" spans="1:6" x14ac:dyDescent="0.3">
      <c r="A469" s="56">
        <v>1925</v>
      </c>
      <c r="B469" s="56">
        <v>3</v>
      </c>
      <c r="C469" s="56">
        <v>3</v>
      </c>
      <c r="D469" s="56">
        <v>3</v>
      </c>
      <c r="E469" s="56">
        <v>3</v>
      </c>
      <c r="F469" s="56">
        <v>3</v>
      </c>
    </row>
    <row r="470" spans="1:6" x14ac:dyDescent="0.3">
      <c r="A470" s="56">
        <v>2000</v>
      </c>
      <c r="B470" s="56">
        <v>1</v>
      </c>
      <c r="C470" s="56">
        <v>1</v>
      </c>
      <c r="D470" s="56">
        <v>1</v>
      </c>
      <c r="E470" s="56">
        <v>1</v>
      </c>
      <c r="F470" s="56">
        <v>1</v>
      </c>
    </row>
    <row r="471" spans="1:6" x14ac:dyDescent="0.3">
      <c r="A471" s="56">
        <v>2001</v>
      </c>
      <c r="B471" s="56">
        <v>1.05</v>
      </c>
      <c r="C471" s="56">
        <v>1.05</v>
      </c>
      <c r="D471" s="56">
        <v>1.05</v>
      </c>
      <c r="E471" s="56">
        <v>1.05</v>
      </c>
      <c r="F471" s="56">
        <v>1.05</v>
      </c>
    </row>
    <row r="472" spans="1:6" x14ac:dyDescent="0.3">
      <c r="A472" s="56">
        <v>2002</v>
      </c>
      <c r="B472" s="56">
        <v>1.1000000000000001</v>
      </c>
      <c r="C472" s="56">
        <v>1.1000000000000001</v>
      </c>
      <c r="D472" s="56">
        <v>1.1000000000000001</v>
      </c>
      <c r="E472" s="56">
        <v>1.1000000000000001</v>
      </c>
      <c r="F472" s="56">
        <v>1.1000000000000001</v>
      </c>
    </row>
    <row r="473" spans="1:6" x14ac:dyDescent="0.3">
      <c r="A473" s="56">
        <v>2003</v>
      </c>
      <c r="B473" s="56">
        <v>1.1499999999999999</v>
      </c>
      <c r="C473" s="56">
        <v>1.1499999999999999</v>
      </c>
      <c r="D473" s="56">
        <v>1.1499999999999999</v>
      </c>
      <c r="E473" s="56">
        <v>1.1499999999999999</v>
      </c>
      <c r="F473" s="56">
        <v>1.1499999999999999</v>
      </c>
    </row>
    <row r="474" spans="1:6" x14ac:dyDescent="0.3">
      <c r="A474" s="56">
        <v>2004</v>
      </c>
      <c r="B474" s="56">
        <v>1.2</v>
      </c>
      <c r="C474" s="56">
        <v>1.2</v>
      </c>
      <c r="D474" s="56">
        <v>1.2</v>
      </c>
      <c r="E474" s="56">
        <v>1.2</v>
      </c>
      <c r="F474" s="56">
        <v>1.2</v>
      </c>
    </row>
    <row r="475" spans="1:6" x14ac:dyDescent="0.3">
      <c r="A475" s="56">
        <v>2005</v>
      </c>
      <c r="B475" s="56">
        <v>1.25</v>
      </c>
      <c r="C475" s="56">
        <v>1.25</v>
      </c>
      <c r="D475" s="56">
        <v>1.25</v>
      </c>
      <c r="E475" s="56">
        <v>1.25</v>
      </c>
      <c r="F475" s="56">
        <v>1.25</v>
      </c>
    </row>
    <row r="476" spans="1:6" x14ac:dyDescent="0.3">
      <c r="A476" s="56">
        <v>2006</v>
      </c>
      <c r="B476" s="56">
        <v>1.3</v>
      </c>
      <c r="C476" s="56">
        <v>1.3</v>
      </c>
      <c r="D476" s="56">
        <v>1.3</v>
      </c>
      <c r="E476" s="56">
        <v>1.3</v>
      </c>
      <c r="F476" s="56">
        <v>1.3</v>
      </c>
    </row>
    <row r="477" spans="1:6" x14ac:dyDescent="0.3">
      <c r="A477" s="56">
        <v>2007</v>
      </c>
      <c r="B477" s="56">
        <v>1.35</v>
      </c>
      <c r="C477" s="56">
        <v>1.35</v>
      </c>
      <c r="D477" s="56">
        <v>1.35</v>
      </c>
      <c r="E477" s="56">
        <v>1.35</v>
      </c>
      <c r="F477" s="56">
        <v>1.35</v>
      </c>
    </row>
    <row r="478" spans="1:6" x14ac:dyDescent="0.3">
      <c r="A478" s="56">
        <v>2008</v>
      </c>
      <c r="B478" s="56">
        <v>1.4</v>
      </c>
      <c r="C478" s="56">
        <v>1.4</v>
      </c>
      <c r="D478" s="56">
        <v>1.4</v>
      </c>
      <c r="E478" s="56">
        <v>1.4</v>
      </c>
      <c r="F478" s="56">
        <v>1.4</v>
      </c>
    </row>
    <row r="479" spans="1:6" x14ac:dyDescent="0.3">
      <c r="A479" s="56">
        <v>2009</v>
      </c>
      <c r="B479" s="56">
        <v>1.43</v>
      </c>
      <c r="C479" s="56">
        <v>1.43</v>
      </c>
      <c r="D479" s="56">
        <v>1.43</v>
      </c>
      <c r="E479" s="56">
        <v>1.43</v>
      </c>
      <c r="F479" s="56">
        <v>1.43</v>
      </c>
    </row>
    <row r="480" spans="1:6" x14ac:dyDescent="0.3">
      <c r="A480" s="56">
        <v>2010</v>
      </c>
      <c r="B480" s="56">
        <v>1.45</v>
      </c>
      <c r="C480" s="56">
        <v>1.45</v>
      </c>
      <c r="D480" s="56">
        <v>1.45</v>
      </c>
      <c r="E480" s="56">
        <v>1.45</v>
      </c>
      <c r="F480" s="56">
        <v>1.45</v>
      </c>
    </row>
    <row r="481" spans="1:6" x14ac:dyDescent="0.3">
      <c r="A481" s="56">
        <v>2011</v>
      </c>
      <c r="B481" s="56">
        <v>1.47</v>
      </c>
      <c r="C481" s="56">
        <v>1.47</v>
      </c>
      <c r="D481" s="56">
        <v>1.47</v>
      </c>
      <c r="E481" s="56">
        <v>1.47</v>
      </c>
      <c r="F481" s="56">
        <v>1.47</v>
      </c>
    </row>
    <row r="482" spans="1:6" x14ac:dyDescent="0.3">
      <c r="A482" s="56">
        <v>2012</v>
      </c>
      <c r="B482" s="56">
        <v>1.49</v>
      </c>
      <c r="C482" s="56">
        <v>1.49</v>
      </c>
      <c r="D482" s="56">
        <v>1.49</v>
      </c>
      <c r="E482" s="56">
        <v>1.49</v>
      </c>
      <c r="F482" s="56">
        <v>1.49</v>
      </c>
    </row>
    <row r="483" spans="1:6" x14ac:dyDescent="0.3">
      <c r="A483" s="56">
        <v>2013</v>
      </c>
      <c r="B483" s="56">
        <v>1.51</v>
      </c>
      <c r="C483" s="56">
        <v>1.51</v>
      </c>
      <c r="D483" s="56">
        <v>1.51</v>
      </c>
      <c r="E483" s="56">
        <v>1.51</v>
      </c>
      <c r="F483" s="56">
        <v>1.51</v>
      </c>
    </row>
    <row r="484" spans="1:6" x14ac:dyDescent="0.3">
      <c r="A484" s="56">
        <v>2014</v>
      </c>
      <c r="B484" s="56">
        <v>1.53</v>
      </c>
      <c r="C484" s="56">
        <v>1.53</v>
      </c>
      <c r="D484" s="56">
        <v>1.53</v>
      </c>
      <c r="E484" s="56">
        <v>1.53</v>
      </c>
      <c r="F484" s="56">
        <v>1.53</v>
      </c>
    </row>
    <row r="485" spans="1:6" x14ac:dyDescent="0.3">
      <c r="A485" s="56">
        <v>2015</v>
      </c>
      <c r="B485" s="56">
        <v>1.55</v>
      </c>
      <c r="C485" s="56">
        <v>1.55</v>
      </c>
      <c r="D485" s="56">
        <v>1.55</v>
      </c>
      <c r="E485" s="56">
        <v>1.55</v>
      </c>
      <c r="F485" s="56">
        <v>1.55</v>
      </c>
    </row>
    <row r="486" spans="1:6" x14ac:dyDescent="0.3">
      <c r="A486" s="56">
        <v>2016</v>
      </c>
      <c r="B486" s="56">
        <v>1.57</v>
      </c>
      <c r="C486" s="56">
        <v>1.57</v>
      </c>
      <c r="D486" s="56">
        <v>1.57</v>
      </c>
      <c r="E486" s="56">
        <v>1.57</v>
      </c>
      <c r="F486" s="56">
        <v>1.57</v>
      </c>
    </row>
    <row r="487" spans="1:6" x14ac:dyDescent="0.3">
      <c r="A487" s="56">
        <v>2017</v>
      </c>
      <c r="B487" s="56">
        <v>1.59</v>
      </c>
      <c r="C487" s="56">
        <v>1.59</v>
      </c>
      <c r="D487" s="56">
        <v>1.59</v>
      </c>
      <c r="E487" s="56">
        <v>1.59</v>
      </c>
      <c r="F487" s="56">
        <v>1.59</v>
      </c>
    </row>
    <row r="488" spans="1:6" x14ac:dyDescent="0.3">
      <c r="A488" s="56">
        <v>2018</v>
      </c>
      <c r="B488" s="56">
        <v>1.6</v>
      </c>
      <c r="C488" s="56">
        <v>1.6</v>
      </c>
      <c r="D488" s="56">
        <v>1.6</v>
      </c>
      <c r="E488" s="56">
        <v>1.6</v>
      </c>
      <c r="F488" s="56">
        <v>1.6</v>
      </c>
    </row>
    <row r="489" spans="1:6" x14ac:dyDescent="0.3">
      <c r="A489" s="56">
        <v>2019</v>
      </c>
      <c r="B489" s="56">
        <v>1.62</v>
      </c>
      <c r="C489" s="56">
        <v>1.62</v>
      </c>
      <c r="D489" s="56">
        <v>1.62</v>
      </c>
      <c r="E489" s="56">
        <v>1.62</v>
      </c>
      <c r="F489" s="56">
        <v>1.62</v>
      </c>
    </row>
    <row r="490" spans="1:6" x14ac:dyDescent="0.3">
      <c r="A490" s="56">
        <v>2020</v>
      </c>
      <c r="B490" s="56">
        <v>1.64</v>
      </c>
      <c r="C490" s="56">
        <v>1.64</v>
      </c>
      <c r="D490" s="56">
        <v>1.64</v>
      </c>
      <c r="E490" s="56">
        <v>1.64</v>
      </c>
      <c r="F490" s="56">
        <v>1.64</v>
      </c>
    </row>
    <row r="491" spans="1:6" x14ac:dyDescent="0.3">
      <c r="A491" s="56">
        <v>2021</v>
      </c>
      <c r="B491" s="56">
        <v>1.65</v>
      </c>
      <c r="C491" s="56">
        <v>1.65</v>
      </c>
      <c r="D491" s="56">
        <v>1.65</v>
      </c>
      <c r="E491" s="56">
        <v>1.65</v>
      </c>
      <c r="F491" s="56">
        <v>1.65</v>
      </c>
    </row>
    <row r="492" spans="1:6" x14ac:dyDescent="0.3">
      <c r="A492" s="56">
        <v>2022</v>
      </c>
      <c r="B492" s="56">
        <v>1.66</v>
      </c>
      <c r="C492" s="56">
        <v>1.66</v>
      </c>
      <c r="D492" s="56">
        <v>1.66</v>
      </c>
      <c r="E492" s="56">
        <v>1.66</v>
      </c>
      <c r="F492" s="56">
        <v>1.66</v>
      </c>
    </row>
    <row r="493" spans="1:6" x14ac:dyDescent="0.3">
      <c r="A493" s="56">
        <v>2023</v>
      </c>
      <c r="B493" s="56">
        <v>1.67</v>
      </c>
      <c r="C493" s="56">
        <v>1.67</v>
      </c>
      <c r="D493" s="56">
        <v>1.67</v>
      </c>
      <c r="E493" s="56">
        <v>1.67</v>
      </c>
      <c r="F493" s="56">
        <v>1.67</v>
      </c>
    </row>
    <row r="494" spans="1:6" x14ac:dyDescent="0.3">
      <c r="A494" s="56">
        <v>2024</v>
      </c>
      <c r="B494" s="56">
        <v>1.68</v>
      </c>
      <c r="C494" s="56">
        <v>1.68</v>
      </c>
      <c r="D494" s="56">
        <v>1.68</v>
      </c>
      <c r="E494" s="56">
        <v>1.68</v>
      </c>
      <c r="F494" s="56">
        <v>1.68</v>
      </c>
    </row>
    <row r="495" spans="1:6" x14ac:dyDescent="0.3">
      <c r="A495" s="56">
        <v>2025</v>
      </c>
      <c r="B495" s="56">
        <v>1.69</v>
      </c>
      <c r="C495" s="56">
        <v>1.69</v>
      </c>
      <c r="D495" s="56">
        <v>1.69</v>
      </c>
      <c r="E495" s="56">
        <v>1.69</v>
      </c>
      <c r="F495" s="56">
        <v>1.69</v>
      </c>
    </row>
    <row r="496" spans="1:6" x14ac:dyDescent="0.3">
      <c r="A496" s="56">
        <v>2100</v>
      </c>
      <c r="B496" s="56">
        <v>1</v>
      </c>
      <c r="C496" s="56">
        <v>1</v>
      </c>
      <c r="D496" s="56">
        <v>1</v>
      </c>
      <c r="E496" s="56">
        <v>1</v>
      </c>
      <c r="F496" s="56">
        <v>1</v>
      </c>
    </row>
    <row r="497" spans="1:6" x14ac:dyDescent="0.3">
      <c r="A497" s="56">
        <v>2101</v>
      </c>
      <c r="B497" s="56">
        <v>1.07</v>
      </c>
      <c r="C497" s="56">
        <v>1.07</v>
      </c>
      <c r="D497" s="56">
        <v>1.07</v>
      </c>
      <c r="E497" s="56">
        <v>1.07</v>
      </c>
      <c r="F497" s="56">
        <v>1.07</v>
      </c>
    </row>
    <row r="498" spans="1:6" x14ac:dyDescent="0.3">
      <c r="A498" s="56">
        <v>2102</v>
      </c>
      <c r="B498" s="56">
        <v>1.1399999999999999</v>
      </c>
      <c r="C498" s="56">
        <v>1.1399999999999999</v>
      </c>
      <c r="D498" s="56">
        <v>1.1399999999999999</v>
      </c>
      <c r="E498" s="56">
        <v>1.1399999999999999</v>
      </c>
      <c r="F498" s="56">
        <v>1.1399999999999999</v>
      </c>
    </row>
    <row r="499" spans="1:6" x14ac:dyDescent="0.3">
      <c r="A499" s="56">
        <v>2103</v>
      </c>
      <c r="B499" s="56">
        <v>1.21</v>
      </c>
      <c r="C499" s="56">
        <v>1.21</v>
      </c>
      <c r="D499" s="56">
        <v>1.21</v>
      </c>
      <c r="E499" s="56">
        <v>1.21</v>
      </c>
      <c r="F499" s="56">
        <v>1.21</v>
      </c>
    </row>
    <row r="500" spans="1:6" x14ac:dyDescent="0.3">
      <c r="A500" s="56">
        <v>2104</v>
      </c>
      <c r="B500" s="56">
        <v>1.28</v>
      </c>
      <c r="C500" s="56">
        <v>1.28</v>
      </c>
      <c r="D500" s="56">
        <v>1.28</v>
      </c>
      <c r="E500" s="56">
        <v>1.28</v>
      </c>
      <c r="F500" s="56">
        <v>1.28</v>
      </c>
    </row>
    <row r="501" spans="1:6" x14ac:dyDescent="0.3">
      <c r="A501" s="56">
        <v>2105</v>
      </c>
      <c r="B501" s="56">
        <v>1.35</v>
      </c>
      <c r="C501" s="56">
        <v>1.35</v>
      </c>
      <c r="D501" s="56">
        <v>1.35</v>
      </c>
      <c r="E501" s="56">
        <v>1.35</v>
      </c>
      <c r="F501" s="56">
        <v>1.35</v>
      </c>
    </row>
    <row r="502" spans="1:6" x14ac:dyDescent="0.3">
      <c r="A502" s="56">
        <v>2106</v>
      </c>
      <c r="B502" s="56">
        <v>1.42</v>
      </c>
      <c r="C502" s="56">
        <v>1.42</v>
      </c>
      <c r="D502" s="56">
        <v>1.42</v>
      </c>
      <c r="E502" s="56">
        <v>1.42</v>
      </c>
      <c r="F502" s="56">
        <v>1.42</v>
      </c>
    </row>
    <row r="503" spans="1:6" x14ac:dyDescent="0.3">
      <c r="A503" s="56">
        <v>2107</v>
      </c>
      <c r="B503" s="56">
        <v>1.49</v>
      </c>
      <c r="C503" s="56">
        <v>1.49</v>
      </c>
      <c r="D503" s="56">
        <v>1.49</v>
      </c>
      <c r="E503" s="56">
        <v>1.49</v>
      </c>
      <c r="F503" s="56">
        <v>1.49</v>
      </c>
    </row>
    <row r="504" spans="1:6" x14ac:dyDescent="0.3">
      <c r="A504" s="56">
        <v>2108</v>
      </c>
      <c r="B504" s="56">
        <v>1.56</v>
      </c>
      <c r="C504" s="56">
        <v>1.56</v>
      </c>
      <c r="D504" s="56">
        <v>1.56</v>
      </c>
      <c r="E504" s="56">
        <v>1.56</v>
      </c>
      <c r="F504" s="56">
        <v>1.56</v>
      </c>
    </row>
    <row r="505" spans="1:6" x14ac:dyDescent="0.3">
      <c r="A505" s="56">
        <v>2109</v>
      </c>
      <c r="B505" s="56">
        <v>1.63</v>
      </c>
      <c r="C505" s="56">
        <v>1.63</v>
      </c>
      <c r="D505" s="56">
        <v>1.63</v>
      </c>
      <c r="E505" s="56">
        <v>1.63</v>
      </c>
      <c r="F505" s="56">
        <v>1.63</v>
      </c>
    </row>
    <row r="506" spans="1:6" x14ac:dyDescent="0.3">
      <c r="A506" s="56">
        <v>2110</v>
      </c>
      <c r="B506" s="56">
        <v>1.7</v>
      </c>
      <c r="C506" s="56">
        <v>1.7</v>
      </c>
      <c r="D506" s="56">
        <v>1.7</v>
      </c>
      <c r="E506" s="56">
        <v>1.7</v>
      </c>
      <c r="F506" s="56">
        <v>1.7</v>
      </c>
    </row>
    <row r="507" spans="1:6" x14ac:dyDescent="0.3">
      <c r="A507" s="56">
        <v>2111</v>
      </c>
      <c r="B507" s="56">
        <v>1.73</v>
      </c>
      <c r="C507" s="56">
        <v>1.73</v>
      </c>
      <c r="D507" s="56">
        <v>1.73</v>
      </c>
      <c r="E507" s="56">
        <v>1.73</v>
      </c>
      <c r="F507" s="56">
        <v>1.73</v>
      </c>
    </row>
    <row r="508" spans="1:6" x14ac:dyDescent="0.3">
      <c r="A508" s="56">
        <v>2112</v>
      </c>
      <c r="B508" s="56">
        <v>1.76</v>
      </c>
      <c r="C508" s="56">
        <v>1.76</v>
      </c>
      <c r="D508" s="56">
        <v>1.76</v>
      </c>
      <c r="E508" s="56">
        <v>1.76</v>
      </c>
      <c r="F508" s="56">
        <v>1.76</v>
      </c>
    </row>
    <row r="509" spans="1:6" x14ac:dyDescent="0.3">
      <c r="A509" s="56">
        <v>2113</v>
      </c>
      <c r="B509" s="56">
        <v>1.79</v>
      </c>
      <c r="C509" s="56">
        <v>1.79</v>
      </c>
      <c r="D509" s="56">
        <v>1.79</v>
      </c>
      <c r="E509" s="56">
        <v>1.79</v>
      </c>
      <c r="F509" s="56">
        <v>1.79</v>
      </c>
    </row>
    <row r="510" spans="1:6" x14ac:dyDescent="0.3">
      <c r="A510" s="56">
        <v>2114</v>
      </c>
      <c r="B510" s="56">
        <v>1.82</v>
      </c>
      <c r="C510" s="56">
        <v>1.82</v>
      </c>
      <c r="D510" s="56">
        <v>1.82</v>
      </c>
      <c r="E510" s="56">
        <v>1.82</v>
      </c>
      <c r="F510" s="56">
        <v>1.82</v>
      </c>
    </row>
    <row r="511" spans="1:6" x14ac:dyDescent="0.3">
      <c r="A511" s="56">
        <v>2115</v>
      </c>
      <c r="B511" s="56">
        <v>1.85</v>
      </c>
      <c r="C511" s="56">
        <v>1.85</v>
      </c>
      <c r="D511" s="56">
        <v>1.85</v>
      </c>
      <c r="E511" s="56">
        <v>1.85</v>
      </c>
      <c r="F511" s="56">
        <v>1.85</v>
      </c>
    </row>
    <row r="512" spans="1:6" x14ac:dyDescent="0.3">
      <c r="A512" s="56">
        <v>2116</v>
      </c>
      <c r="B512" s="56">
        <v>1.88</v>
      </c>
      <c r="C512" s="56">
        <v>1.88</v>
      </c>
      <c r="D512" s="56">
        <v>1.88</v>
      </c>
      <c r="E512" s="56">
        <v>1.88</v>
      </c>
      <c r="F512" s="56">
        <v>1.88</v>
      </c>
    </row>
    <row r="513" spans="1:6" x14ac:dyDescent="0.3">
      <c r="A513" s="56">
        <v>2117</v>
      </c>
      <c r="B513" s="56">
        <v>1.91</v>
      </c>
      <c r="C513" s="56">
        <v>1.91</v>
      </c>
      <c r="D513" s="56">
        <v>1.91</v>
      </c>
      <c r="E513" s="56">
        <v>1.91</v>
      </c>
      <c r="F513" s="56">
        <v>1.91</v>
      </c>
    </row>
    <row r="514" spans="1:6" x14ac:dyDescent="0.3">
      <c r="A514" s="56">
        <v>2118</v>
      </c>
      <c r="B514" s="56">
        <v>1.94</v>
      </c>
      <c r="C514" s="56">
        <v>1.94</v>
      </c>
      <c r="D514" s="56">
        <v>1.94</v>
      </c>
      <c r="E514" s="56">
        <v>1.94</v>
      </c>
      <c r="F514" s="56">
        <v>1.94</v>
      </c>
    </row>
    <row r="515" spans="1:6" x14ac:dyDescent="0.3">
      <c r="A515" s="56">
        <v>2119</v>
      </c>
      <c r="B515" s="56">
        <v>1.97</v>
      </c>
      <c r="C515" s="56">
        <v>1.97</v>
      </c>
      <c r="D515" s="56">
        <v>1.97</v>
      </c>
      <c r="E515" s="56">
        <v>1.97</v>
      </c>
      <c r="F515" s="56">
        <v>1.97</v>
      </c>
    </row>
    <row r="516" spans="1:6" x14ac:dyDescent="0.3">
      <c r="A516" s="56">
        <v>2120</v>
      </c>
      <c r="B516" s="56">
        <v>2</v>
      </c>
      <c r="C516" s="56">
        <v>2</v>
      </c>
      <c r="D516" s="56">
        <v>2</v>
      </c>
      <c r="E516" s="56">
        <v>2</v>
      </c>
      <c r="F516" s="56">
        <v>2</v>
      </c>
    </row>
    <row r="517" spans="1:6" x14ac:dyDescent="0.3">
      <c r="A517" s="56">
        <v>2121</v>
      </c>
      <c r="B517" s="56">
        <v>2.02</v>
      </c>
      <c r="C517" s="56">
        <v>2.02</v>
      </c>
      <c r="D517" s="56">
        <v>2.02</v>
      </c>
      <c r="E517" s="56">
        <v>2.02</v>
      </c>
      <c r="F517" s="56">
        <v>2.02</v>
      </c>
    </row>
    <row r="518" spans="1:6" x14ac:dyDescent="0.3">
      <c r="A518" s="56">
        <v>2122</v>
      </c>
      <c r="B518" s="56">
        <v>2.04</v>
      </c>
      <c r="C518" s="56">
        <v>2.04</v>
      </c>
      <c r="D518" s="56">
        <v>2.04</v>
      </c>
      <c r="E518" s="56">
        <v>2.04</v>
      </c>
      <c r="F518" s="56">
        <v>2.04</v>
      </c>
    </row>
    <row r="519" spans="1:6" x14ac:dyDescent="0.3">
      <c r="A519" s="56">
        <v>2123</v>
      </c>
      <c r="B519" s="56">
        <v>2.06</v>
      </c>
      <c r="C519" s="56">
        <v>2.06</v>
      </c>
      <c r="D519" s="56">
        <v>2.06</v>
      </c>
      <c r="E519" s="56">
        <v>2.06</v>
      </c>
      <c r="F519" s="56">
        <v>2.06</v>
      </c>
    </row>
    <row r="520" spans="1:6" x14ac:dyDescent="0.3">
      <c r="A520" s="56">
        <v>2124</v>
      </c>
      <c r="B520" s="56">
        <v>2.08</v>
      </c>
      <c r="C520" s="56">
        <v>2.08</v>
      </c>
      <c r="D520" s="56">
        <v>2.08</v>
      </c>
      <c r="E520" s="56">
        <v>2.08</v>
      </c>
      <c r="F520" s="56">
        <v>2.08</v>
      </c>
    </row>
    <row r="521" spans="1:6" x14ac:dyDescent="0.3">
      <c r="A521" s="56">
        <v>2125</v>
      </c>
      <c r="B521" s="56">
        <v>2.1</v>
      </c>
      <c r="C521" s="56">
        <v>2.1</v>
      </c>
      <c r="D521" s="56">
        <v>2.1</v>
      </c>
      <c r="E521" s="56">
        <v>2.1</v>
      </c>
      <c r="F521" s="56">
        <v>2.1</v>
      </c>
    </row>
    <row r="522" spans="1:6" x14ac:dyDescent="0.3">
      <c r="A522" s="56">
        <v>2200</v>
      </c>
      <c r="B522" s="56">
        <v>1</v>
      </c>
      <c r="C522" s="56">
        <v>1</v>
      </c>
      <c r="D522" s="56">
        <v>1</v>
      </c>
      <c r="E522" s="56">
        <v>1</v>
      </c>
      <c r="F522" s="56">
        <v>1</v>
      </c>
    </row>
    <row r="523" spans="1:6" x14ac:dyDescent="0.3">
      <c r="A523" s="56">
        <v>2201</v>
      </c>
      <c r="B523" s="56">
        <v>1.08</v>
      </c>
      <c r="C523" s="56">
        <v>1.08</v>
      </c>
      <c r="D523" s="56">
        <v>1.08</v>
      </c>
      <c r="E523" s="56">
        <v>1.08</v>
      </c>
      <c r="F523" s="56">
        <v>1.08</v>
      </c>
    </row>
    <row r="524" spans="1:6" x14ac:dyDescent="0.3">
      <c r="A524" s="56">
        <v>2202</v>
      </c>
      <c r="B524" s="56">
        <v>1.1599999999999999</v>
      </c>
      <c r="C524" s="56">
        <v>1.1599999999999999</v>
      </c>
      <c r="D524" s="56">
        <v>1.1599999999999999</v>
      </c>
      <c r="E524" s="56">
        <v>1.1599999999999999</v>
      </c>
      <c r="F524" s="56">
        <v>1.1599999999999999</v>
      </c>
    </row>
    <row r="525" spans="1:6" x14ac:dyDescent="0.3">
      <c r="A525" s="56">
        <v>2203</v>
      </c>
      <c r="B525" s="56">
        <v>1.24</v>
      </c>
      <c r="C525" s="56">
        <v>1.24</v>
      </c>
      <c r="D525" s="56">
        <v>1.24</v>
      </c>
      <c r="E525" s="56">
        <v>1.24</v>
      </c>
      <c r="F525" s="56">
        <v>1.24</v>
      </c>
    </row>
    <row r="526" spans="1:6" x14ac:dyDescent="0.3">
      <c r="A526" s="56">
        <v>2204</v>
      </c>
      <c r="B526" s="56">
        <v>1.32</v>
      </c>
      <c r="C526" s="56">
        <v>1.32</v>
      </c>
      <c r="D526" s="56">
        <v>1.32</v>
      </c>
      <c r="E526" s="56">
        <v>1.32</v>
      </c>
      <c r="F526" s="56">
        <v>1.32</v>
      </c>
    </row>
    <row r="527" spans="1:6" x14ac:dyDescent="0.3">
      <c r="A527" s="56">
        <v>2205</v>
      </c>
      <c r="B527" s="56">
        <v>1.4</v>
      </c>
      <c r="C527" s="56">
        <v>1.4</v>
      </c>
      <c r="D527" s="56">
        <v>1.4</v>
      </c>
      <c r="E527" s="56">
        <v>1.4</v>
      </c>
      <c r="F527" s="56">
        <v>1.4</v>
      </c>
    </row>
    <row r="528" spans="1:6" x14ac:dyDescent="0.3">
      <c r="A528" s="56">
        <v>2206</v>
      </c>
      <c r="B528" s="56">
        <v>1.48</v>
      </c>
      <c r="C528" s="56">
        <v>1.48</v>
      </c>
      <c r="D528" s="56">
        <v>1.48</v>
      </c>
      <c r="E528" s="56">
        <v>1.48</v>
      </c>
      <c r="F528" s="56">
        <v>1.48</v>
      </c>
    </row>
    <row r="529" spans="1:6" x14ac:dyDescent="0.3">
      <c r="A529" s="56">
        <v>2207</v>
      </c>
      <c r="B529" s="56">
        <v>1.56</v>
      </c>
      <c r="C529" s="56">
        <v>1.56</v>
      </c>
      <c r="D529" s="56">
        <v>1.56</v>
      </c>
      <c r="E529" s="56">
        <v>1.56</v>
      </c>
      <c r="F529" s="56">
        <v>1.56</v>
      </c>
    </row>
    <row r="530" spans="1:6" x14ac:dyDescent="0.3">
      <c r="A530" s="56">
        <v>2208</v>
      </c>
      <c r="B530" s="56">
        <v>1.64</v>
      </c>
      <c r="C530" s="56">
        <v>1.64</v>
      </c>
      <c r="D530" s="56">
        <v>1.64</v>
      </c>
      <c r="E530" s="56">
        <v>1.64</v>
      </c>
      <c r="F530" s="56">
        <v>1.64</v>
      </c>
    </row>
    <row r="531" spans="1:6" x14ac:dyDescent="0.3">
      <c r="A531" s="56">
        <v>2209</v>
      </c>
      <c r="B531" s="56">
        <v>1.72</v>
      </c>
      <c r="C531" s="56">
        <v>1.72</v>
      </c>
      <c r="D531" s="56">
        <v>1.72</v>
      </c>
      <c r="E531" s="56">
        <v>1.72</v>
      </c>
      <c r="F531" s="56">
        <v>1.72</v>
      </c>
    </row>
    <row r="532" spans="1:6" x14ac:dyDescent="0.3">
      <c r="A532" s="56">
        <v>2210</v>
      </c>
      <c r="B532" s="56">
        <v>1.8</v>
      </c>
      <c r="C532" s="56">
        <v>1.8</v>
      </c>
      <c r="D532" s="56">
        <v>1.8</v>
      </c>
      <c r="E532" s="56">
        <v>1.8</v>
      </c>
      <c r="F532" s="56">
        <v>1.8</v>
      </c>
    </row>
    <row r="533" spans="1:6" x14ac:dyDescent="0.3">
      <c r="A533" s="56">
        <v>2400</v>
      </c>
      <c r="B533" s="56">
        <v>1</v>
      </c>
      <c r="C533" s="56">
        <v>1</v>
      </c>
      <c r="D533" s="56">
        <v>1</v>
      </c>
      <c r="E533" s="56">
        <v>1</v>
      </c>
      <c r="F533" s="56">
        <v>1</v>
      </c>
    </row>
    <row r="534" spans="1:6" x14ac:dyDescent="0.3">
      <c r="A534" s="56">
        <v>2401</v>
      </c>
      <c r="B534" s="56">
        <v>1.2</v>
      </c>
      <c r="C534" s="56">
        <v>1.2</v>
      </c>
      <c r="D534" s="56">
        <v>1.2</v>
      </c>
      <c r="E534" s="56">
        <v>1.2</v>
      </c>
      <c r="F534" s="56">
        <v>1.2</v>
      </c>
    </row>
    <row r="535" spans="1:6" x14ac:dyDescent="0.3">
      <c r="A535" s="56">
        <v>2402</v>
      </c>
      <c r="B535" s="56">
        <v>1.4</v>
      </c>
      <c r="C535" s="56">
        <v>1.4</v>
      </c>
      <c r="D535" s="56">
        <v>1.4</v>
      </c>
      <c r="E535" s="56">
        <v>1.4</v>
      </c>
      <c r="F535" s="56">
        <v>1.4</v>
      </c>
    </row>
    <row r="536" spans="1:6" x14ac:dyDescent="0.3">
      <c r="A536" s="56">
        <v>2403</v>
      </c>
      <c r="B536" s="56">
        <v>1.6</v>
      </c>
      <c r="C536" s="56">
        <v>1.6</v>
      </c>
      <c r="D536" s="56">
        <v>1.6</v>
      </c>
      <c r="E536" s="56">
        <v>1.6</v>
      </c>
      <c r="F536" s="56">
        <v>1.6</v>
      </c>
    </row>
    <row r="537" spans="1:6" x14ac:dyDescent="0.3">
      <c r="A537" s="56">
        <v>2404</v>
      </c>
      <c r="B537" s="56">
        <v>1.8</v>
      </c>
      <c r="C537" s="56">
        <v>1.8</v>
      </c>
      <c r="D537" s="56">
        <v>1.8</v>
      </c>
      <c r="E537" s="56">
        <v>1.8</v>
      </c>
      <c r="F537" s="56">
        <v>1.8</v>
      </c>
    </row>
    <row r="538" spans="1:6" x14ac:dyDescent="0.3">
      <c r="A538" s="56">
        <v>2405</v>
      </c>
      <c r="B538" s="56">
        <v>2</v>
      </c>
      <c r="C538" s="56">
        <v>2</v>
      </c>
      <c r="D538" s="56">
        <v>2</v>
      </c>
      <c r="E538" s="56">
        <v>2</v>
      </c>
      <c r="F538" s="56">
        <v>2</v>
      </c>
    </row>
    <row r="539" spans="1:6" x14ac:dyDescent="0.3">
      <c r="A539" s="56">
        <v>2406</v>
      </c>
      <c r="B539" s="56">
        <v>2.2000000000000002</v>
      </c>
      <c r="C539" s="56">
        <v>2.2000000000000002</v>
      </c>
      <c r="D539" s="56">
        <v>2.2000000000000002</v>
      </c>
      <c r="E539" s="56">
        <v>2.2000000000000002</v>
      </c>
      <c r="F539" s="56">
        <v>2.2000000000000002</v>
      </c>
    </row>
    <row r="540" spans="1:6" x14ac:dyDescent="0.3">
      <c r="A540" s="56">
        <v>2407</v>
      </c>
      <c r="B540" s="56">
        <v>2.4</v>
      </c>
      <c r="C540" s="56">
        <v>2.4</v>
      </c>
      <c r="D540" s="56">
        <v>2.4</v>
      </c>
      <c r="E540" s="56">
        <v>2.4</v>
      </c>
      <c r="F540" s="56">
        <v>2.4</v>
      </c>
    </row>
    <row r="541" spans="1:6" x14ac:dyDescent="0.3">
      <c r="A541" s="56">
        <v>2408</v>
      </c>
      <c r="B541" s="56">
        <v>2.6</v>
      </c>
      <c r="C541" s="56">
        <v>2.6</v>
      </c>
      <c r="D541" s="56">
        <v>2.6</v>
      </c>
      <c r="E541" s="56">
        <v>2.6</v>
      </c>
      <c r="F541" s="56">
        <v>2.6</v>
      </c>
    </row>
    <row r="542" spans="1:6" x14ac:dyDescent="0.3">
      <c r="A542" s="56">
        <v>2409</v>
      </c>
      <c r="B542" s="56">
        <v>2.8</v>
      </c>
      <c r="C542" s="56">
        <v>2.8</v>
      </c>
      <c r="D542" s="56">
        <v>2.8</v>
      </c>
      <c r="E542" s="56">
        <v>2.8</v>
      </c>
      <c r="F542" s="56">
        <v>2.8</v>
      </c>
    </row>
    <row r="543" spans="1:6" x14ac:dyDescent="0.3">
      <c r="A543" s="56">
        <v>2410</v>
      </c>
      <c r="B543" s="56">
        <v>3</v>
      </c>
      <c r="C543" s="56">
        <v>3</v>
      </c>
      <c r="D543" s="56">
        <v>3</v>
      </c>
      <c r="E543" s="56">
        <v>3</v>
      </c>
      <c r="F543" s="56">
        <v>3</v>
      </c>
    </row>
    <row r="544" spans="1:6" x14ac:dyDescent="0.3">
      <c r="A544" s="56">
        <v>2500</v>
      </c>
      <c r="B544" s="56">
        <v>1</v>
      </c>
      <c r="C544" s="56">
        <v>1</v>
      </c>
      <c r="D544" s="56">
        <v>1</v>
      </c>
      <c r="E544" s="56">
        <v>1</v>
      </c>
      <c r="F544" s="56">
        <v>1</v>
      </c>
    </row>
    <row r="545" spans="1:6" x14ac:dyDescent="0.3">
      <c r="A545" s="56">
        <v>2501</v>
      </c>
      <c r="B545" s="56">
        <v>1.1499999999999999</v>
      </c>
      <c r="C545" s="56">
        <v>1.1499999999999999</v>
      </c>
      <c r="D545" s="56">
        <v>1.1499999999999999</v>
      </c>
      <c r="E545" s="56">
        <v>1.1499999999999999</v>
      </c>
      <c r="F545" s="56">
        <v>1.1499999999999999</v>
      </c>
    </row>
    <row r="546" spans="1:6" x14ac:dyDescent="0.3">
      <c r="A546" s="56">
        <v>2502</v>
      </c>
      <c r="B546" s="56">
        <v>1.3</v>
      </c>
      <c r="C546" s="56">
        <v>1.3</v>
      </c>
      <c r="D546" s="56">
        <v>1.3</v>
      </c>
      <c r="E546" s="56">
        <v>1.3</v>
      </c>
      <c r="F546" s="56">
        <v>1.3</v>
      </c>
    </row>
    <row r="547" spans="1:6" x14ac:dyDescent="0.3">
      <c r="A547" s="56">
        <v>2503</v>
      </c>
      <c r="B547" s="56">
        <v>1.45</v>
      </c>
      <c r="C547" s="56">
        <v>1.45</v>
      </c>
      <c r="D547" s="56">
        <v>1.45</v>
      </c>
      <c r="E547" s="56">
        <v>1.45</v>
      </c>
      <c r="F547" s="56">
        <v>1.45</v>
      </c>
    </row>
    <row r="548" spans="1:6" x14ac:dyDescent="0.3">
      <c r="A548" s="56">
        <v>2504</v>
      </c>
      <c r="B548" s="56">
        <v>1.5</v>
      </c>
      <c r="C548" s="56">
        <v>1.5</v>
      </c>
      <c r="D548" s="56">
        <v>1.5</v>
      </c>
      <c r="E548" s="56">
        <v>1.5</v>
      </c>
      <c r="F548" s="56">
        <v>1.5</v>
      </c>
    </row>
    <row r="549" spans="1:6" x14ac:dyDescent="0.3">
      <c r="A549" s="56">
        <v>2505</v>
      </c>
      <c r="B549" s="56">
        <v>1.55</v>
      </c>
      <c r="C549" s="56">
        <v>1.55</v>
      </c>
      <c r="D549" s="56">
        <v>1.55</v>
      </c>
      <c r="E549" s="56">
        <v>1.55</v>
      </c>
      <c r="F549" s="56">
        <v>1.55</v>
      </c>
    </row>
    <row r="550" spans="1:6" x14ac:dyDescent="0.3">
      <c r="A550" s="56">
        <v>2506</v>
      </c>
      <c r="B550" s="56">
        <v>1.6</v>
      </c>
      <c r="C550" s="56">
        <v>1.6</v>
      </c>
      <c r="D550" s="56">
        <v>1.6</v>
      </c>
      <c r="E550" s="56">
        <v>1.6</v>
      </c>
      <c r="F550" s="56">
        <v>1.6</v>
      </c>
    </row>
    <row r="551" spans="1:6" x14ac:dyDescent="0.3">
      <c r="A551" s="56">
        <v>2507</v>
      </c>
      <c r="B551" s="56">
        <v>1.63</v>
      </c>
      <c r="C551" s="56">
        <v>1.63</v>
      </c>
      <c r="D551" s="56">
        <v>1.63</v>
      </c>
      <c r="E551" s="56">
        <v>1.63</v>
      </c>
      <c r="F551" s="56">
        <v>1.63</v>
      </c>
    </row>
    <row r="552" spans="1:6" x14ac:dyDescent="0.3">
      <c r="A552" s="56">
        <v>2508</v>
      </c>
      <c r="B552" s="56">
        <v>1.66</v>
      </c>
      <c r="C552" s="56">
        <v>1.66</v>
      </c>
      <c r="D552" s="56">
        <v>1.66</v>
      </c>
      <c r="E552" s="56">
        <v>1.66</v>
      </c>
      <c r="F552" s="56">
        <v>1.66</v>
      </c>
    </row>
    <row r="553" spans="1:6" x14ac:dyDescent="0.3">
      <c r="A553" s="56">
        <v>2509</v>
      </c>
      <c r="B553" s="56">
        <v>1.69</v>
      </c>
      <c r="C553" s="56">
        <v>1.69</v>
      </c>
      <c r="D553" s="56">
        <v>1.69</v>
      </c>
      <c r="E553" s="56">
        <v>1.69</v>
      </c>
      <c r="F553" s="56">
        <v>1.69</v>
      </c>
    </row>
    <row r="554" spans="1:6" x14ac:dyDescent="0.3">
      <c r="A554" s="56">
        <v>2510</v>
      </c>
      <c r="B554" s="56">
        <v>1.73</v>
      </c>
      <c r="C554" s="56">
        <v>1.73</v>
      </c>
      <c r="D554" s="56">
        <v>1.73</v>
      </c>
      <c r="E554" s="56">
        <v>1.73</v>
      </c>
      <c r="F554" s="56">
        <v>1.73</v>
      </c>
    </row>
    <row r="555" spans="1:6" x14ac:dyDescent="0.3">
      <c r="A555" s="56">
        <v>2600</v>
      </c>
      <c r="B555" s="56">
        <v>1</v>
      </c>
      <c r="C555" s="56">
        <v>1</v>
      </c>
      <c r="D555" s="56">
        <v>1</v>
      </c>
      <c r="E555" s="56">
        <v>1</v>
      </c>
      <c r="F555" s="56">
        <v>1</v>
      </c>
    </row>
    <row r="556" spans="1:6" x14ac:dyDescent="0.3">
      <c r="A556" s="56">
        <v>2601</v>
      </c>
      <c r="B556" s="56">
        <v>1.1499999999999999</v>
      </c>
      <c r="C556" s="56">
        <v>1.1499999999999999</v>
      </c>
      <c r="D556" s="56">
        <v>1.1499999999999999</v>
      </c>
      <c r="E556" s="56">
        <v>1.1499999999999999</v>
      </c>
      <c r="F556" s="56">
        <v>1.1499999999999999</v>
      </c>
    </row>
    <row r="557" spans="1:6" x14ac:dyDescent="0.3">
      <c r="A557" s="56">
        <v>2602</v>
      </c>
      <c r="B557" s="56">
        <v>1.3</v>
      </c>
      <c r="C557" s="56">
        <v>1.3</v>
      </c>
      <c r="D557" s="56">
        <v>1.3</v>
      </c>
      <c r="E557" s="56">
        <v>1.3</v>
      </c>
      <c r="F557" s="56">
        <v>1.3</v>
      </c>
    </row>
    <row r="558" spans="1:6" x14ac:dyDescent="0.3">
      <c r="A558" s="56">
        <v>2603</v>
      </c>
      <c r="B558" s="56">
        <v>1.45</v>
      </c>
      <c r="C558" s="56">
        <v>1.45</v>
      </c>
      <c r="D558" s="56">
        <v>1.45</v>
      </c>
      <c r="E558" s="56">
        <v>1.45</v>
      </c>
      <c r="F558" s="56">
        <v>1.45</v>
      </c>
    </row>
    <row r="559" spans="1:6" x14ac:dyDescent="0.3">
      <c r="A559" s="56">
        <v>2604</v>
      </c>
      <c r="B559" s="56">
        <v>1.6</v>
      </c>
      <c r="C559" s="56">
        <v>1.6</v>
      </c>
      <c r="D559" s="56">
        <v>1.6</v>
      </c>
      <c r="E559" s="56">
        <v>1.6</v>
      </c>
      <c r="F559" s="56">
        <v>1.6</v>
      </c>
    </row>
    <row r="560" spans="1:6" x14ac:dyDescent="0.3">
      <c r="A560" s="56">
        <v>2605</v>
      </c>
      <c r="B560" s="56">
        <v>1.75</v>
      </c>
      <c r="C560" s="56">
        <v>1.75</v>
      </c>
      <c r="D560" s="56">
        <v>1.75</v>
      </c>
      <c r="E560" s="56">
        <v>1.75</v>
      </c>
      <c r="F560" s="56">
        <v>1.75</v>
      </c>
    </row>
    <row r="561" spans="1:6" x14ac:dyDescent="0.3">
      <c r="A561" s="56">
        <v>2606</v>
      </c>
      <c r="B561" s="56">
        <v>1.9</v>
      </c>
      <c r="C561" s="56">
        <v>1.9</v>
      </c>
      <c r="D561" s="56">
        <v>1.9</v>
      </c>
      <c r="E561" s="56">
        <v>1.9</v>
      </c>
      <c r="F561" s="56">
        <v>1.9</v>
      </c>
    </row>
    <row r="562" spans="1:6" x14ac:dyDescent="0.3">
      <c r="A562" s="56">
        <v>2607</v>
      </c>
      <c r="B562" s="56">
        <v>2.0499999999999998</v>
      </c>
      <c r="C562" s="56">
        <v>2.0499999999999998</v>
      </c>
      <c r="D562" s="56">
        <v>2.0499999999999998</v>
      </c>
      <c r="E562" s="56">
        <v>2.0499999999999998</v>
      </c>
      <c r="F562" s="56">
        <v>2.0499999999999998</v>
      </c>
    </row>
    <row r="563" spans="1:6" x14ac:dyDescent="0.3">
      <c r="A563" s="56">
        <v>2608</v>
      </c>
      <c r="B563" s="56">
        <v>2.2000000000000002</v>
      </c>
      <c r="C563" s="56">
        <v>2.2000000000000002</v>
      </c>
      <c r="D563" s="56">
        <v>2.2000000000000002</v>
      </c>
      <c r="E563" s="56">
        <v>2.2000000000000002</v>
      </c>
      <c r="F563" s="56">
        <v>2.2000000000000002</v>
      </c>
    </row>
    <row r="564" spans="1:6" x14ac:dyDescent="0.3">
      <c r="A564" s="56">
        <v>2609</v>
      </c>
      <c r="B564" s="56">
        <v>2.35</v>
      </c>
      <c r="C564" s="56">
        <v>2.35</v>
      </c>
      <c r="D564" s="56">
        <v>2.35</v>
      </c>
      <c r="E564" s="56">
        <v>2.35</v>
      </c>
      <c r="F564" s="56">
        <v>2.35</v>
      </c>
    </row>
    <row r="565" spans="1:6" x14ac:dyDescent="0.3">
      <c r="A565" s="56">
        <v>2610</v>
      </c>
      <c r="B565" s="56">
        <v>2.5</v>
      </c>
      <c r="C565" s="56">
        <v>2.5</v>
      </c>
      <c r="D565" s="56">
        <v>2.5</v>
      </c>
      <c r="E565" s="56">
        <v>2.5</v>
      </c>
      <c r="F565" s="56">
        <v>2.5</v>
      </c>
    </row>
    <row r="566" spans="1:6" x14ac:dyDescent="0.3">
      <c r="A566" s="56">
        <v>2700</v>
      </c>
      <c r="B566" s="56">
        <v>1</v>
      </c>
      <c r="C566" s="56">
        <v>1</v>
      </c>
      <c r="D566" s="56">
        <v>1</v>
      </c>
      <c r="E566" s="56">
        <v>1</v>
      </c>
      <c r="F566" s="56">
        <v>1</v>
      </c>
    </row>
    <row r="567" spans="1:6" x14ac:dyDescent="0.3">
      <c r="A567" s="56">
        <v>2701</v>
      </c>
      <c r="B567" s="56">
        <v>1.05</v>
      </c>
      <c r="C567" s="56">
        <v>1.05</v>
      </c>
      <c r="D567" s="56">
        <v>1.05</v>
      </c>
      <c r="E567" s="56">
        <v>1.05</v>
      </c>
      <c r="F567" s="56">
        <v>1.05</v>
      </c>
    </row>
    <row r="568" spans="1:6" x14ac:dyDescent="0.3">
      <c r="A568" s="56">
        <v>2702</v>
      </c>
      <c r="B568" s="56">
        <v>1.1000000000000001</v>
      </c>
      <c r="C568" s="56">
        <v>1.1000000000000001</v>
      </c>
      <c r="D568" s="56">
        <v>1.1000000000000001</v>
      </c>
      <c r="E568" s="56">
        <v>1.1000000000000001</v>
      </c>
      <c r="F568" s="56">
        <v>1.1000000000000001</v>
      </c>
    </row>
    <row r="569" spans="1:6" x14ac:dyDescent="0.3">
      <c r="A569" s="56">
        <v>2703</v>
      </c>
      <c r="B569" s="56">
        <v>1.1499999999999999</v>
      </c>
      <c r="C569" s="56">
        <v>1.1499999999999999</v>
      </c>
      <c r="D569" s="56">
        <v>1.1499999999999999</v>
      </c>
      <c r="E569" s="56">
        <v>1.1499999999999999</v>
      </c>
      <c r="F569" s="56">
        <v>1.1499999999999999</v>
      </c>
    </row>
    <row r="570" spans="1:6" x14ac:dyDescent="0.3">
      <c r="A570" s="56">
        <v>2704</v>
      </c>
      <c r="B570" s="56">
        <v>1.2</v>
      </c>
      <c r="C570" s="56">
        <v>1.2</v>
      </c>
      <c r="D570" s="56">
        <v>1.2</v>
      </c>
      <c r="E570" s="56">
        <v>1.2</v>
      </c>
      <c r="F570" s="56">
        <v>1.2</v>
      </c>
    </row>
    <row r="571" spans="1:6" x14ac:dyDescent="0.3">
      <c r="A571" s="56">
        <v>2705</v>
      </c>
      <c r="B571" s="56">
        <v>1.24</v>
      </c>
      <c r="C571" s="56">
        <v>1.24</v>
      </c>
      <c r="D571" s="56">
        <v>1.24</v>
      </c>
      <c r="E571" s="56">
        <v>1.24</v>
      </c>
      <c r="F571" s="56">
        <v>1.24</v>
      </c>
    </row>
    <row r="572" spans="1:6" x14ac:dyDescent="0.3">
      <c r="A572" s="56">
        <v>2706</v>
      </c>
      <c r="B572" s="56">
        <v>1.28</v>
      </c>
      <c r="C572" s="56">
        <v>1.28</v>
      </c>
      <c r="D572" s="56">
        <v>1.28</v>
      </c>
      <c r="E572" s="56">
        <v>1.28</v>
      </c>
      <c r="F572" s="56">
        <v>1.28</v>
      </c>
    </row>
    <row r="573" spans="1:6" x14ac:dyDescent="0.3">
      <c r="A573" s="56">
        <v>2707</v>
      </c>
      <c r="B573" s="56">
        <v>1.31</v>
      </c>
      <c r="C573" s="56">
        <v>1.31</v>
      </c>
      <c r="D573" s="56">
        <v>1.31</v>
      </c>
      <c r="E573" s="56">
        <v>1.31</v>
      </c>
      <c r="F573" s="56">
        <v>1.31</v>
      </c>
    </row>
    <row r="574" spans="1:6" x14ac:dyDescent="0.3">
      <c r="A574" s="56">
        <v>2708</v>
      </c>
      <c r="B574" s="56">
        <v>1.34</v>
      </c>
      <c r="C574" s="56">
        <v>1.34</v>
      </c>
      <c r="D574" s="56">
        <v>1.34</v>
      </c>
      <c r="E574" s="56">
        <v>1.34</v>
      </c>
      <c r="F574" s="56">
        <v>1.34</v>
      </c>
    </row>
    <row r="575" spans="1:6" x14ac:dyDescent="0.3">
      <c r="A575" s="56">
        <v>2709</v>
      </c>
      <c r="B575" s="56">
        <v>1.37</v>
      </c>
      <c r="C575" s="56">
        <v>1.37</v>
      </c>
      <c r="D575" s="56">
        <v>1.37</v>
      </c>
      <c r="E575" s="56">
        <v>1.37</v>
      </c>
      <c r="F575" s="56">
        <v>1.37</v>
      </c>
    </row>
    <row r="576" spans="1:6" x14ac:dyDescent="0.3">
      <c r="A576" s="56">
        <v>2710</v>
      </c>
      <c r="B576" s="56">
        <v>1.4</v>
      </c>
      <c r="C576" s="56">
        <v>1.4</v>
      </c>
      <c r="D576" s="56">
        <v>1.4</v>
      </c>
      <c r="E576" s="56">
        <v>1.4</v>
      </c>
      <c r="F576" s="56">
        <v>1.4</v>
      </c>
    </row>
    <row r="577" spans="1:6" x14ac:dyDescent="0.3">
      <c r="A577" s="56">
        <v>2800</v>
      </c>
      <c r="B577" s="56">
        <v>1</v>
      </c>
      <c r="C577" s="56">
        <v>1</v>
      </c>
      <c r="D577" s="56">
        <v>1</v>
      </c>
      <c r="E577" s="56">
        <v>1</v>
      </c>
      <c r="F577" s="56">
        <v>1</v>
      </c>
    </row>
    <row r="578" spans="1:6" x14ac:dyDescent="0.3">
      <c r="A578" s="56">
        <v>2801</v>
      </c>
      <c r="B578" s="56">
        <v>1.05</v>
      </c>
      <c r="C578" s="56">
        <v>1.05</v>
      </c>
      <c r="D578" s="56">
        <v>1.05</v>
      </c>
      <c r="E578" s="56">
        <v>1.05</v>
      </c>
      <c r="F578" s="56">
        <v>1.05</v>
      </c>
    </row>
    <row r="579" spans="1:6" x14ac:dyDescent="0.3">
      <c r="A579" s="56">
        <v>2802</v>
      </c>
      <c r="B579" s="56">
        <v>1.1000000000000001</v>
      </c>
      <c r="C579" s="56">
        <v>1.1000000000000001</v>
      </c>
      <c r="D579" s="56">
        <v>1.1000000000000001</v>
      </c>
      <c r="E579" s="56">
        <v>1.1000000000000001</v>
      </c>
      <c r="F579" s="56">
        <v>1.1000000000000001</v>
      </c>
    </row>
    <row r="580" spans="1:6" x14ac:dyDescent="0.3">
      <c r="A580" s="56">
        <v>2803</v>
      </c>
      <c r="B580" s="56">
        <v>1.1499999999999999</v>
      </c>
      <c r="C580" s="56">
        <v>1.1499999999999999</v>
      </c>
      <c r="D580" s="56">
        <v>1.1499999999999999</v>
      </c>
      <c r="E580" s="56">
        <v>1.1499999999999999</v>
      </c>
      <c r="F580" s="56">
        <v>1.1499999999999999</v>
      </c>
    </row>
    <row r="581" spans="1:6" x14ac:dyDescent="0.3">
      <c r="A581" s="56">
        <v>2804</v>
      </c>
      <c r="B581" s="56">
        <v>1.2</v>
      </c>
      <c r="C581" s="56">
        <v>1.2</v>
      </c>
      <c r="D581" s="56">
        <v>1.2</v>
      </c>
      <c r="E581" s="56">
        <v>1.2</v>
      </c>
      <c r="F581" s="56">
        <v>1.2</v>
      </c>
    </row>
    <row r="582" spans="1:6" x14ac:dyDescent="0.3">
      <c r="A582" s="56">
        <v>2805</v>
      </c>
      <c r="B582" s="56">
        <v>1.27</v>
      </c>
      <c r="C582" s="56">
        <v>1.27</v>
      </c>
      <c r="D582" s="56">
        <v>1.27</v>
      </c>
      <c r="E582" s="56">
        <v>1.27</v>
      </c>
      <c r="F582" s="56">
        <v>1.27</v>
      </c>
    </row>
    <row r="583" spans="1:6" x14ac:dyDescent="0.3">
      <c r="A583" s="56">
        <v>2806</v>
      </c>
      <c r="B583" s="56">
        <v>1.34</v>
      </c>
      <c r="C583" s="56">
        <v>1.34</v>
      </c>
      <c r="D583" s="56">
        <v>1.34</v>
      </c>
      <c r="E583" s="56">
        <v>1.34</v>
      </c>
      <c r="F583" s="56">
        <v>1.34</v>
      </c>
    </row>
    <row r="584" spans="1:6" x14ac:dyDescent="0.3">
      <c r="A584" s="56">
        <v>2807</v>
      </c>
      <c r="B584" s="56">
        <v>1.41</v>
      </c>
      <c r="C584" s="56">
        <v>1.41</v>
      </c>
      <c r="D584" s="56">
        <v>1.41</v>
      </c>
      <c r="E584" s="56">
        <v>1.41</v>
      </c>
      <c r="F584" s="56">
        <v>1.41</v>
      </c>
    </row>
    <row r="585" spans="1:6" x14ac:dyDescent="0.3">
      <c r="A585" s="56">
        <v>2808</v>
      </c>
      <c r="B585" s="56">
        <v>1.48</v>
      </c>
      <c r="C585" s="56">
        <v>1.48</v>
      </c>
      <c r="D585" s="56">
        <v>1.48</v>
      </c>
      <c r="E585" s="56">
        <v>1.48</v>
      </c>
      <c r="F585" s="56">
        <v>1.48</v>
      </c>
    </row>
    <row r="586" spans="1:6" x14ac:dyDescent="0.3">
      <c r="A586" s="56">
        <v>2809</v>
      </c>
      <c r="B586" s="56">
        <v>1.52</v>
      </c>
      <c r="C586" s="56">
        <v>1.52</v>
      </c>
      <c r="D586" s="56">
        <v>1.52</v>
      </c>
      <c r="E586" s="56">
        <v>1.52</v>
      </c>
      <c r="F586" s="56">
        <v>1.52</v>
      </c>
    </row>
    <row r="587" spans="1:6" x14ac:dyDescent="0.3">
      <c r="A587" s="56">
        <v>2810</v>
      </c>
      <c r="B587" s="56">
        <v>1.6</v>
      </c>
      <c r="C587" s="56">
        <v>1.6</v>
      </c>
      <c r="D587" s="56">
        <v>1.6</v>
      </c>
      <c r="E587" s="56">
        <v>1.6</v>
      </c>
      <c r="F587" s="56">
        <v>1.6</v>
      </c>
    </row>
    <row r="588" spans="1:6" x14ac:dyDescent="0.3">
      <c r="A588" s="56">
        <v>3000</v>
      </c>
      <c r="B588" s="56">
        <v>1</v>
      </c>
      <c r="C588" s="56">
        <v>1</v>
      </c>
      <c r="D588" s="56">
        <v>1</v>
      </c>
      <c r="E588" s="56">
        <v>1</v>
      </c>
      <c r="F588" s="56">
        <v>1</v>
      </c>
    </row>
    <row r="589" spans="1:6" x14ac:dyDescent="0.3">
      <c r="A589" s="56">
        <v>3100</v>
      </c>
      <c r="B589" s="56">
        <v>0</v>
      </c>
      <c r="C589" s="56">
        <v>0</v>
      </c>
      <c r="D589" s="56">
        <v>0</v>
      </c>
      <c r="E589" s="56">
        <v>0</v>
      </c>
      <c r="F589" s="56">
        <v>0</v>
      </c>
    </row>
    <row r="590" spans="1:6" x14ac:dyDescent="0.3">
      <c r="A590" s="56">
        <v>3101</v>
      </c>
      <c r="B590" s="56">
        <v>0</v>
      </c>
      <c r="C590" s="56">
        <v>0</v>
      </c>
      <c r="D590" s="56">
        <v>0</v>
      </c>
      <c r="E590" s="56">
        <v>0</v>
      </c>
      <c r="F590" s="56">
        <v>0</v>
      </c>
    </row>
    <row r="591" spans="1:6" x14ac:dyDescent="0.3">
      <c r="A591" s="56">
        <v>3102</v>
      </c>
      <c r="B591" s="56">
        <v>0</v>
      </c>
      <c r="C591" s="56">
        <v>0</v>
      </c>
      <c r="D591" s="56">
        <v>0</v>
      </c>
      <c r="E591" s="56">
        <v>0</v>
      </c>
      <c r="F591" s="56">
        <v>0</v>
      </c>
    </row>
    <row r="592" spans="1:6" x14ac:dyDescent="0.3">
      <c r="A592" s="56">
        <v>3103</v>
      </c>
      <c r="B592" s="56">
        <v>0</v>
      </c>
      <c r="C592" s="56">
        <v>0</v>
      </c>
      <c r="D592" s="56">
        <v>0</v>
      </c>
      <c r="E592" s="56">
        <v>0</v>
      </c>
      <c r="F592" s="56">
        <v>0</v>
      </c>
    </row>
    <row r="593" spans="1:6" x14ac:dyDescent="0.3">
      <c r="A593" s="56">
        <v>3104</v>
      </c>
      <c r="B593" s="56">
        <v>0</v>
      </c>
      <c r="C593" s="56">
        <v>0</v>
      </c>
      <c r="D593" s="56">
        <v>0</v>
      </c>
      <c r="E593" s="56">
        <v>0</v>
      </c>
      <c r="F593" s="56">
        <v>0</v>
      </c>
    </row>
    <row r="594" spans="1:6" x14ac:dyDescent="0.3">
      <c r="A594" s="56">
        <v>3105</v>
      </c>
      <c r="B594" s="56">
        <v>0</v>
      </c>
      <c r="C594" s="56">
        <v>0</v>
      </c>
      <c r="D594" s="56">
        <v>0</v>
      </c>
      <c r="E594" s="56">
        <v>0</v>
      </c>
      <c r="F594" s="56">
        <v>0</v>
      </c>
    </row>
    <row r="595" spans="1:6" x14ac:dyDescent="0.3">
      <c r="A595" s="56">
        <v>3106</v>
      </c>
      <c r="B595" s="56">
        <v>0</v>
      </c>
      <c r="C595" s="56">
        <v>0</v>
      </c>
      <c r="D595" s="56">
        <v>0</v>
      </c>
      <c r="E595" s="56">
        <v>0</v>
      </c>
      <c r="F595" s="56">
        <v>0</v>
      </c>
    </row>
    <row r="596" spans="1:6" x14ac:dyDescent="0.3">
      <c r="A596" s="56">
        <v>3107</v>
      </c>
      <c r="B596" s="56">
        <v>0</v>
      </c>
      <c r="C596" s="56">
        <v>0</v>
      </c>
      <c r="D596" s="56">
        <v>0</v>
      </c>
      <c r="E596" s="56">
        <v>0</v>
      </c>
      <c r="F596" s="56">
        <v>0</v>
      </c>
    </row>
    <row r="597" spans="1:6" x14ac:dyDescent="0.3">
      <c r="A597" s="56">
        <v>3108</v>
      </c>
      <c r="B597" s="56">
        <v>0</v>
      </c>
      <c r="C597" s="56">
        <v>0</v>
      </c>
      <c r="D597" s="56">
        <v>0</v>
      </c>
      <c r="E597" s="56">
        <v>0</v>
      </c>
      <c r="F597" s="56">
        <v>0</v>
      </c>
    </row>
    <row r="598" spans="1:6" x14ac:dyDescent="0.3">
      <c r="A598" s="56">
        <v>3109</v>
      </c>
      <c r="B598" s="56">
        <v>0</v>
      </c>
      <c r="C598" s="56">
        <v>0</v>
      </c>
      <c r="D598" s="56">
        <v>0</v>
      </c>
      <c r="E598" s="56">
        <v>0</v>
      </c>
      <c r="F598" s="56">
        <v>0</v>
      </c>
    </row>
    <row r="599" spans="1:6" x14ac:dyDescent="0.3">
      <c r="A599" s="56">
        <v>3110</v>
      </c>
      <c r="B599" s="56">
        <v>0</v>
      </c>
      <c r="C599" s="56">
        <v>0</v>
      </c>
      <c r="D599" s="56">
        <v>0</v>
      </c>
      <c r="E599" s="56">
        <v>0</v>
      </c>
      <c r="F599" s="56">
        <v>0</v>
      </c>
    </row>
    <row r="600" spans="1:6" x14ac:dyDescent="0.3">
      <c r="A600" s="56">
        <v>3111</v>
      </c>
      <c r="B600" s="56">
        <v>0</v>
      </c>
      <c r="C600" s="56">
        <v>0</v>
      </c>
      <c r="D600" s="56">
        <v>0</v>
      </c>
      <c r="E600" s="56">
        <v>0</v>
      </c>
      <c r="F600" s="56">
        <v>0</v>
      </c>
    </row>
    <row r="601" spans="1:6" x14ac:dyDescent="0.3">
      <c r="A601" s="56">
        <v>3112</v>
      </c>
      <c r="B601" s="56">
        <v>0</v>
      </c>
      <c r="C601" s="56">
        <v>0</v>
      </c>
      <c r="D601" s="56">
        <v>0</v>
      </c>
      <c r="E601" s="56">
        <v>0</v>
      </c>
      <c r="F601" s="56">
        <v>0</v>
      </c>
    </row>
    <row r="602" spans="1:6" x14ac:dyDescent="0.3">
      <c r="A602" s="56">
        <v>3113</v>
      </c>
      <c r="B602" s="56">
        <v>0</v>
      </c>
      <c r="C602" s="56">
        <v>0</v>
      </c>
      <c r="D602" s="56">
        <v>0</v>
      </c>
      <c r="E602" s="56">
        <v>0</v>
      </c>
      <c r="F602" s="56">
        <v>0</v>
      </c>
    </row>
    <row r="603" spans="1:6" x14ac:dyDescent="0.3">
      <c r="A603" s="56">
        <v>3114</v>
      </c>
      <c r="B603" s="56">
        <v>0</v>
      </c>
      <c r="C603" s="56">
        <v>0</v>
      </c>
      <c r="D603" s="56">
        <v>0</v>
      </c>
      <c r="E603" s="56">
        <v>0</v>
      </c>
      <c r="F603" s="56">
        <v>0</v>
      </c>
    </row>
    <row r="604" spans="1:6" x14ac:dyDescent="0.3">
      <c r="A604" s="56">
        <v>3115</v>
      </c>
      <c r="B604" s="56">
        <v>0</v>
      </c>
      <c r="C604" s="56">
        <v>0</v>
      </c>
      <c r="D604" s="56">
        <v>0</v>
      </c>
      <c r="E604" s="56">
        <v>0</v>
      </c>
      <c r="F604" s="56">
        <v>0</v>
      </c>
    </row>
    <row r="605" spans="1:6" x14ac:dyDescent="0.3">
      <c r="A605" s="56">
        <v>3116</v>
      </c>
      <c r="B605" s="56">
        <v>0</v>
      </c>
      <c r="C605" s="56">
        <v>0</v>
      </c>
      <c r="D605" s="56">
        <v>0</v>
      </c>
      <c r="E605" s="56">
        <v>0</v>
      </c>
      <c r="F605" s="56">
        <v>0</v>
      </c>
    </row>
    <row r="606" spans="1:6" x14ac:dyDescent="0.3">
      <c r="A606" s="56">
        <v>3117</v>
      </c>
      <c r="B606" s="56">
        <v>0</v>
      </c>
      <c r="C606" s="56">
        <v>0</v>
      </c>
      <c r="D606" s="56">
        <v>0</v>
      </c>
      <c r="E606" s="56">
        <v>0</v>
      </c>
      <c r="F606" s="56">
        <v>0</v>
      </c>
    </row>
    <row r="607" spans="1:6" x14ac:dyDescent="0.3">
      <c r="A607" s="56">
        <v>3118</v>
      </c>
      <c r="B607" s="56">
        <v>0</v>
      </c>
      <c r="C607" s="56">
        <v>0</v>
      </c>
      <c r="D607" s="56">
        <v>0</v>
      </c>
      <c r="E607" s="56">
        <v>0</v>
      </c>
      <c r="F607" s="56">
        <v>0</v>
      </c>
    </row>
    <row r="608" spans="1:6" x14ac:dyDescent="0.3">
      <c r="A608" s="56">
        <v>3119</v>
      </c>
      <c r="B608" s="56">
        <v>0</v>
      </c>
      <c r="C608" s="56">
        <v>0</v>
      </c>
      <c r="D608" s="56">
        <v>0</v>
      </c>
      <c r="E608" s="56">
        <v>0</v>
      </c>
      <c r="F608" s="56">
        <v>0</v>
      </c>
    </row>
    <row r="609" spans="1:6" x14ac:dyDescent="0.3">
      <c r="A609" s="56">
        <v>3120</v>
      </c>
      <c r="B609" s="56">
        <v>0</v>
      </c>
      <c r="C609" s="56">
        <v>0</v>
      </c>
      <c r="D609" s="56">
        <v>0</v>
      </c>
      <c r="E609" s="56">
        <v>0</v>
      </c>
      <c r="F609" s="56">
        <v>0</v>
      </c>
    </row>
    <row r="610" spans="1:6" x14ac:dyDescent="0.3">
      <c r="A610" s="56">
        <v>3121</v>
      </c>
      <c r="B610" s="56">
        <v>0</v>
      </c>
      <c r="C610" s="56">
        <v>0</v>
      </c>
      <c r="D610" s="56">
        <v>0</v>
      </c>
      <c r="E610" s="56">
        <v>0</v>
      </c>
      <c r="F610" s="56">
        <v>0</v>
      </c>
    </row>
    <row r="611" spans="1:6" x14ac:dyDescent="0.3">
      <c r="A611" s="56">
        <v>3122</v>
      </c>
      <c r="B611" s="56">
        <v>0</v>
      </c>
      <c r="C611" s="56">
        <v>0</v>
      </c>
      <c r="D611" s="56">
        <v>0</v>
      </c>
      <c r="E611" s="56">
        <v>0</v>
      </c>
      <c r="F611" s="56">
        <v>0</v>
      </c>
    </row>
    <row r="612" spans="1:6" x14ac:dyDescent="0.3">
      <c r="A612" s="56">
        <v>3123</v>
      </c>
      <c r="B612" s="56">
        <v>0</v>
      </c>
      <c r="C612" s="56">
        <v>0</v>
      </c>
      <c r="D612" s="56">
        <v>0</v>
      </c>
      <c r="E612" s="56">
        <v>0</v>
      </c>
      <c r="F612" s="56">
        <v>0</v>
      </c>
    </row>
    <row r="613" spans="1:6" x14ac:dyDescent="0.3">
      <c r="A613" s="56">
        <v>3124</v>
      </c>
      <c r="B613" s="56">
        <v>0</v>
      </c>
      <c r="C613" s="56">
        <v>0</v>
      </c>
      <c r="D613" s="56">
        <v>0</v>
      </c>
      <c r="E613" s="56">
        <v>0</v>
      </c>
      <c r="F613" s="56">
        <v>0</v>
      </c>
    </row>
    <row r="614" spans="1:6" x14ac:dyDescent="0.3">
      <c r="A614" s="56">
        <v>3125</v>
      </c>
      <c r="B614" s="56">
        <v>0</v>
      </c>
      <c r="C614" s="56">
        <v>0</v>
      </c>
      <c r="D614" s="56">
        <v>0</v>
      </c>
      <c r="E614" s="56">
        <v>0</v>
      </c>
      <c r="F614" s="56">
        <v>0</v>
      </c>
    </row>
    <row r="615" spans="1:6" x14ac:dyDescent="0.3">
      <c r="A615" s="56">
        <v>3200</v>
      </c>
      <c r="B615" s="56">
        <v>0</v>
      </c>
      <c r="C615" s="56">
        <v>0</v>
      </c>
      <c r="D615" s="56">
        <v>0</v>
      </c>
      <c r="E615" s="56">
        <v>0</v>
      </c>
      <c r="F615" s="56">
        <v>0</v>
      </c>
    </row>
    <row r="616" spans="1:6" x14ac:dyDescent="0.3">
      <c r="A616" s="56">
        <v>3201</v>
      </c>
      <c r="B616" s="56">
        <v>0</v>
      </c>
      <c r="C616" s="56">
        <v>0</v>
      </c>
      <c r="D616" s="56">
        <v>0</v>
      </c>
      <c r="E616" s="56">
        <v>0</v>
      </c>
      <c r="F616" s="56">
        <v>0</v>
      </c>
    </row>
    <row r="617" spans="1:6" x14ac:dyDescent="0.3">
      <c r="A617" s="56">
        <v>3202</v>
      </c>
      <c r="B617" s="56">
        <v>0</v>
      </c>
      <c r="C617" s="56">
        <v>0</v>
      </c>
      <c r="D617" s="56">
        <v>0</v>
      </c>
      <c r="E617" s="56">
        <v>0</v>
      </c>
      <c r="F617" s="56">
        <v>0</v>
      </c>
    </row>
    <row r="618" spans="1:6" x14ac:dyDescent="0.3">
      <c r="A618" s="56">
        <v>3203</v>
      </c>
      <c r="B618" s="56">
        <v>0</v>
      </c>
      <c r="C618" s="56">
        <v>0</v>
      </c>
      <c r="D618" s="56">
        <v>0</v>
      </c>
      <c r="E618" s="56">
        <v>0</v>
      </c>
      <c r="F618" s="56">
        <v>0</v>
      </c>
    </row>
    <row r="619" spans="1:6" x14ac:dyDescent="0.3">
      <c r="A619" s="56">
        <v>3204</v>
      </c>
      <c r="B619" s="56">
        <v>0</v>
      </c>
      <c r="C619" s="56">
        <v>0</v>
      </c>
      <c r="D619" s="56">
        <v>0</v>
      </c>
      <c r="E619" s="56">
        <v>0</v>
      </c>
      <c r="F619" s="56">
        <v>0</v>
      </c>
    </row>
    <row r="620" spans="1:6" x14ac:dyDescent="0.3">
      <c r="A620" s="56">
        <v>3205</v>
      </c>
      <c r="B620" s="56">
        <v>0</v>
      </c>
      <c r="C620" s="56">
        <v>0</v>
      </c>
      <c r="D620" s="56">
        <v>0</v>
      </c>
      <c r="E620" s="56">
        <v>0</v>
      </c>
      <c r="F620" s="56">
        <v>0</v>
      </c>
    </row>
    <row r="621" spans="1:6" x14ac:dyDescent="0.3">
      <c r="A621" s="56">
        <v>3206</v>
      </c>
      <c r="B621" s="56">
        <v>0</v>
      </c>
      <c r="C621" s="56">
        <v>0</v>
      </c>
      <c r="D621" s="56">
        <v>0</v>
      </c>
      <c r="E621" s="56">
        <v>0</v>
      </c>
      <c r="F621" s="56">
        <v>0</v>
      </c>
    </row>
    <row r="622" spans="1:6" x14ac:dyDescent="0.3">
      <c r="A622" s="56">
        <v>3207</v>
      </c>
      <c r="B622" s="56">
        <v>0</v>
      </c>
      <c r="C622" s="56">
        <v>0</v>
      </c>
      <c r="D622" s="56">
        <v>0</v>
      </c>
      <c r="E622" s="56">
        <v>0</v>
      </c>
      <c r="F622" s="56">
        <v>0</v>
      </c>
    </row>
    <row r="623" spans="1:6" x14ac:dyDescent="0.3">
      <c r="A623" s="56">
        <v>3208</v>
      </c>
      <c r="B623" s="56">
        <v>0</v>
      </c>
      <c r="C623" s="56">
        <v>0</v>
      </c>
      <c r="D623" s="56">
        <v>0</v>
      </c>
      <c r="E623" s="56">
        <v>0</v>
      </c>
      <c r="F623" s="56">
        <v>0</v>
      </c>
    </row>
    <row r="624" spans="1:6" x14ac:dyDescent="0.3">
      <c r="A624" s="56">
        <v>3209</v>
      </c>
      <c r="B624" s="56">
        <v>0</v>
      </c>
      <c r="C624" s="56">
        <v>0</v>
      </c>
      <c r="D624" s="56">
        <v>0</v>
      </c>
      <c r="E624" s="56">
        <v>0</v>
      </c>
      <c r="F624" s="56">
        <v>0</v>
      </c>
    </row>
    <row r="625" spans="1:6" x14ac:dyDescent="0.3">
      <c r="A625" s="56">
        <v>3210</v>
      </c>
      <c r="B625" s="56">
        <v>0</v>
      </c>
      <c r="C625" s="56">
        <v>0</v>
      </c>
      <c r="D625" s="56">
        <v>0</v>
      </c>
      <c r="E625" s="56">
        <v>0</v>
      </c>
      <c r="F625" s="56">
        <v>0</v>
      </c>
    </row>
    <row r="626" spans="1:6" x14ac:dyDescent="0.3">
      <c r="A626" s="56">
        <v>3300</v>
      </c>
      <c r="B626" s="56">
        <v>0</v>
      </c>
      <c r="C626" s="56">
        <v>0</v>
      </c>
      <c r="D626" s="56">
        <v>0</v>
      </c>
      <c r="E626" s="56">
        <v>0</v>
      </c>
      <c r="F626" s="56">
        <v>0</v>
      </c>
    </row>
    <row r="627" spans="1:6" x14ac:dyDescent="0.3">
      <c r="A627" s="56">
        <v>3301</v>
      </c>
      <c r="B627" s="56">
        <v>0</v>
      </c>
      <c r="C627" s="56">
        <v>0</v>
      </c>
      <c r="D627" s="56">
        <v>0</v>
      </c>
      <c r="E627" s="56">
        <v>0</v>
      </c>
      <c r="F627" s="56">
        <v>0</v>
      </c>
    </row>
    <row r="628" spans="1:6" x14ac:dyDescent="0.3">
      <c r="A628" s="56">
        <v>3302</v>
      </c>
      <c r="B628" s="56">
        <v>0</v>
      </c>
      <c r="C628" s="56">
        <v>0</v>
      </c>
      <c r="D628" s="56">
        <v>0</v>
      </c>
      <c r="E628" s="56">
        <v>0</v>
      </c>
      <c r="F628" s="56">
        <v>0</v>
      </c>
    </row>
    <row r="629" spans="1:6" x14ac:dyDescent="0.3">
      <c r="A629" s="56">
        <v>3303</v>
      </c>
      <c r="B629" s="56">
        <v>0</v>
      </c>
      <c r="C629" s="56">
        <v>0</v>
      </c>
      <c r="D629" s="56">
        <v>0</v>
      </c>
      <c r="E629" s="56">
        <v>0</v>
      </c>
      <c r="F629" s="56">
        <v>0</v>
      </c>
    </row>
    <row r="630" spans="1:6" x14ac:dyDescent="0.3">
      <c r="A630" s="56">
        <v>3304</v>
      </c>
      <c r="B630" s="56">
        <v>0</v>
      </c>
      <c r="C630" s="56">
        <v>0</v>
      </c>
      <c r="D630" s="56">
        <v>0</v>
      </c>
      <c r="E630" s="56">
        <v>0</v>
      </c>
      <c r="F630" s="56">
        <v>0</v>
      </c>
    </row>
    <row r="631" spans="1:6" x14ac:dyDescent="0.3">
      <c r="A631" s="56">
        <v>3305</v>
      </c>
      <c r="B631" s="56">
        <v>0</v>
      </c>
      <c r="C631" s="56">
        <v>0</v>
      </c>
      <c r="D631" s="56">
        <v>0</v>
      </c>
      <c r="E631" s="56">
        <v>0</v>
      </c>
      <c r="F631" s="56">
        <v>0</v>
      </c>
    </row>
    <row r="632" spans="1:6" x14ac:dyDescent="0.3">
      <c r="A632" s="56">
        <v>3306</v>
      </c>
      <c r="B632" s="56">
        <v>0</v>
      </c>
      <c r="C632" s="56">
        <v>0</v>
      </c>
      <c r="D632" s="56">
        <v>0</v>
      </c>
      <c r="E632" s="56">
        <v>0</v>
      </c>
      <c r="F632" s="56">
        <v>0</v>
      </c>
    </row>
    <row r="633" spans="1:6" x14ac:dyDescent="0.3">
      <c r="A633" s="56">
        <v>3307</v>
      </c>
      <c r="B633" s="56">
        <v>0</v>
      </c>
      <c r="C633" s="56">
        <v>0</v>
      </c>
      <c r="D633" s="56">
        <v>0</v>
      </c>
      <c r="E633" s="56">
        <v>0</v>
      </c>
      <c r="F633" s="56">
        <v>0</v>
      </c>
    </row>
    <row r="634" spans="1:6" x14ac:dyDescent="0.3">
      <c r="A634" s="56">
        <v>3308</v>
      </c>
      <c r="B634" s="56">
        <v>0</v>
      </c>
      <c r="C634" s="56">
        <v>0</v>
      </c>
      <c r="D634" s="56">
        <v>0</v>
      </c>
      <c r="E634" s="56">
        <v>0</v>
      </c>
      <c r="F634" s="56">
        <v>0</v>
      </c>
    </row>
    <row r="635" spans="1:6" x14ac:dyDescent="0.3">
      <c r="A635" s="56">
        <v>3309</v>
      </c>
      <c r="B635" s="56">
        <v>0</v>
      </c>
      <c r="C635" s="56">
        <v>0</v>
      </c>
      <c r="D635" s="56">
        <v>0</v>
      </c>
      <c r="E635" s="56">
        <v>0</v>
      </c>
      <c r="F635" s="56">
        <v>0</v>
      </c>
    </row>
    <row r="636" spans="1:6" x14ac:dyDescent="0.3">
      <c r="A636" s="56">
        <v>3310</v>
      </c>
      <c r="B636" s="56">
        <v>0</v>
      </c>
      <c r="C636" s="56">
        <v>0</v>
      </c>
      <c r="D636" s="56">
        <v>0</v>
      </c>
      <c r="E636" s="56">
        <v>0</v>
      </c>
      <c r="F636" s="56">
        <v>0</v>
      </c>
    </row>
    <row r="637" spans="1:6" x14ac:dyDescent="0.3">
      <c r="A637" s="56">
        <v>4000</v>
      </c>
      <c r="B637" s="56">
        <v>1.5</v>
      </c>
      <c r="C637" s="56">
        <v>0</v>
      </c>
      <c r="D637" s="56">
        <v>1</v>
      </c>
      <c r="E637" s="56">
        <v>1</v>
      </c>
      <c r="F637" s="56">
        <v>1</v>
      </c>
    </row>
    <row r="638" spans="1:6" x14ac:dyDescent="0.3">
      <c r="A638" s="56">
        <v>4001</v>
      </c>
      <c r="B638" s="56">
        <v>1.59</v>
      </c>
      <c r="C638" s="56">
        <v>0</v>
      </c>
      <c r="D638" s="56">
        <v>1</v>
      </c>
      <c r="E638" s="56">
        <v>1</v>
      </c>
      <c r="F638" s="56">
        <v>1</v>
      </c>
    </row>
    <row r="639" spans="1:6" x14ac:dyDescent="0.3">
      <c r="A639" s="56">
        <v>4002</v>
      </c>
      <c r="B639" s="56">
        <v>1.68</v>
      </c>
      <c r="C639" s="56">
        <v>0</v>
      </c>
      <c r="D639" s="56">
        <v>1</v>
      </c>
      <c r="E639" s="56">
        <v>1</v>
      </c>
      <c r="F639" s="56">
        <v>1</v>
      </c>
    </row>
    <row r="640" spans="1:6" x14ac:dyDescent="0.3">
      <c r="A640" s="56">
        <v>4003</v>
      </c>
      <c r="B640" s="56">
        <v>1.77</v>
      </c>
      <c r="C640" s="56">
        <v>0</v>
      </c>
      <c r="D640" s="56">
        <v>1</v>
      </c>
      <c r="E640" s="56">
        <v>1</v>
      </c>
      <c r="F640" s="56">
        <v>1</v>
      </c>
    </row>
    <row r="641" spans="1:6" x14ac:dyDescent="0.3">
      <c r="A641" s="56">
        <v>4004</v>
      </c>
      <c r="B641" s="56">
        <v>1.86</v>
      </c>
      <c r="C641" s="56">
        <v>0</v>
      </c>
      <c r="D641" s="56">
        <v>1</v>
      </c>
      <c r="E641" s="56">
        <v>1</v>
      </c>
      <c r="F641" s="56">
        <v>1</v>
      </c>
    </row>
    <row r="642" spans="1:6" x14ac:dyDescent="0.3">
      <c r="A642" s="56">
        <v>4005</v>
      </c>
      <c r="B642" s="56">
        <v>1.88</v>
      </c>
      <c r="C642" s="56">
        <v>0</v>
      </c>
      <c r="D642" s="56">
        <v>1</v>
      </c>
      <c r="E642" s="56">
        <v>1</v>
      </c>
      <c r="F642" s="56">
        <v>1</v>
      </c>
    </row>
    <row r="643" spans="1:6" x14ac:dyDescent="0.3">
      <c r="A643" s="56">
        <v>4006</v>
      </c>
      <c r="B643" s="56">
        <v>1.9</v>
      </c>
      <c r="C643" s="56">
        <v>0</v>
      </c>
      <c r="D643" s="56">
        <v>1</v>
      </c>
      <c r="E643" s="56">
        <v>1</v>
      </c>
      <c r="F643" s="56">
        <v>1</v>
      </c>
    </row>
    <row r="644" spans="1:6" x14ac:dyDescent="0.3">
      <c r="A644" s="56">
        <v>4007</v>
      </c>
      <c r="B644" s="56">
        <v>1.92</v>
      </c>
      <c r="C644" s="56">
        <v>0</v>
      </c>
      <c r="D644" s="56">
        <v>1</v>
      </c>
      <c r="E644" s="56">
        <v>1</v>
      </c>
      <c r="F644" s="56">
        <v>1</v>
      </c>
    </row>
    <row r="645" spans="1:6" x14ac:dyDescent="0.3">
      <c r="A645" s="56">
        <v>4008</v>
      </c>
      <c r="B645" s="56">
        <v>1.94</v>
      </c>
      <c r="C645" s="56">
        <v>0</v>
      </c>
      <c r="D645" s="56">
        <v>1</v>
      </c>
      <c r="E645" s="56">
        <v>1</v>
      </c>
      <c r="F645" s="56">
        <v>1</v>
      </c>
    </row>
    <row r="646" spans="1:6" x14ac:dyDescent="0.3">
      <c r="A646" s="56">
        <v>4009</v>
      </c>
      <c r="B646" s="56">
        <v>1.96</v>
      </c>
      <c r="C646" s="56">
        <v>0</v>
      </c>
      <c r="D646" s="56">
        <v>1</v>
      </c>
      <c r="E646" s="56">
        <v>1</v>
      </c>
      <c r="F646" s="56">
        <v>1</v>
      </c>
    </row>
    <row r="647" spans="1:6" x14ac:dyDescent="0.3">
      <c r="A647" s="56">
        <v>4010</v>
      </c>
      <c r="B647" s="56">
        <v>2</v>
      </c>
      <c r="C647" s="56">
        <v>0</v>
      </c>
      <c r="D647" s="56">
        <v>1</v>
      </c>
      <c r="E647" s="56">
        <v>1</v>
      </c>
      <c r="F647" s="56">
        <v>1</v>
      </c>
    </row>
    <row r="648" spans="1:6" x14ac:dyDescent="0.3">
      <c r="A648" s="56">
        <v>4100</v>
      </c>
      <c r="B648" s="56">
        <v>1.1000000000000001</v>
      </c>
      <c r="C648" s="56">
        <v>1.1000000000000001</v>
      </c>
      <c r="D648" s="56">
        <v>1</v>
      </c>
      <c r="E648" s="56">
        <v>1</v>
      </c>
      <c r="F648" s="56">
        <v>1</v>
      </c>
    </row>
    <row r="649" spans="1:6" x14ac:dyDescent="0.3">
      <c r="A649" s="56">
        <v>4101</v>
      </c>
      <c r="B649" s="56">
        <v>1.1299999999999999</v>
      </c>
      <c r="C649" s="56">
        <v>1.1299999999999999</v>
      </c>
      <c r="D649" s="56">
        <v>1</v>
      </c>
      <c r="E649" s="56">
        <v>1</v>
      </c>
      <c r="F649" s="56">
        <v>1</v>
      </c>
    </row>
    <row r="650" spans="1:6" x14ac:dyDescent="0.3">
      <c r="A650" s="56">
        <v>4102</v>
      </c>
      <c r="B650" s="56">
        <v>1.1599999999999999</v>
      </c>
      <c r="C650" s="56">
        <v>1.1599999999999999</v>
      </c>
      <c r="D650" s="56">
        <v>1</v>
      </c>
      <c r="E650" s="56">
        <v>1</v>
      </c>
      <c r="F650" s="56">
        <v>1</v>
      </c>
    </row>
    <row r="651" spans="1:6" x14ac:dyDescent="0.3">
      <c r="A651" s="56">
        <v>4103</v>
      </c>
      <c r="B651" s="56">
        <v>1.19</v>
      </c>
      <c r="C651" s="56">
        <v>1.19</v>
      </c>
      <c r="D651" s="56">
        <v>1</v>
      </c>
      <c r="E651" s="56">
        <v>1</v>
      </c>
      <c r="F651" s="56">
        <v>1</v>
      </c>
    </row>
    <row r="652" spans="1:6" x14ac:dyDescent="0.3">
      <c r="A652" s="56">
        <v>4104</v>
      </c>
      <c r="B652" s="56">
        <v>1.21</v>
      </c>
      <c r="C652" s="56">
        <v>1.21</v>
      </c>
      <c r="D652" s="56">
        <v>1</v>
      </c>
      <c r="E652" s="56">
        <v>1</v>
      </c>
      <c r="F652" s="56">
        <v>1</v>
      </c>
    </row>
    <row r="653" spans="1:6" x14ac:dyDescent="0.3">
      <c r="A653" s="56">
        <v>4105</v>
      </c>
      <c r="B653" s="56">
        <v>1.22</v>
      </c>
      <c r="C653" s="56">
        <v>1.22</v>
      </c>
      <c r="D653" s="56">
        <v>1</v>
      </c>
      <c r="E653" s="56">
        <v>1</v>
      </c>
      <c r="F653" s="56">
        <v>1</v>
      </c>
    </row>
    <row r="654" spans="1:6" x14ac:dyDescent="0.3">
      <c r="A654" s="56">
        <v>4106</v>
      </c>
      <c r="B654" s="56">
        <v>1.23</v>
      </c>
      <c r="C654" s="56">
        <v>1.23</v>
      </c>
      <c r="D654" s="56">
        <v>1</v>
      </c>
      <c r="E654" s="56">
        <v>1</v>
      </c>
      <c r="F654" s="56">
        <v>1</v>
      </c>
    </row>
    <row r="655" spans="1:6" x14ac:dyDescent="0.3">
      <c r="A655" s="56">
        <v>4107</v>
      </c>
      <c r="B655" s="56">
        <v>1.24</v>
      </c>
      <c r="C655" s="56">
        <v>1.24</v>
      </c>
      <c r="D655" s="56">
        <v>1</v>
      </c>
      <c r="E655" s="56">
        <v>1</v>
      </c>
      <c r="F655" s="56">
        <v>1</v>
      </c>
    </row>
    <row r="656" spans="1:6" x14ac:dyDescent="0.3">
      <c r="A656" s="56">
        <v>4108</v>
      </c>
      <c r="B656" s="56">
        <v>1.25</v>
      </c>
      <c r="C656" s="56">
        <v>1.25</v>
      </c>
      <c r="D656" s="56">
        <v>1</v>
      </c>
      <c r="E656" s="56">
        <v>1</v>
      </c>
      <c r="F656" s="56">
        <v>1</v>
      </c>
    </row>
    <row r="657" spans="1:6" x14ac:dyDescent="0.3">
      <c r="A657" s="56">
        <v>4109</v>
      </c>
      <c r="B657" s="56">
        <v>1.26</v>
      </c>
      <c r="C657" s="56">
        <v>1.26</v>
      </c>
      <c r="D657" s="56">
        <v>1</v>
      </c>
      <c r="E657" s="56">
        <v>1</v>
      </c>
      <c r="F657" s="56">
        <v>1</v>
      </c>
    </row>
    <row r="658" spans="1:6" x14ac:dyDescent="0.3">
      <c r="A658" s="56">
        <v>4110</v>
      </c>
      <c r="B658" s="56">
        <v>1.25</v>
      </c>
      <c r="C658" s="56">
        <v>1.25</v>
      </c>
      <c r="D658" s="56">
        <v>1</v>
      </c>
      <c r="E658" s="56">
        <v>1</v>
      </c>
      <c r="F658" s="56">
        <v>1</v>
      </c>
    </row>
    <row r="659" spans="1:6" x14ac:dyDescent="0.3">
      <c r="A659" s="56">
        <v>4500</v>
      </c>
      <c r="B659" s="56">
        <v>1</v>
      </c>
      <c r="C659" s="56">
        <v>1</v>
      </c>
      <c r="D659" s="56">
        <v>1</v>
      </c>
      <c r="E659" s="56">
        <v>1</v>
      </c>
      <c r="F659" s="56">
        <v>1</v>
      </c>
    </row>
    <row r="660" spans="1:6" x14ac:dyDescent="0.3">
      <c r="A660" s="56">
        <v>4501</v>
      </c>
      <c r="B660" s="56">
        <v>1.08</v>
      </c>
      <c r="C660" s="56">
        <v>1.08</v>
      </c>
      <c r="D660" s="56">
        <v>1.08</v>
      </c>
      <c r="E660" s="56">
        <v>1.08</v>
      </c>
      <c r="F660" s="56">
        <v>1.08</v>
      </c>
    </row>
    <row r="661" spans="1:6" x14ac:dyDescent="0.3">
      <c r="A661" s="56">
        <v>4502</v>
      </c>
      <c r="B661" s="56">
        <v>1.1599999999999999</v>
      </c>
      <c r="C661" s="56">
        <v>1.1599999999999999</v>
      </c>
      <c r="D661" s="56">
        <v>1.1599999999999999</v>
      </c>
      <c r="E661" s="56">
        <v>1.1599999999999999</v>
      </c>
      <c r="F661" s="56">
        <v>1.1599999999999999</v>
      </c>
    </row>
    <row r="662" spans="1:6" x14ac:dyDescent="0.3">
      <c r="A662" s="56">
        <v>4503</v>
      </c>
      <c r="B662" s="56">
        <v>1.24</v>
      </c>
      <c r="C662" s="56">
        <v>1.24</v>
      </c>
      <c r="D662" s="56">
        <v>1.24</v>
      </c>
      <c r="E662" s="56">
        <v>1.24</v>
      </c>
      <c r="F662" s="56">
        <v>1.24</v>
      </c>
    </row>
    <row r="663" spans="1:6" x14ac:dyDescent="0.3">
      <c r="A663" s="56">
        <v>4504</v>
      </c>
      <c r="B663" s="56">
        <v>1.32</v>
      </c>
      <c r="C663" s="56">
        <v>1.32</v>
      </c>
      <c r="D663" s="56">
        <v>1.32</v>
      </c>
      <c r="E663" s="56">
        <v>1.32</v>
      </c>
      <c r="F663" s="56">
        <v>1.32</v>
      </c>
    </row>
    <row r="664" spans="1:6" x14ac:dyDescent="0.3">
      <c r="A664" s="56">
        <v>4505</v>
      </c>
      <c r="B664" s="56">
        <v>1.4</v>
      </c>
      <c r="C664" s="56">
        <v>1.4</v>
      </c>
      <c r="D664" s="56">
        <v>1.4</v>
      </c>
      <c r="E664" s="56">
        <v>1.4</v>
      </c>
      <c r="F664" s="56">
        <v>1.4</v>
      </c>
    </row>
    <row r="665" spans="1:6" x14ac:dyDescent="0.3">
      <c r="A665" s="56">
        <v>4600</v>
      </c>
      <c r="B665" s="56">
        <v>1</v>
      </c>
      <c r="C665" s="56">
        <v>1</v>
      </c>
      <c r="D665" s="56">
        <v>1</v>
      </c>
      <c r="E665" s="56">
        <v>1</v>
      </c>
      <c r="F665" s="56">
        <v>1</v>
      </c>
    </row>
    <row r="666" spans="1:6" x14ac:dyDescent="0.3">
      <c r="A666" s="56">
        <v>4601</v>
      </c>
      <c r="B666" s="56">
        <v>1.08</v>
      </c>
      <c r="C666" s="56">
        <v>1.08</v>
      </c>
      <c r="D666" s="56">
        <v>1.08</v>
      </c>
      <c r="E666" s="56">
        <v>1.08</v>
      </c>
      <c r="F666" s="56">
        <v>1.08</v>
      </c>
    </row>
    <row r="667" spans="1:6" x14ac:dyDescent="0.3">
      <c r="A667" s="56">
        <v>4602</v>
      </c>
      <c r="B667" s="56">
        <v>1.1599999999999999</v>
      </c>
      <c r="C667" s="56">
        <v>1.1599999999999999</v>
      </c>
      <c r="D667" s="56">
        <v>1.1599999999999999</v>
      </c>
      <c r="E667" s="56">
        <v>1.1599999999999999</v>
      </c>
      <c r="F667" s="56">
        <v>1.1599999999999999</v>
      </c>
    </row>
    <row r="668" spans="1:6" x14ac:dyDescent="0.3">
      <c r="A668" s="56">
        <v>4603</v>
      </c>
      <c r="B668" s="56">
        <v>1.24</v>
      </c>
      <c r="C668" s="56">
        <v>1.24</v>
      </c>
      <c r="D668" s="56">
        <v>1.24</v>
      </c>
      <c r="E668" s="56">
        <v>1.24</v>
      </c>
      <c r="F668" s="56">
        <v>1.24</v>
      </c>
    </row>
    <row r="669" spans="1:6" x14ac:dyDescent="0.3">
      <c r="A669" s="56">
        <v>4604</v>
      </c>
      <c r="B669" s="56">
        <v>1.32</v>
      </c>
      <c r="C669" s="56">
        <v>1.32</v>
      </c>
      <c r="D669" s="56">
        <v>1.32</v>
      </c>
      <c r="E669" s="56">
        <v>1.32</v>
      </c>
      <c r="F669" s="56">
        <v>1.32</v>
      </c>
    </row>
    <row r="670" spans="1:6" x14ac:dyDescent="0.3">
      <c r="A670" s="56">
        <v>4605</v>
      </c>
      <c r="B670" s="56">
        <v>1.4</v>
      </c>
      <c r="C670" s="56">
        <v>1.4</v>
      </c>
      <c r="D670" s="56">
        <v>1.4</v>
      </c>
      <c r="E670" s="56">
        <v>1.4</v>
      </c>
      <c r="F670" s="56">
        <v>1.4</v>
      </c>
    </row>
    <row r="671" spans="1:6" x14ac:dyDescent="0.3">
      <c r="A671" s="56">
        <v>5000</v>
      </c>
      <c r="B671" s="56">
        <v>0.5</v>
      </c>
      <c r="C671" s="56">
        <v>1.5</v>
      </c>
      <c r="D671" s="56">
        <v>1</v>
      </c>
      <c r="E671" s="56">
        <v>1</v>
      </c>
      <c r="F671" s="56">
        <v>1</v>
      </c>
    </row>
    <row r="672" spans="1:6" x14ac:dyDescent="0.3">
      <c r="A672" s="56">
        <v>5001</v>
      </c>
      <c r="B672" s="56">
        <v>0.53</v>
      </c>
      <c r="C672" s="56">
        <v>1.55</v>
      </c>
      <c r="D672" s="56">
        <v>1.04</v>
      </c>
      <c r="E672" s="56">
        <v>1.04</v>
      </c>
      <c r="F672" s="56">
        <v>1.04</v>
      </c>
    </row>
    <row r="673" spans="1:6" x14ac:dyDescent="0.3">
      <c r="A673" s="56">
        <v>5002</v>
      </c>
      <c r="B673" s="56">
        <v>0.56000000000000005</v>
      </c>
      <c r="C673" s="56">
        <v>1.6</v>
      </c>
      <c r="D673" s="56">
        <v>1.08</v>
      </c>
      <c r="E673" s="56">
        <v>1.08</v>
      </c>
      <c r="F673" s="56">
        <v>1.08</v>
      </c>
    </row>
    <row r="674" spans="1:6" x14ac:dyDescent="0.3">
      <c r="A674" s="56">
        <v>5003</v>
      </c>
      <c r="B674" s="56">
        <v>0.59</v>
      </c>
      <c r="C674" s="56">
        <v>1.65</v>
      </c>
      <c r="D674" s="56">
        <v>1.1200000000000001</v>
      </c>
      <c r="E674" s="56">
        <v>1.1200000000000001</v>
      </c>
      <c r="F674" s="56">
        <v>1.1200000000000001</v>
      </c>
    </row>
    <row r="675" spans="1:6" x14ac:dyDescent="0.3">
      <c r="A675" s="56">
        <v>5004</v>
      </c>
      <c r="B675" s="56">
        <v>0.62</v>
      </c>
      <c r="C675" s="56">
        <v>1.7</v>
      </c>
      <c r="D675" s="56">
        <v>1.1599999999999999</v>
      </c>
      <c r="E675" s="56">
        <v>1.1599999999999999</v>
      </c>
      <c r="F675" s="56">
        <v>1.1599999999999999</v>
      </c>
    </row>
    <row r="676" spans="1:6" x14ac:dyDescent="0.3">
      <c r="A676" s="56">
        <v>5005</v>
      </c>
      <c r="B676" s="56">
        <v>0.65</v>
      </c>
      <c r="C676" s="56">
        <v>1.75</v>
      </c>
      <c r="D676" s="56">
        <v>1.2</v>
      </c>
      <c r="E676" s="56">
        <v>1.2</v>
      </c>
      <c r="F676" s="56">
        <v>1.2</v>
      </c>
    </row>
    <row r="677" spans="1:6" x14ac:dyDescent="0.3">
      <c r="A677" s="56">
        <v>5006</v>
      </c>
      <c r="B677" s="56">
        <v>0.68</v>
      </c>
      <c r="C677" s="56">
        <v>1.8</v>
      </c>
      <c r="D677" s="56">
        <v>1.24</v>
      </c>
      <c r="E677" s="56">
        <v>1.24</v>
      </c>
      <c r="F677" s="56">
        <v>1.24</v>
      </c>
    </row>
    <row r="678" spans="1:6" x14ac:dyDescent="0.3">
      <c r="A678" s="56">
        <v>5007</v>
      </c>
      <c r="B678" s="56">
        <v>0.71</v>
      </c>
      <c r="C678" s="56">
        <v>1.85</v>
      </c>
      <c r="D678" s="56">
        <v>1.28</v>
      </c>
      <c r="E678" s="56">
        <v>1.28</v>
      </c>
      <c r="F678" s="56">
        <v>1.28</v>
      </c>
    </row>
    <row r="679" spans="1:6" x14ac:dyDescent="0.3">
      <c r="A679" s="56">
        <v>5008</v>
      </c>
      <c r="B679" s="56">
        <v>0.74</v>
      </c>
      <c r="C679" s="56">
        <v>1.9</v>
      </c>
      <c r="D679" s="56">
        <v>1.32</v>
      </c>
      <c r="E679" s="56">
        <v>1.32</v>
      </c>
      <c r="F679" s="56">
        <v>1.32</v>
      </c>
    </row>
    <row r="680" spans="1:6" x14ac:dyDescent="0.3">
      <c r="A680" s="56">
        <v>5009</v>
      </c>
      <c r="B680" s="56">
        <v>0.77</v>
      </c>
      <c r="C680" s="56">
        <v>1.95</v>
      </c>
      <c r="D680" s="56">
        <v>1.36</v>
      </c>
      <c r="E680" s="56">
        <v>1.36</v>
      </c>
      <c r="F680" s="56">
        <v>1.36</v>
      </c>
    </row>
    <row r="681" spans="1:6" x14ac:dyDescent="0.3">
      <c r="A681" s="56">
        <v>5010</v>
      </c>
      <c r="B681" s="56">
        <v>0.8</v>
      </c>
      <c r="C681" s="56">
        <v>2</v>
      </c>
      <c r="D681" s="56">
        <v>1.4</v>
      </c>
      <c r="E681" s="56">
        <v>1.4</v>
      </c>
      <c r="F681" s="56">
        <v>1.4</v>
      </c>
    </row>
    <row r="682" spans="1:6" x14ac:dyDescent="0.3">
      <c r="A682" s="56">
        <v>5011</v>
      </c>
      <c r="B682" s="56">
        <v>0.84</v>
      </c>
      <c r="C682" s="56">
        <v>2.04</v>
      </c>
      <c r="D682" s="56">
        <v>1.43</v>
      </c>
      <c r="E682" s="56">
        <v>1.43</v>
      </c>
      <c r="F682" s="56">
        <v>1.43</v>
      </c>
    </row>
    <row r="683" spans="1:6" x14ac:dyDescent="0.3">
      <c r="A683" s="56">
        <v>5012</v>
      </c>
      <c r="B683" s="56">
        <v>0.88</v>
      </c>
      <c r="C683" s="56">
        <v>2.08</v>
      </c>
      <c r="D683" s="56">
        <v>1.46</v>
      </c>
      <c r="E683" s="56">
        <v>1.46</v>
      </c>
      <c r="F683" s="56">
        <v>1.46</v>
      </c>
    </row>
    <row r="684" spans="1:6" x14ac:dyDescent="0.3">
      <c r="A684" s="56">
        <v>5013</v>
      </c>
      <c r="B684" s="56">
        <v>0.92</v>
      </c>
      <c r="C684" s="56">
        <v>2.12</v>
      </c>
      <c r="D684" s="56">
        <v>1.49</v>
      </c>
      <c r="E684" s="56">
        <v>1.49</v>
      </c>
      <c r="F684" s="56">
        <v>1.49</v>
      </c>
    </row>
    <row r="685" spans="1:6" x14ac:dyDescent="0.3">
      <c r="A685" s="56">
        <v>5014</v>
      </c>
      <c r="B685" s="56">
        <v>0.96</v>
      </c>
      <c r="C685" s="56">
        <v>2.16</v>
      </c>
      <c r="D685" s="56">
        <v>1.52</v>
      </c>
      <c r="E685" s="56">
        <v>1.52</v>
      </c>
      <c r="F685" s="56">
        <v>1.52</v>
      </c>
    </row>
    <row r="686" spans="1:6" x14ac:dyDescent="0.3">
      <c r="A686" s="56">
        <v>5015</v>
      </c>
      <c r="B686" s="56">
        <v>1</v>
      </c>
      <c r="C686" s="56">
        <v>2.2000000000000002</v>
      </c>
      <c r="D686" s="56">
        <v>1.55</v>
      </c>
      <c r="E686" s="56">
        <v>1.55</v>
      </c>
      <c r="F686" s="56">
        <v>1.55</v>
      </c>
    </row>
    <row r="687" spans="1:6" x14ac:dyDescent="0.3">
      <c r="A687" s="56">
        <v>5016</v>
      </c>
      <c r="B687" s="56">
        <v>1.04</v>
      </c>
      <c r="C687" s="56">
        <v>2.2400000000000002</v>
      </c>
      <c r="D687" s="56">
        <v>1.58</v>
      </c>
      <c r="E687" s="56">
        <v>1.58</v>
      </c>
      <c r="F687" s="56">
        <v>1.58</v>
      </c>
    </row>
    <row r="688" spans="1:6" x14ac:dyDescent="0.3">
      <c r="A688" s="56">
        <v>5017</v>
      </c>
      <c r="B688" s="56">
        <v>1.08</v>
      </c>
      <c r="C688" s="56">
        <v>2.2799999999999998</v>
      </c>
      <c r="D688" s="56">
        <v>1.61</v>
      </c>
      <c r="E688" s="56">
        <v>1.61</v>
      </c>
      <c r="F688" s="56">
        <v>1.61</v>
      </c>
    </row>
    <row r="689" spans="1:6" x14ac:dyDescent="0.3">
      <c r="A689" s="56">
        <v>5018</v>
      </c>
      <c r="B689" s="56">
        <v>1.1200000000000001</v>
      </c>
      <c r="C689" s="56">
        <v>2.3199999999999998</v>
      </c>
      <c r="D689" s="56">
        <v>1.64</v>
      </c>
      <c r="E689" s="56">
        <v>1.64</v>
      </c>
      <c r="F689" s="56">
        <v>1.64</v>
      </c>
    </row>
    <row r="690" spans="1:6" x14ac:dyDescent="0.3">
      <c r="A690" s="56">
        <v>5019</v>
      </c>
      <c r="B690" s="56">
        <v>1.1599999999999999</v>
      </c>
      <c r="C690" s="56">
        <v>2.36</v>
      </c>
      <c r="D690" s="56">
        <v>1.67</v>
      </c>
      <c r="E690" s="56">
        <v>1.67</v>
      </c>
      <c r="F690" s="56">
        <v>1.67</v>
      </c>
    </row>
    <row r="691" spans="1:6" x14ac:dyDescent="0.3">
      <c r="A691" s="56">
        <v>5020</v>
      </c>
      <c r="B691" s="56">
        <v>1.2</v>
      </c>
      <c r="C691" s="56">
        <v>2.4</v>
      </c>
      <c r="D691" s="56">
        <v>1.7</v>
      </c>
      <c r="E691" s="56">
        <v>1.7</v>
      </c>
      <c r="F691" s="56">
        <v>1.7</v>
      </c>
    </row>
    <row r="692" spans="1:6" x14ac:dyDescent="0.3">
      <c r="A692" s="56">
        <v>5021</v>
      </c>
      <c r="B692" s="56">
        <v>1.22</v>
      </c>
      <c r="C692" s="56">
        <v>2.42</v>
      </c>
      <c r="D692" s="56">
        <v>1.72</v>
      </c>
      <c r="E692" s="56">
        <v>1.72</v>
      </c>
      <c r="F692" s="56">
        <v>1.72</v>
      </c>
    </row>
    <row r="693" spans="1:6" x14ac:dyDescent="0.3">
      <c r="A693" s="56">
        <v>5022</v>
      </c>
      <c r="B693" s="56">
        <v>1.24</v>
      </c>
      <c r="C693" s="56">
        <v>2.44</v>
      </c>
      <c r="D693" s="56">
        <v>1.74</v>
      </c>
      <c r="E693" s="56">
        <v>1.74</v>
      </c>
      <c r="F693" s="56">
        <v>1.74</v>
      </c>
    </row>
    <row r="694" spans="1:6" x14ac:dyDescent="0.3">
      <c r="A694" s="56">
        <v>5023</v>
      </c>
      <c r="B694" s="56">
        <v>1.26</v>
      </c>
      <c r="C694" s="56">
        <v>2.46</v>
      </c>
      <c r="D694" s="56">
        <v>1.76</v>
      </c>
      <c r="E694" s="56">
        <v>1.76</v>
      </c>
      <c r="F694" s="56">
        <v>1.76</v>
      </c>
    </row>
    <row r="695" spans="1:6" x14ac:dyDescent="0.3">
      <c r="A695" s="56">
        <v>5024</v>
      </c>
      <c r="B695" s="56">
        <v>1.28</v>
      </c>
      <c r="C695" s="56">
        <v>2.48</v>
      </c>
      <c r="D695" s="56">
        <v>1.78</v>
      </c>
      <c r="E695" s="56">
        <v>1.78</v>
      </c>
      <c r="F695" s="56">
        <v>1.78</v>
      </c>
    </row>
    <row r="696" spans="1:6" x14ac:dyDescent="0.3">
      <c r="A696" s="56">
        <v>5025</v>
      </c>
      <c r="B696" s="56">
        <v>1.3</v>
      </c>
      <c r="C696" s="56">
        <v>2.5</v>
      </c>
      <c r="D696" s="56">
        <v>1.8</v>
      </c>
      <c r="E696" s="56">
        <v>1.8</v>
      </c>
      <c r="F696" s="56">
        <v>1.8</v>
      </c>
    </row>
    <row r="697" spans="1:6" x14ac:dyDescent="0.3">
      <c r="A697" s="56">
        <v>6000</v>
      </c>
      <c r="B697" s="56">
        <v>1.4</v>
      </c>
      <c r="C697" s="56">
        <v>0.5</v>
      </c>
      <c r="D697" s="56">
        <v>1</v>
      </c>
      <c r="E697" s="56">
        <v>1</v>
      </c>
      <c r="F697" s="56">
        <v>1</v>
      </c>
    </row>
    <row r="698" spans="1:6" x14ac:dyDescent="0.3">
      <c r="A698" s="56">
        <v>6001</v>
      </c>
      <c r="B698" s="56">
        <v>1.46</v>
      </c>
      <c r="C698" s="56">
        <v>0.53</v>
      </c>
      <c r="D698" s="56">
        <v>1.04</v>
      </c>
      <c r="E698" s="56">
        <v>1.04</v>
      </c>
      <c r="F698" s="56">
        <v>1.04</v>
      </c>
    </row>
    <row r="699" spans="1:6" x14ac:dyDescent="0.3">
      <c r="A699" s="56">
        <v>6002</v>
      </c>
      <c r="B699" s="56">
        <v>1.52</v>
      </c>
      <c r="C699" s="56">
        <v>0.56000000000000005</v>
      </c>
      <c r="D699" s="56">
        <v>1.08</v>
      </c>
      <c r="E699" s="56">
        <v>1.08</v>
      </c>
      <c r="F699" s="56">
        <v>1.08</v>
      </c>
    </row>
    <row r="700" spans="1:6" x14ac:dyDescent="0.3">
      <c r="A700" s="56">
        <v>6003</v>
      </c>
      <c r="B700" s="56">
        <v>1.58</v>
      </c>
      <c r="C700" s="56">
        <v>0.59</v>
      </c>
      <c r="D700" s="56">
        <v>1.1200000000000001</v>
      </c>
      <c r="E700" s="56">
        <v>1.1200000000000001</v>
      </c>
      <c r="F700" s="56">
        <v>1.1200000000000001</v>
      </c>
    </row>
    <row r="701" spans="1:6" x14ac:dyDescent="0.3">
      <c r="A701" s="56">
        <v>6004</v>
      </c>
      <c r="B701" s="56">
        <v>1.64</v>
      </c>
      <c r="C701" s="56">
        <v>0.62</v>
      </c>
      <c r="D701" s="56">
        <v>1.1599999999999999</v>
      </c>
      <c r="E701" s="56">
        <v>1.1599999999999999</v>
      </c>
      <c r="F701" s="56">
        <v>1.1599999999999999</v>
      </c>
    </row>
    <row r="702" spans="1:6" x14ac:dyDescent="0.3">
      <c r="A702" s="56">
        <v>6005</v>
      </c>
      <c r="B702" s="56">
        <v>1.7</v>
      </c>
      <c r="C702" s="56">
        <v>0.65</v>
      </c>
      <c r="D702" s="56">
        <v>1.2</v>
      </c>
      <c r="E702" s="56">
        <v>1.2</v>
      </c>
      <c r="F702" s="56">
        <v>1.2</v>
      </c>
    </row>
    <row r="703" spans="1:6" x14ac:dyDescent="0.3">
      <c r="A703" s="56">
        <v>6006</v>
      </c>
      <c r="B703" s="56">
        <v>1.76</v>
      </c>
      <c r="C703" s="56">
        <v>0.68</v>
      </c>
      <c r="D703" s="56">
        <v>1.24</v>
      </c>
      <c r="E703" s="56">
        <v>1.24</v>
      </c>
      <c r="F703" s="56">
        <v>1.24</v>
      </c>
    </row>
    <row r="704" spans="1:6" x14ac:dyDescent="0.3">
      <c r="A704" s="56">
        <v>6007</v>
      </c>
      <c r="B704" s="56">
        <v>1.82</v>
      </c>
      <c r="C704" s="56">
        <v>0.71</v>
      </c>
      <c r="D704" s="56">
        <v>1.28</v>
      </c>
      <c r="E704" s="56">
        <v>1.28</v>
      </c>
      <c r="F704" s="56">
        <v>1.28</v>
      </c>
    </row>
    <row r="705" spans="1:6" x14ac:dyDescent="0.3">
      <c r="A705" s="56">
        <v>6008</v>
      </c>
      <c r="B705" s="56">
        <v>1.88</v>
      </c>
      <c r="C705" s="56">
        <v>0.74</v>
      </c>
      <c r="D705" s="56">
        <v>1.32</v>
      </c>
      <c r="E705" s="56">
        <v>1.32</v>
      </c>
      <c r="F705" s="56">
        <v>1.32</v>
      </c>
    </row>
    <row r="706" spans="1:6" x14ac:dyDescent="0.3">
      <c r="A706" s="56">
        <v>6009</v>
      </c>
      <c r="B706" s="56">
        <v>1.94</v>
      </c>
      <c r="C706" s="56">
        <v>0.77</v>
      </c>
      <c r="D706" s="56">
        <v>1.36</v>
      </c>
      <c r="E706" s="56">
        <v>1.36</v>
      </c>
      <c r="F706" s="56">
        <v>1.36</v>
      </c>
    </row>
    <row r="707" spans="1:6" x14ac:dyDescent="0.3">
      <c r="A707" s="56">
        <v>6010</v>
      </c>
      <c r="B707" s="56">
        <v>2</v>
      </c>
      <c r="C707" s="56">
        <v>0.8</v>
      </c>
      <c r="D707" s="56">
        <v>1.4</v>
      </c>
      <c r="E707" s="56">
        <v>1.4</v>
      </c>
      <c r="F707" s="56">
        <v>1.4</v>
      </c>
    </row>
    <row r="708" spans="1:6" x14ac:dyDescent="0.3">
      <c r="A708" s="56">
        <v>6011</v>
      </c>
      <c r="B708" s="56">
        <v>2.0499999999999998</v>
      </c>
      <c r="C708" s="56">
        <v>0.83</v>
      </c>
      <c r="D708" s="56">
        <v>1.43</v>
      </c>
      <c r="E708" s="56">
        <v>1.43</v>
      </c>
      <c r="F708" s="56">
        <v>1.43</v>
      </c>
    </row>
    <row r="709" spans="1:6" x14ac:dyDescent="0.3">
      <c r="A709" s="56">
        <v>6012</v>
      </c>
      <c r="B709" s="56">
        <v>2.1</v>
      </c>
      <c r="C709" s="56">
        <v>0.86</v>
      </c>
      <c r="D709" s="56">
        <v>1.46</v>
      </c>
      <c r="E709" s="56">
        <v>1.46</v>
      </c>
      <c r="F709" s="56">
        <v>1.46</v>
      </c>
    </row>
    <row r="710" spans="1:6" x14ac:dyDescent="0.3">
      <c r="A710" s="56">
        <v>6013</v>
      </c>
      <c r="B710" s="56">
        <v>2.15</v>
      </c>
      <c r="C710" s="56">
        <v>0.89</v>
      </c>
      <c r="D710" s="56">
        <v>1.49</v>
      </c>
      <c r="E710" s="56">
        <v>1.49</v>
      </c>
      <c r="F710" s="56">
        <v>1.49</v>
      </c>
    </row>
    <row r="711" spans="1:6" x14ac:dyDescent="0.3">
      <c r="A711" s="56">
        <v>6014</v>
      </c>
      <c r="B711" s="56">
        <v>2.2000000000000002</v>
      </c>
      <c r="C711" s="56">
        <v>0.92</v>
      </c>
      <c r="D711" s="56">
        <v>1.52</v>
      </c>
      <c r="E711" s="56">
        <v>1.52</v>
      </c>
      <c r="F711" s="56">
        <v>1.52</v>
      </c>
    </row>
    <row r="712" spans="1:6" x14ac:dyDescent="0.3">
      <c r="A712" s="56">
        <v>6015</v>
      </c>
      <c r="B712" s="56">
        <v>2.25</v>
      </c>
      <c r="C712" s="56">
        <v>0.95</v>
      </c>
      <c r="D712" s="56">
        <v>1.55</v>
      </c>
      <c r="E712" s="56">
        <v>1.55</v>
      </c>
      <c r="F712" s="56">
        <v>1.55</v>
      </c>
    </row>
    <row r="713" spans="1:6" x14ac:dyDescent="0.3">
      <c r="A713" s="56">
        <v>6016</v>
      </c>
      <c r="B713" s="56">
        <v>2.2999999999999998</v>
      </c>
      <c r="C713" s="56">
        <v>0.98</v>
      </c>
      <c r="D713" s="56">
        <v>1.58</v>
      </c>
      <c r="E713" s="56">
        <v>1.58</v>
      </c>
      <c r="F713" s="56">
        <v>1.58</v>
      </c>
    </row>
    <row r="714" spans="1:6" x14ac:dyDescent="0.3">
      <c r="A714" s="56">
        <v>6017</v>
      </c>
      <c r="B714" s="56">
        <v>2.35</v>
      </c>
      <c r="C714" s="56">
        <v>1.01</v>
      </c>
      <c r="D714" s="56">
        <v>1.61</v>
      </c>
      <c r="E714" s="56">
        <v>1.61</v>
      </c>
      <c r="F714" s="56">
        <v>1.61</v>
      </c>
    </row>
    <row r="715" spans="1:6" x14ac:dyDescent="0.3">
      <c r="A715" s="56">
        <v>6018</v>
      </c>
      <c r="B715" s="56">
        <v>2.4</v>
      </c>
      <c r="C715" s="56">
        <v>1.04</v>
      </c>
      <c r="D715" s="56">
        <v>1.64</v>
      </c>
      <c r="E715" s="56">
        <v>1.64</v>
      </c>
      <c r="F715" s="56">
        <v>1.64</v>
      </c>
    </row>
    <row r="716" spans="1:6" x14ac:dyDescent="0.3">
      <c r="A716" s="56">
        <v>6019</v>
      </c>
      <c r="B716" s="56">
        <v>2.4500000000000002</v>
      </c>
      <c r="C716" s="56">
        <v>1.07</v>
      </c>
      <c r="D716" s="56">
        <v>1.67</v>
      </c>
      <c r="E716" s="56">
        <v>1.67</v>
      </c>
      <c r="F716" s="56">
        <v>1.67</v>
      </c>
    </row>
    <row r="717" spans="1:6" x14ac:dyDescent="0.3">
      <c r="A717" s="56">
        <v>6020</v>
      </c>
      <c r="B717" s="56">
        <v>2.5</v>
      </c>
      <c r="C717" s="56">
        <v>1.1000000000000001</v>
      </c>
      <c r="D717" s="56">
        <v>1.7</v>
      </c>
      <c r="E717" s="56">
        <v>1.7</v>
      </c>
      <c r="F717" s="56">
        <v>1.7</v>
      </c>
    </row>
    <row r="718" spans="1:6" x14ac:dyDescent="0.3">
      <c r="A718" s="56">
        <v>6021</v>
      </c>
      <c r="B718" s="56">
        <v>2.52</v>
      </c>
      <c r="C718" s="56">
        <v>1.1200000000000001</v>
      </c>
      <c r="D718" s="56">
        <v>1.72</v>
      </c>
      <c r="E718" s="56">
        <v>1.72</v>
      </c>
      <c r="F718" s="56">
        <v>1.72</v>
      </c>
    </row>
    <row r="719" spans="1:6" x14ac:dyDescent="0.3">
      <c r="A719" s="56">
        <v>6022</v>
      </c>
      <c r="B719" s="56">
        <v>2.54</v>
      </c>
      <c r="C719" s="56">
        <v>1.1399999999999999</v>
      </c>
      <c r="D719" s="56">
        <v>1.74</v>
      </c>
      <c r="E719" s="56">
        <v>1.74</v>
      </c>
      <c r="F719" s="56">
        <v>1.74</v>
      </c>
    </row>
    <row r="720" spans="1:6" x14ac:dyDescent="0.3">
      <c r="A720" s="56">
        <v>6023</v>
      </c>
      <c r="B720" s="56">
        <v>2.56</v>
      </c>
      <c r="C720" s="56">
        <v>1.1599999999999999</v>
      </c>
      <c r="D720" s="56">
        <v>1.76</v>
      </c>
      <c r="E720" s="56">
        <v>1.76</v>
      </c>
      <c r="F720" s="56">
        <v>1.76</v>
      </c>
    </row>
    <row r="721" spans="1:6" x14ac:dyDescent="0.3">
      <c r="A721" s="56">
        <v>6024</v>
      </c>
      <c r="B721" s="56">
        <v>2.58</v>
      </c>
      <c r="C721" s="56">
        <v>1.18</v>
      </c>
      <c r="D721" s="56">
        <v>1.78</v>
      </c>
      <c r="E721" s="56">
        <v>1.78</v>
      </c>
      <c r="F721" s="56">
        <v>1.78</v>
      </c>
    </row>
    <row r="722" spans="1:6" x14ac:dyDescent="0.3">
      <c r="A722" s="56">
        <v>6025</v>
      </c>
      <c r="B722" s="56">
        <v>2.6</v>
      </c>
      <c r="C722" s="56">
        <v>1.2</v>
      </c>
      <c r="D722" s="56">
        <v>1.8</v>
      </c>
      <c r="E722" s="56">
        <v>1.8</v>
      </c>
      <c r="F722" s="56">
        <v>1.8</v>
      </c>
    </row>
    <row r="723" spans="1:6" x14ac:dyDescent="0.3">
      <c r="A723" s="56">
        <v>6100</v>
      </c>
      <c r="B723" s="56">
        <v>1.3</v>
      </c>
      <c r="C723" s="56">
        <v>1.3</v>
      </c>
      <c r="D723" s="56">
        <v>1</v>
      </c>
      <c r="E723" s="56">
        <v>1</v>
      </c>
      <c r="F723" s="56">
        <v>1</v>
      </c>
    </row>
    <row r="724" spans="1:6" x14ac:dyDescent="0.3">
      <c r="A724" s="56">
        <v>6101</v>
      </c>
      <c r="B724" s="56">
        <v>1.39</v>
      </c>
      <c r="C724" s="56">
        <v>1.39</v>
      </c>
      <c r="D724" s="56">
        <v>1</v>
      </c>
      <c r="E724" s="56">
        <v>1</v>
      </c>
      <c r="F724" s="56">
        <v>1</v>
      </c>
    </row>
    <row r="725" spans="1:6" x14ac:dyDescent="0.3">
      <c r="A725" s="56">
        <v>6102</v>
      </c>
      <c r="B725" s="56">
        <v>1.48</v>
      </c>
      <c r="C725" s="56">
        <v>1.48</v>
      </c>
      <c r="D725" s="56">
        <v>1</v>
      </c>
      <c r="E725" s="56">
        <v>1</v>
      </c>
      <c r="F725" s="56">
        <v>1</v>
      </c>
    </row>
    <row r="726" spans="1:6" x14ac:dyDescent="0.3">
      <c r="A726" s="56">
        <v>6103</v>
      </c>
      <c r="B726" s="56">
        <v>1.57</v>
      </c>
      <c r="C726" s="56">
        <v>1.57</v>
      </c>
      <c r="D726" s="56">
        <v>1</v>
      </c>
      <c r="E726" s="56">
        <v>1</v>
      </c>
      <c r="F726" s="56">
        <v>1</v>
      </c>
    </row>
    <row r="727" spans="1:6" x14ac:dyDescent="0.3">
      <c r="A727" s="56">
        <v>6104</v>
      </c>
      <c r="B727" s="56">
        <v>1.66</v>
      </c>
      <c r="C727" s="56">
        <v>1.66</v>
      </c>
      <c r="D727" s="56">
        <v>1</v>
      </c>
      <c r="E727" s="56">
        <v>1</v>
      </c>
      <c r="F727" s="56">
        <v>1</v>
      </c>
    </row>
    <row r="728" spans="1:6" x14ac:dyDescent="0.3">
      <c r="A728" s="56">
        <v>6105</v>
      </c>
      <c r="B728" s="56">
        <v>1.68</v>
      </c>
      <c r="C728" s="56">
        <v>1.68</v>
      </c>
      <c r="D728" s="56">
        <v>1</v>
      </c>
      <c r="E728" s="56">
        <v>1</v>
      </c>
      <c r="F728" s="56">
        <v>1</v>
      </c>
    </row>
    <row r="729" spans="1:6" x14ac:dyDescent="0.3">
      <c r="A729" s="56">
        <v>6106</v>
      </c>
      <c r="B729" s="56">
        <v>1.7</v>
      </c>
      <c r="C729" s="56">
        <v>1.7</v>
      </c>
      <c r="D729" s="56">
        <v>1</v>
      </c>
      <c r="E729" s="56">
        <v>1</v>
      </c>
      <c r="F729" s="56">
        <v>1</v>
      </c>
    </row>
    <row r="730" spans="1:6" x14ac:dyDescent="0.3">
      <c r="A730" s="56">
        <v>6107</v>
      </c>
      <c r="B730" s="56">
        <v>1.72</v>
      </c>
      <c r="C730" s="56">
        <v>1.72</v>
      </c>
      <c r="D730" s="56">
        <v>1</v>
      </c>
      <c r="E730" s="56">
        <v>1</v>
      </c>
      <c r="F730" s="56">
        <v>1</v>
      </c>
    </row>
    <row r="731" spans="1:6" x14ac:dyDescent="0.3">
      <c r="A731" s="56">
        <v>6108</v>
      </c>
      <c r="B731" s="56">
        <v>1.74</v>
      </c>
      <c r="C731" s="56">
        <v>1.74</v>
      </c>
      <c r="D731" s="56">
        <v>1</v>
      </c>
      <c r="E731" s="56">
        <v>1</v>
      </c>
      <c r="F731" s="56">
        <v>1</v>
      </c>
    </row>
    <row r="732" spans="1:6" x14ac:dyDescent="0.3">
      <c r="A732" s="56">
        <v>6109</v>
      </c>
      <c r="B732" s="56">
        <v>1.76</v>
      </c>
      <c r="C732" s="56">
        <v>1.76</v>
      </c>
      <c r="D732" s="56">
        <v>1</v>
      </c>
      <c r="E732" s="56">
        <v>1</v>
      </c>
      <c r="F732" s="56">
        <v>1</v>
      </c>
    </row>
    <row r="733" spans="1:6" x14ac:dyDescent="0.3">
      <c r="A733" s="56">
        <v>6110</v>
      </c>
      <c r="B733" s="56">
        <v>1.8</v>
      </c>
      <c r="C733" s="56">
        <v>1.8</v>
      </c>
      <c r="D733" s="56">
        <v>1</v>
      </c>
      <c r="E733" s="56">
        <v>1</v>
      </c>
      <c r="F733" s="56">
        <v>1</v>
      </c>
    </row>
    <row r="734" spans="1:6" x14ac:dyDescent="0.3">
      <c r="A734" s="56">
        <v>6200</v>
      </c>
      <c r="B734" s="56">
        <v>1.5</v>
      </c>
      <c r="C734" s="56">
        <v>0</v>
      </c>
      <c r="D734" s="56">
        <v>1</v>
      </c>
      <c r="E734" s="56">
        <v>1</v>
      </c>
      <c r="F734" s="56">
        <v>1</v>
      </c>
    </row>
    <row r="735" spans="1:6" x14ac:dyDescent="0.3">
      <c r="A735" s="56">
        <v>6201</v>
      </c>
      <c r="B735" s="56">
        <v>1.63</v>
      </c>
      <c r="C735" s="56">
        <v>0</v>
      </c>
      <c r="D735" s="56">
        <v>1</v>
      </c>
      <c r="E735" s="56">
        <v>1</v>
      </c>
      <c r="F735" s="56">
        <v>1</v>
      </c>
    </row>
    <row r="736" spans="1:6" x14ac:dyDescent="0.3">
      <c r="A736" s="56">
        <v>6202</v>
      </c>
      <c r="B736" s="56">
        <v>1.76</v>
      </c>
      <c r="C736" s="56">
        <v>0</v>
      </c>
      <c r="D736" s="56">
        <v>1</v>
      </c>
      <c r="E736" s="56">
        <v>1</v>
      </c>
      <c r="F736" s="56">
        <v>1</v>
      </c>
    </row>
    <row r="737" spans="1:6" x14ac:dyDescent="0.3">
      <c r="A737" s="56">
        <v>6203</v>
      </c>
      <c r="B737" s="56">
        <v>1.89</v>
      </c>
      <c r="C737" s="56">
        <v>0</v>
      </c>
      <c r="D737" s="56">
        <v>1</v>
      </c>
      <c r="E737" s="56">
        <v>1</v>
      </c>
      <c r="F737" s="56">
        <v>1</v>
      </c>
    </row>
    <row r="738" spans="1:6" x14ac:dyDescent="0.3">
      <c r="A738" s="56">
        <v>6204</v>
      </c>
      <c r="B738" s="56">
        <v>2.0299999999999998</v>
      </c>
      <c r="C738" s="56">
        <v>0</v>
      </c>
      <c r="D738" s="56">
        <v>1</v>
      </c>
      <c r="E738" s="56">
        <v>1</v>
      </c>
      <c r="F738" s="56">
        <v>1</v>
      </c>
    </row>
    <row r="739" spans="1:6" x14ac:dyDescent="0.3">
      <c r="A739" s="56">
        <v>6205</v>
      </c>
      <c r="B739" s="56">
        <v>2.09</v>
      </c>
      <c r="C739" s="56">
        <v>0</v>
      </c>
      <c r="D739" s="56">
        <v>1</v>
      </c>
      <c r="E739" s="56">
        <v>1</v>
      </c>
      <c r="F739" s="56">
        <v>1</v>
      </c>
    </row>
    <row r="740" spans="1:6" x14ac:dyDescent="0.3">
      <c r="A740" s="56">
        <v>6206</v>
      </c>
      <c r="B740" s="56">
        <v>2.15</v>
      </c>
      <c r="C740" s="56">
        <v>0</v>
      </c>
      <c r="D740" s="56">
        <v>1</v>
      </c>
      <c r="E740" s="56">
        <v>1</v>
      </c>
      <c r="F740" s="56">
        <v>1</v>
      </c>
    </row>
    <row r="741" spans="1:6" x14ac:dyDescent="0.3">
      <c r="A741" s="56">
        <v>6207</v>
      </c>
      <c r="B741" s="56">
        <v>2.21</v>
      </c>
      <c r="C741" s="56">
        <v>0</v>
      </c>
      <c r="D741" s="56">
        <v>1</v>
      </c>
      <c r="E741" s="56">
        <v>1</v>
      </c>
      <c r="F741" s="56">
        <v>1</v>
      </c>
    </row>
    <row r="742" spans="1:6" x14ac:dyDescent="0.3">
      <c r="A742" s="56">
        <v>6208</v>
      </c>
      <c r="B742" s="56">
        <v>2.27</v>
      </c>
      <c r="C742" s="56">
        <v>0</v>
      </c>
      <c r="D742" s="56">
        <v>1</v>
      </c>
      <c r="E742" s="56">
        <v>1</v>
      </c>
      <c r="F742" s="56">
        <v>1</v>
      </c>
    </row>
    <row r="743" spans="1:6" x14ac:dyDescent="0.3">
      <c r="A743" s="56">
        <v>6209</v>
      </c>
      <c r="B743" s="56">
        <v>2.33</v>
      </c>
      <c r="C743" s="56">
        <v>0</v>
      </c>
      <c r="D743" s="56">
        <v>1</v>
      </c>
      <c r="E743" s="56">
        <v>1</v>
      </c>
      <c r="F743" s="56">
        <v>1</v>
      </c>
    </row>
    <row r="744" spans="1:6" x14ac:dyDescent="0.3">
      <c r="A744" s="56">
        <v>6210</v>
      </c>
      <c r="B744" s="56">
        <v>2.4</v>
      </c>
      <c r="C744" s="56">
        <v>0</v>
      </c>
      <c r="D744" s="56">
        <v>1</v>
      </c>
      <c r="E744" s="56">
        <v>1</v>
      </c>
      <c r="F744" s="56">
        <v>1</v>
      </c>
    </row>
    <row r="745" spans="1:6" x14ac:dyDescent="0.3">
      <c r="A745" s="56">
        <v>6300</v>
      </c>
      <c r="B745" s="56">
        <v>0.95</v>
      </c>
      <c r="C745" s="56">
        <v>1.5</v>
      </c>
      <c r="D745" s="56">
        <v>1</v>
      </c>
      <c r="E745" s="56">
        <v>1</v>
      </c>
      <c r="F745" s="56">
        <v>1</v>
      </c>
    </row>
    <row r="746" spans="1:6" x14ac:dyDescent="0.3">
      <c r="A746" s="56">
        <v>6301</v>
      </c>
      <c r="B746" s="56">
        <v>0.98</v>
      </c>
      <c r="C746" s="56">
        <v>1.61</v>
      </c>
      <c r="D746" s="56">
        <v>1.07</v>
      </c>
      <c r="E746" s="56">
        <v>1.07</v>
      </c>
      <c r="F746" s="56">
        <v>1</v>
      </c>
    </row>
    <row r="747" spans="1:6" x14ac:dyDescent="0.3">
      <c r="A747" s="56">
        <v>6302</v>
      </c>
      <c r="B747" s="56">
        <v>1.01</v>
      </c>
      <c r="C747" s="56">
        <v>1.72</v>
      </c>
      <c r="D747" s="56">
        <v>1.1399999999999999</v>
      </c>
      <c r="E747" s="56">
        <v>1.1399999999999999</v>
      </c>
      <c r="F747" s="56">
        <v>1</v>
      </c>
    </row>
    <row r="748" spans="1:6" x14ac:dyDescent="0.3">
      <c r="A748" s="56">
        <v>6303</v>
      </c>
      <c r="B748" s="56">
        <v>1.04</v>
      </c>
      <c r="C748" s="56">
        <v>1.83</v>
      </c>
      <c r="D748" s="56">
        <v>1.21</v>
      </c>
      <c r="E748" s="56">
        <v>1.21</v>
      </c>
      <c r="F748" s="56">
        <v>1</v>
      </c>
    </row>
    <row r="749" spans="1:6" x14ac:dyDescent="0.3">
      <c r="A749" s="56">
        <v>6304</v>
      </c>
      <c r="B749" s="56">
        <v>1.06</v>
      </c>
      <c r="C749" s="56">
        <v>1.93</v>
      </c>
      <c r="D749" s="56">
        <v>1.29</v>
      </c>
      <c r="E749" s="56">
        <v>1.29</v>
      </c>
      <c r="F749" s="56">
        <v>1</v>
      </c>
    </row>
    <row r="750" spans="1:6" x14ac:dyDescent="0.3">
      <c r="A750" s="56">
        <v>6305</v>
      </c>
      <c r="B750" s="56">
        <v>1.07</v>
      </c>
      <c r="C750" s="56">
        <v>1.96</v>
      </c>
      <c r="D750" s="56">
        <v>1.31</v>
      </c>
      <c r="E750" s="56">
        <v>1.31</v>
      </c>
      <c r="F750" s="56">
        <v>1</v>
      </c>
    </row>
    <row r="751" spans="1:6" x14ac:dyDescent="0.3">
      <c r="A751" s="56">
        <v>6306</v>
      </c>
      <c r="B751" s="56">
        <v>1.08</v>
      </c>
      <c r="C751" s="56">
        <v>1.99</v>
      </c>
      <c r="D751" s="56">
        <v>1.33</v>
      </c>
      <c r="E751" s="56">
        <v>1.33</v>
      </c>
      <c r="F751" s="56">
        <v>1</v>
      </c>
    </row>
    <row r="752" spans="1:6" x14ac:dyDescent="0.3">
      <c r="A752" s="56">
        <v>6307</v>
      </c>
      <c r="B752" s="56">
        <v>1.0900000000000001</v>
      </c>
      <c r="C752" s="56">
        <v>2.02</v>
      </c>
      <c r="D752" s="56">
        <v>1.35</v>
      </c>
      <c r="E752" s="56">
        <v>1.35</v>
      </c>
      <c r="F752" s="56">
        <v>1</v>
      </c>
    </row>
    <row r="753" spans="1:6" x14ac:dyDescent="0.3">
      <c r="A753" s="56">
        <v>6308</v>
      </c>
      <c r="B753" s="56">
        <v>1.1000000000000001</v>
      </c>
      <c r="C753" s="56">
        <v>2.0499999999999998</v>
      </c>
      <c r="D753" s="56">
        <v>1.37</v>
      </c>
      <c r="E753" s="56">
        <v>1.37</v>
      </c>
      <c r="F753" s="56">
        <v>1</v>
      </c>
    </row>
    <row r="754" spans="1:6" x14ac:dyDescent="0.3">
      <c r="A754" s="56">
        <v>6309</v>
      </c>
      <c r="B754" s="56">
        <v>1.1100000000000001</v>
      </c>
      <c r="C754" s="56">
        <v>2.08</v>
      </c>
      <c r="D754" s="56">
        <v>1.39</v>
      </c>
      <c r="E754" s="56">
        <v>1.39</v>
      </c>
      <c r="F754" s="56">
        <v>1</v>
      </c>
    </row>
    <row r="755" spans="1:6" x14ac:dyDescent="0.3">
      <c r="A755" s="56">
        <v>6310</v>
      </c>
      <c r="B755" s="56">
        <v>1.1000000000000001</v>
      </c>
      <c r="C755" s="56">
        <v>2.1</v>
      </c>
      <c r="D755" s="56">
        <v>1.4</v>
      </c>
      <c r="E755" s="56">
        <v>1.4</v>
      </c>
      <c r="F755" s="56">
        <v>1</v>
      </c>
    </row>
    <row r="756" spans="1:6" x14ac:dyDescent="0.3">
      <c r="A756" s="56">
        <v>7000</v>
      </c>
      <c r="B756" s="56">
        <v>1.6</v>
      </c>
      <c r="C756" s="56">
        <v>0</v>
      </c>
      <c r="D756" s="56">
        <v>1</v>
      </c>
      <c r="E756" s="56">
        <v>1</v>
      </c>
      <c r="F756" s="56">
        <v>1</v>
      </c>
    </row>
    <row r="757" spans="1:6" x14ac:dyDescent="0.3">
      <c r="A757" s="56">
        <v>7001</v>
      </c>
      <c r="B757" s="56">
        <v>1.66</v>
      </c>
      <c r="C757" s="56">
        <v>0</v>
      </c>
      <c r="D757" s="56">
        <v>1.05</v>
      </c>
      <c r="E757" s="56">
        <v>1.05</v>
      </c>
      <c r="F757" s="56">
        <v>1</v>
      </c>
    </row>
    <row r="758" spans="1:6" x14ac:dyDescent="0.3">
      <c r="A758" s="56">
        <v>7002</v>
      </c>
      <c r="B758" s="56">
        <v>1.72</v>
      </c>
      <c r="C758" s="56">
        <v>0</v>
      </c>
      <c r="D758" s="56">
        <v>1.1000000000000001</v>
      </c>
      <c r="E758" s="56">
        <v>1.1000000000000001</v>
      </c>
      <c r="F758" s="56">
        <v>1</v>
      </c>
    </row>
    <row r="759" spans="1:6" x14ac:dyDescent="0.3">
      <c r="A759" s="56">
        <v>7003</v>
      </c>
      <c r="B759" s="56">
        <v>1.78</v>
      </c>
      <c r="C759" s="56">
        <v>0</v>
      </c>
      <c r="D759" s="56">
        <v>1.1499999999999999</v>
      </c>
      <c r="E759" s="56">
        <v>1.1499999999999999</v>
      </c>
      <c r="F759" s="56">
        <v>1</v>
      </c>
    </row>
    <row r="760" spans="1:6" x14ac:dyDescent="0.3">
      <c r="A760" s="56">
        <v>7004</v>
      </c>
      <c r="B760" s="56">
        <v>1.85</v>
      </c>
      <c r="C760" s="56">
        <v>0</v>
      </c>
      <c r="D760" s="56">
        <v>1.2</v>
      </c>
      <c r="E760" s="56">
        <v>1.2</v>
      </c>
      <c r="F760" s="56">
        <v>1</v>
      </c>
    </row>
    <row r="761" spans="1:6" x14ac:dyDescent="0.3">
      <c r="A761" s="56">
        <v>7005</v>
      </c>
      <c r="B761" s="56">
        <v>1.89</v>
      </c>
      <c r="C761" s="56">
        <v>0</v>
      </c>
      <c r="D761" s="56">
        <v>1.23</v>
      </c>
      <c r="E761" s="56">
        <v>1.23</v>
      </c>
      <c r="F761" s="56">
        <v>1</v>
      </c>
    </row>
    <row r="762" spans="1:6" x14ac:dyDescent="0.3">
      <c r="A762" s="56">
        <v>7006</v>
      </c>
      <c r="B762" s="56">
        <v>1.93</v>
      </c>
      <c r="C762" s="56">
        <v>0</v>
      </c>
      <c r="D762" s="56">
        <v>1.26</v>
      </c>
      <c r="E762" s="56">
        <v>1.26</v>
      </c>
      <c r="F762" s="56">
        <v>1</v>
      </c>
    </row>
    <row r="763" spans="1:6" x14ac:dyDescent="0.3">
      <c r="A763" s="56">
        <v>7007</v>
      </c>
      <c r="B763" s="56">
        <v>1.97</v>
      </c>
      <c r="C763" s="56">
        <v>0</v>
      </c>
      <c r="D763" s="56">
        <v>1.29</v>
      </c>
      <c r="E763" s="56">
        <v>1.29</v>
      </c>
      <c r="F763" s="56">
        <v>1</v>
      </c>
    </row>
    <row r="764" spans="1:6" x14ac:dyDescent="0.3">
      <c r="A764" s="56">
        <v>7008</v>
      </c>
      <c r="B764" s="56">
        <v>2.0099999999999998</v>
      </c>
      <c r="C764" s="56">
        <v>0</v>
      </c>
      <c r="D764" s="56">
        <v>1.32</v>
      </c>
      <c r="E764" s="56">
        <v>1.32</v>
      </c>
      <c r="F764" s="56">
        <v>1</v>
      </c>
    </row>
    <row r="765" spans="1:6" x14ac:dyDescent="0.3">
      <c r="A765" s="56">
        <v>7009</v>
      </c>
      <c r="B765" s="56">
        <v>2.0499999999999998</v>
      </c>
      <c r="C765" s="56">
        <v>0</v>
      </c>
      <c r="D765" s="56">
        <v>1.35</v>
      </c>
      <c r="E765" s="56">
        <v>1.35</v>
      </c>
      <c r="F765" s="56">
        <v>1</v>
      </c>
    </row>
    <row r="766" spans="1:6" x14ac:dyDescent="0.3">
      <c r="A766" s="56">
        <v>7010</v>
      </c>
      <c r="B766" s="56">
        <v>2.1</v>
      </c>
      <c r="C766" s="56">
        <v>0</v>
      </c>
      <c r="D766" s="56">
        <v>1.4</v>
      </c>
      <c r="E766" s="56">
        <v>1.4</v>
      </c>
      <c r="F766" s="56">
        <v>1</v>
      </c>
    </row>
    <row r="767" spans="1:6" x14ac:dyDescent="0.3">
      <c r="A767" s="56">
        <v>8000</v>
      </c>
      <c r="B767" s="56">
        <v>1</v>
      </c>
      <c r="C767" s="56">
        <v>1</v>
      </c>
      <c r="D767" s="56">
        <v>1</v>
      </c>
      <c r="E767" s="56">
        <v>1</v>
      </c>
      <c r="F767" s="56">
        <v>1</v>
      </c>
    </row>
    <row r="768" spans="1:6" x14ac:dyDescent="0.3">
      <c r="A768" s="56">
        <v>8001</v>
      </c>
      <c r="B768" s="56">
        <v>1.04</v>
      </c>
      <c r="C768" s="56">
        <v>1.04</v>
      </c>
      <c r="D768" s="56">
        <v>1.04</v>
      </c>
      <c r="E768" s="56">
        <v>1.04</v>
      </c>
      <c r="F768" s="56">
        <v>1.04</v>
      </c>
    </row>
    <row r="769" spans="1:6" x14ac:dyDescent="0.3">
      <c r="A769" s="56">
        <v>8002</v>
      </c>
      <c r="B769" s="56">
        <v>1.08</v>
      </c>
      <c r="C769" s="56">
        <v>1.08</v>
      </c>
      <c r="D769" s="56">
        <v>1.08</v>
      </c>
      <c r="E769" s="56">
        <v>1.08</v>
      </c>
      <c r="F769" s="56">
        <v>1.08</v>
      </c>
    </row>
    <row r="770" spans="1:6" x14ac:dyDescent="0.3">
      <c r="A770" s="56">
        <v>8003</v>
      </c>
      <c r="B770" s="56">
        <v>1.1200000000000001</v>
      </c>
      <c r="C770" s="56">
        <v>1.1200000000000001</v>
      </c>
      <c r="D770" s="56">
        <v>1.1200000000000001</v>
      </c>
      <c r="E770" s="56">
        <v>1.1200000000000001</v>
      </c>
      <c r="F770" s="56">
        <v>1.1200000000000001</v>
      </c>
    </row>
    <row r="771" spans="1:6" x14ac:dyDescent="0.3">
      <c r="A771" s="56">
        <v>8004</v>
      </c>
      <c r="B771" s="56">
        <v>1.1599999999999999</v>
      </c>
      <c r="C771" s="56">
        <v>1.1599999999999999</v>
      </c>
      <c r="D771" s="56">
        <v>1.1599999999999999</v>
      </c>
      <c r="E771" s="56">
        <v>1.1599999999999999</v>
      </c>
      <c r="F771" s="56">
        <v>1.1599999999999999</v>
      </c>
    </row>
    <row r="772" spans="1:6" x14ac:dyDescent="0.3">
      <c r="A772" s="56">
        <v>8005</v>
      </c>
      <c r="B772" s="56">
        <v>1.2</v>
      </c>
      <c r="C772" s="56">
        <v>1.2</v>
      </c>
      <c r="D772" s="56">
        <v>1.2</v>
      </c>
      <c r="E772" s="56">
        <v>1.2</v>
      </c>
      <c r="F772" s="56">
        <v>1.2</v>
      </c>
    </row>
    <row r="773" spans="1:6" x14ac:dyDescent="0.3">
      <c r="A773" s="56">
        <v>8006</v>
      </c>
      <c r="B773" s="56">
        <v>1.24</v>
      </c>
      <c r="C773" s="56">
        <v>1.24</v>
      </c>
      <c r="D773" s="56">
        <v>1.24</v>
      </c>
      <c r="E773" s="56">
        <v>1.24</v>
      </c>
      <c r="F773" s="56">
        <v>1.24</v>
      </c>
    </row>
    <row r="774" spans="1:6" x14ac:dyDescent="0.3">
      <c r="A774" s="56">
        <v>8007</v>
      </c>
      <c r="B774" s="56">
        <v>1.28</v>
      </c>
      <c r="C774" s="56">
        <v>1.28</v>
      </c>
      <c r="D774" s="56">
        <v>1.28</v>
      </c>
      <c r="E774" s="56">
        <v>1.28</v>
      </c>
      <c r="F774" s="56">
        <v>1.28</v>
      </c>
    </row>
    <row r="775" spans="1:6" x14ac:dyDescent="0.3">
      <c r="A775" s="56">
        <v>8008</v>
      </c>
      <c r="B775" s="56">
        <v>1.32</v>
      </c>
      <c r="C775" s="56">
        <v>1.32</v>
      </c>
      <c r="D775" s="56">
        <v>1.32</v>
      </c>
      <c r="E775" s="56">
        <v>1.32</v>
      </c>
      <c r="F775" s="56">
        <v>1.32</v>
      </c>
    </row>
    <row r="776" spans="1:6" x14ac:dyDescent="0.3">
      <c r="A776" s="56">
        <v>8009</v>
      </c>
      <c r="B776" s="56">
        <v>1.36</v>
      </c>
      <c r="C776" s="56">
        <v>1.36</v>
      </c>
      <c r="D776" s="56">
        <v>1.36</v>
      </c>
      <c r="E776" s="56">
        <v>1.36</v>
      </c>
      <c r="F776" s="56">
        <v>1.36</v>
      </c>
    </row>
    <row r="777" spans="1:6" x14ac:dyDescent="0.3">
      <c r="A777" s="56">
        <v>8010</v>
      </c>
      <c r="B777" s="56">
        <v>1.4</v>
      </c>
      <c r="C777" s="56">
        <v>1.4</v>
      </c>
      <c r="D777" s="56">
        <v>1.4</v>
      </c>
      <c r="E777" s="56">
        <v>1.4</v>
      </c>
      <c r="F777" s="56">
        <v>1.4</v>
      </c>
    </row>
    <row r="778" spans="1:6" x14ac:dyDescent="0.3">
      <c r="A778" s="56">
        <v>8011</v>
      </c>
      <c r="B778" s="56">
        <v>1.43</v>
      </c>
      <c r="C778" s="56">
        <v>1.43</v>
      </c>
      <c r="D778" s="56">
        <v>1.43</v>
      </c>
      <c r="E778" s="56">
        <v>1.43</v>
      </c>
      <c r="F778" s="56">
        <v>1.43</v>
      </c>
    </row>
    <row r="779" spans="1:6" x14ac:dyDescent="0.3">
      <c r="A779" s="56">
        <v>8012</v>
      </c>
      <c r="B779" s="56">
        <v>1.46</v>
      </c>
      <c r="C779" s="56">
        <v>1.46</v>
      </c>
      <c r="D779" s="56">
        <v>1.46</v>
      </c>
      <c r="E779" s="56">
        <v>1.46</v>
      </c>
      <c r="F779" s="56">
        <v>1.46</v>
      </c>
    </row>
    <row r="780" spans="1:6" x14ac:dyDescent="0.3">
      <c r="A780" s="56">
        <v>8013</v>
      </c>
      <c r="B780" s="56">
        <v>1.49</v>
      </c>
      <c r="C780" s="56">
        <v>1.49</v>
      </c>
      <c r="D780" s="56">
        <v>1.49</v>
      </c>
      <c r="E780" s="56">
        <v>1.49</v>
      </c>
      <c r="F780" s="56">
        <v>1.49</v>
      </c>
    </row>
    <row r="781" spans="1:6" x14ac:dyDescent="0.3">
      <c r="A781" s="56">
        <v>8014</v>
      </c>
      <c r="B781" s="56">
        <v>1.52</v>
      </c>
      <c r="C781" s="56">
        <v>1.52</v>
      </c>
      <c r="D781" s="56">
        <v>1.52</v>
      </c>
      <c r="E781" s="56">
        <v>1.52</v>
      </c>
      <c r="F781" s="56">
        <v>1.52</v>
      </c>
    </row>
    <row r="782" spans="1:6" x14ac:dyDescent="0.3">
      <c r="A782" s="56">
        <v>8015</v>
      </c>
      <c r="B782" s="56">
        <v>1.55</v>
      </c>
      <c r="C782" s="56">
        <v>1.55</v>
      </c>
      <c r="D782" s="56">
        <v>1.55</v>
      </c>
      <c r="E782" s="56">
        <v>1.55</v>
      </c>
      <c r="F782" s="56">
        <v>1.55</v>
      </c>
    </row>
    <row r="783" spans="1:6" x14ac:dyDescent="0.3">
      <c r="A783" s="56">
        <v>8016</v>
      </c>
      <c r="B783" s="56">
        <v>1.58</v>
      </c>
      <c r="C783" s="56">
        <v>1.58</v>
      </c>
      <c r="D783" s="56">
        <v>1.58</v>
      </c>
      <c r="E783" s="56">
        <v>1.58</v>
      </c>
      <c r="F783" s="56">
        <v>1.58</v>
      </c>
    </row>
    <row r="784" spans="1:6" x14ac:dyDescent="0.3">
      <c r="A784" s="56">
        <v>8017</v>
      </c>
      <c r="B784" s="56">
        <v>1.61</v>
      </c>
      <c r="C784" s="56">
        <v>1.61</v>
      </c>
      <c r="D784" s="56">
        <v>1.61</v>
      </c>
      <c r="E784" s="56">
        <v>1.61</v>
      </c>
      <c r="F784" s="56">
        <v>1.61</v>
      </c>
    </row>
    <row r="785" spans="1:6" x14ac:dyDescent="0.3">
      <c r="A785" s="56">
        <v>8018</v>
      </c>
      <c r="B785" s="56">
        <v>1.64</v>
      </c>
      <c r="C785" s="56">
        <v>1.64</v>
      </c>
      <c r="D785" s="56">
        <v>1.64</v>
      </c>
      <c r="E785" s="56">
        <v>1.64</v>
      </c>
      <c r="F785" s="56">
        <v>1.64</v>
      </c>
    </row>
    <row r="786" spans="1:6" x14ac:dyDescent="0.3">
      <c r="A786" s="56">
        <v>8019</v>
      </c>
      <c r="B786" s="56">
        <v>1.67</v>
      </c>
      <c r="C786" s="56">
        <v>1.67</v>
      </c>
      <c r="D786" s="56">
        <v>1.67</v>
      </c>
      <c r="E786" s="56">
        <v>1.67</v>
      </c>
      <c r="F786" s="56">
        <v>1.67</v>
      </c>
    </row>
    <row r="787" spans="1:6" x14ac:dyDescent="0.3">
      <c r="A787" s="56">
        <v>8020</v>
      </c>
      <c r="B787" s="56">
        <v>1.7</v>
      </c>
      <c r="C787" s="56">
        <v>1.7</v>
      </c>
      <c r="D787" s="56">
        <v>1.7</v>
      </c>
      <c r="E787" s="56">
        <v>1.7</v>
      </c>
      <c r="F787" s="56">
        <v>1.7</v>
      </c>
    </row>
    <row r="788" spans="1:6" x14ac:dyDescent="0.3">
      <c r="A788" s="56">
        <v>8021</v>
      </c>
      <c r="B788" s="56">
        <v>1.72</v>
      </c>
      <c r="C788" s="56">
        <v>1.72</v>
      </c>
      <c r="D788" s="56">
        <v>1.72</v>
      </c>
      <c r="E788" s="56">
        <v>1.72</v>
      </c>
      <c r="F788" s="56">
        <v>1.72</v>
      </c>
    </row>
    <row r="789" spans="1:6" x14ac:dyDescent="0.3">
      <c r="A789" s="56">
        <v>8022</v>
      </c>
      <c r="B789" s="56">
        <v>1.74</v>
      </c>
      <c r="C789" s="56">
        <v>1.74</v>
      </c>
      <c r="D789" s="56">
        <v>1.74</v>
      </c>
      <c r="E789" s="56">
        <v>1.74</v>
      </c>
      <c r="F789" s="56">
        <v>1.74</v>
      </c>
    </row>
    <row r="790" spans="1:6" x14ac:dyDescent="0.3">
      <c r="A790" s="56">
        <v>8023</v>
      </c>
      <c r="B790" s="56">
        <v>1.76</v>
      </c>
      <c r="C790" s="56">
        <v>1.76</v>
      </c>
      <c r="D790" s="56">
        <v>1.76</v>
      </c>
      <c r="E790" s="56">
        <v>1.76</v>
      </c>
      <c r="F790" s="56">
        <v>1.76</v>
      </c>
    </row>
    <row r="791" spans="1:6" x14ac:dyDescent="0.3">
      <c r="A791" s="56">
        <v>8024</v>
      </c>
      <c r="B791" s="56">
        <v>1.78</v>
      </c>
      <c r="C791" s="56">
        <v>1.78</v>
      </c>
      <c r="D791" s="56">
        <v>1.78</v>
      </c>
      <c r="E791" s="56">
        <v>1.78</v>
      </c>
      <c r="F791" s="56">
        <v>1.78</v>
      </c>
    </row>
    <row r="792" spans="1:6" x14ac:dyDescent="0.3">
      <c r="A792" s="56">
        <v>8025</v>
      </c>
      <c r="B792" s="56">
        <v>1.8</v>
      </c>
      <c r="C792" s="56">
        <v>1.8</v>
      </c>
      <c r="D792" s="56">
        <v>1.8</v>
      </c>
      <c r="E792" s="56">
        <v>1.8</v>
      </c>
      <c r="F792" s="56">
        <v>1.8</v>
      </c>
    </row>
    <row r="793" spans="1:6" x14ac:dyDescent="0.3">
      <c r="A793" s="56">
        <v>8100</v>
      </c>
      <c r="B793" s="56">
        <v>1</v>
      </c>
      <c r="C793" s="56">
        <v>1</v>
      </c>
      <c r="D793" s="56">
        <v>1</v>
      </c>
      <c r="E793" s="56">
        <v>1</v>
      </c>
      <c r="F793" s="56">
        <v>1</v>
      </c>
    </row>
    <row r="794" spans="1:6" x14ac:dyDescent="0.3">
      <c r="A794" s="56">
        <v>8101</v>
      </c>
      <c r="B794" s="56">
        <v>1.04</v>
      </c>
      <c r="C794" s="56">
        <v>1.04</v>
      </c>
      <c r="D794" s="56">
        <v>1.04</v>
      </c>
      <c r="E794" s="56">
        <v>1.04</v>
      </c>
      <c r="F794" s="56">
        <v>1.04</v>
      </c>
    </row>
    <row r="795" spans="1:6" x14ac:dyDescent="0.3">
      <c r="A795" s="56">
        <v>8102</v>
      </c>
      <c r="B795" s="56">
        <v>1.08</v>
      </c>
      <c r="C795" s="56">
        <v>1.08</v>
      </c>
      <c r="D795" s="56">
        <v>1.08</v>
      </c>
      <c r="E795" s="56">
        <v>1.08</v>
      </c>
      <c r="F795" s="56">
        <v>1.08</v>
      </c>
    </row>
    <row r="796" spans="1:6" x14ac:dyDescent="0.3">
      <c r="A796" s="56">
        <v>8103</v>
      </c>
      <c r="B796" s="56">
        <v>1.1200000000000001</v>
      </c>
      <c r="C796" s="56">
        <v>1.1200000000000001</v>
      </c>
      <c r="D796" s="56">
        <v>1.1200000000000001</v>
      </c>
      <c r="E796" s="56">
        <v>1.1200000000000001</v>
      </c>
      <c r="F796" s="56">
        <v>1.1200000000000001</v>
      </c>
    </row>
    <row r="797" spans="1:6" x14ac:dyDescent="0.3">
      <c r="A797" s="56">
        <v>8104</v>
      </c>
      <c r="B797" s="56">
        <v>1.1599999999999999</v>
      </c>
      <c r="C797" s="56">
        <v>1.1599999999999999</v>
      </c>
      <c r="D797" s="56">
        <v>1.1599999999999999</v>
      </c>
      <c r="E797" s="56">
        <v>1.1599999999999999</v>
      </c>
      <c r="F797" s="56">
        <v>1.1599999999999999</v>
      </c>
    </row>
    <row r="798" spans="1:6" x14ac:dyDescent="0.3">
      <c r="A798" s="56">
        <v>8105</v>
      </c>
      <c r="B798" s="56">
        <v>1.2</v>
      </c>
      <c r="C798" s="56">
        <v>1.2</v>
      </c>
      <c r="D798" s="56">
        <v>1.2</v>
      </c>
      <c r="E798" s="56">
        <v>1.2</v>
      </c>
      <c r="F798" s="56">
        <v>1.2</v>
      </c>
    </row>
    <row r="799" spans="1:6" x14ac:dyDescent="0.3">
      <c r="A799" s="56">
        <v>8106</v>
      </c>
      <c r="B799" s="56">
        <v>1.24</v>
      </c>
      <c r="C799" s="56">
        <v>1.24</v>
      </c>
      <c r="D799" s="56">
        <v>1.24</v>
      </c>
      <c r="E799" s="56">
        <v>1.24</v>
      </c>
      <c r="F799" s="56">
        <v>1.24</v>
      </c>
    </row>
    <row r="800" spans="1:6" x14ac:dyDescent="0.3">
      <c r="A800" s="56">
        <v>8107</v>
      </c>
      <c r="B800" s="56">
        <v>1.28</v>
      </c>
      <c r="C800" s="56">
        <v>1.28</v>
      </c>
      <c r="D800" s="56">
        <v>1.28</v>
      </c>
      <c r="E800" s="56">
        <v>1.28</v>
      </c>
      <c r="F800" s="56">
        <v>1.28</v>
      </c>
    </row>
    <row r="801" spans="1:6" x14ac:dyDescent="0.3">
      <c r="A801" s="56">
        <v>8108</v>
      </c>
      <c r="B801" s="56">
        <v>1.32</v>
      </c>
      <c r="C801" s="56">
        <v>1.32</v>
      </c>
      <c r="D801" s="56">
        <v>1.32</v>
      </c>
      <c r="E801" s="56">
        <v>1.32</v>
      </c>
      <c r="F801" s="56">
        <v>1.32</v>
      </c>
    </row>
    <row r="802" spans="1:6" x14ac:dyDescent="0.3">
      <c r="A802" s="56">
        <v>8109</v>
      </c>
      <c r="B802" s="56">
        <v>1.36</v>
      </c>
      <c r="C802" s="56">
        <v>1.36</v>
      </c>
      <c r="D802" s="56">
        <v>1.36</v>
      </c>
      <c r="E802" s="56">
        <v>1.36</v>
      </c>
      <c r="F802" s="56">
        <v>1.36</v>
      </c>
    </row>
    <row r="803" spans="1:6" x14ac:dyDescent="0.3">
      <c r="A803" s="56">
        <v>8110</v>
      </c>
      <c r="B803" s="56">
        <v>1.4</v>
      </c>
      <c r="C803" s="56">
        <v>1.4</v>
      </c>
      <c r="D803" s="56">
        <v>1.4</v>
      </c>
      <c r="E803" s="56">
        <v>1.4</v>
      </c>
      <c r="F803" s="56">
        <v>1.4</v>
      </c>
    </row>
    <row r="804" spans="1:6" x14ac:dyDescent="0.3">
      <c r="A804" s="56">
        <v>8111</v>
      </c>
      <c r="B804" s="56">
        <v>1.43</v>
      </c>
      <c r="C804" s="56">
        <v>1.43</v>
      </c>
      <c r="D804" s="56">
        <v>1.43</v>
      </c>
      <c r="E804" s="56">
        <v>1.43</v>
      </c>
      <c r="F804" s="56">
        <v>1.43</v>
      </c>
    </row>
    <row r="805" spans="1:6" x14ac:dyDescent="0.3">
      <c r="A805" s="56">
        <v>8112</v>
      </c>
      <c r="B805" s="56">
        <v>1.46</v>
      </c>
      <c r="C805" s="56">
        <v>1.46</v>
      </c>
      <c r="D805" s="56">
        <v>1.46</v>
      </c>
      <c r="E805" s="56">
        <v>1.46</v>
      </c>
      <c r="F805" s="56">
        <v>1.46</v>
      </c>
    </row>
    <row r="806" spans="1:6" x14ac:dyDescent="0.3">
      <c r="A806" s="56">
        <v>8113</v>
      </c>
      <c r="B806" s="56">
        <v>1.49</v>
      </c>
      <c r="C806" s="56">
        <v>1.49</v>
      </c>
      <c r="D806" s="56">
        <v>1.49</v>
      </c>
      <c r="E806" s="56">
        <v>1.49</v>
      </c>
      <c r="F806" s="56">
        <v>1.49</v>
      </c>
    </row>
    <row r="807" spans="1:6" x14ac:dyDescent="0.3">
      <c r="A807" s="56">
        <v>8114</v>
      </c>
      <c r="B807" s="56">
        <v>1.52</v>
      </c>
      <c r="C807" s="56">
        <v>1.52</v>
      </c>
      <c r="D807" s="56">
        <v>1.52</v>
      </c>
      <c r="E807" s="56">
        <v>1.52</v>
      </c>
      <c r="F807" s="56">
        <v>1.52</v>
      </c>
    </row>
    <row r="808" spans="1:6" x14ac:dyDescent="0.3">
      <c r="A808" s="56">
        <v>8115</v>
      </c>
      <c r="B808" s="56">
        <v>1.55</v>
      </c>
      <c r="C808" s="56">
        <v>1.55</v>
      </c>
      <c r="D808" s="56">
        <v>1.55</v>
      </c>
      <c r="E808" s="56">
        <v>1.55</v>
      </c>
      <c r="F808" s="56">
        <v>1.55</v>
      </c>
    </row>
    <row r="809" spans="1:6" x14ac:dyDescent="0.3">
      <c r="A809" s="56">
        <v>8116</v>
      </c>
      <c r="B809" s="56">
        <v>1.58</v>
      </c>
      <c r="C809" s="56">
        <v>1.58</v>
      </c>
      <c r="D809" s="56">
        <v>1.58</v>
      </c>
      <c r="E809" s="56">
        <v>1.58</v>
      </c>
      <c r="F809" s="56">
        <v>1.58</v>
      </c>
    </row>
    <row r="810" spans="1:6" x14ac:dyDescent="0.3">
      <c r="A810" s="56">
        <v>8117</v>
      </c>
      <c r="B810" s="56">
        <v>1.61</v>
      </c>
      <c r="C810" s="56">
        <v>1.61</v>
      </c>
      <c r="D810" s="56">
        <v>1.61</v>
      </c>
      <c r="E810" s="56">
        <v>1.61</v>
      </c>
      <c r="F810" s="56">
        <v>1.61</v>
      </c>
    </row>
    <row r="811" spans="1:6" x14ac:dyDescent="0.3">
      <c r="A811" s="56">
        <v>8118</v>
      </c>
      <c r="B811" s="56">
        <v>1.64</v>
      </c>
      <c r="C811" s="56">
        <v>1.64</v>
      </c>
      <c r="D811" s="56">
        <v>1.64</v>
      </c>
      <c r="E811" s="56">
        <v>1.64</v>
      </c>
      <c r="F811" s="56">
        <v>1.64</v>
      </c>
    </row>
    <row r="812" spans="1:6" x14ac:dyDescent="0.3">
      <c r="A812" s="56">
        <v>8119</v>
      </c>
      <c r="B812" s="56">
        <v>1.67</v>
      </c>
      <c r="C812" s="56">
        <v>1.67</v>
      </c>
      <c r="D812" s="56">
        <v>1.67</v>
      </c>
      <c r="E812" s="56">
        <v>1.67</v>
      </c>
      <c r="F812" s="56">
        <v>1.67</v>
      </c>
    </row>
    <row r="813" spans="1:6" x14ac:dyDescent="0.3">
      <c r="A813" s="56">
        <v>8120</v>
      </c>
      <c r="B813" s="56">
        <v>1.7</v>
      </c>
      <c r="C813" s="56">
        <v>1.7</v>
      </c>
      <c r="D813" s="56">
        <v>1.7</v>
      </c>
      <c r="E813" s="56">
        <v>1.7</v>
      </c>
      <c r="F813" s="56">
        <v>1.7</v>
      </c>
    </row>
    <row r="814" spans="1:6" x14ac:dyDescent="0.3">
      <c r="A814" s="56">
        <v>8121</v>
      </c>
      <c r="B814" s="56">
        <v>1.72</v>
      </c>
      <c r="C814" s="56">
        <v>1.72</v>
      </c>
      <c r="D814" s="56">
        <v>1.72</v>
      </c>
      <c r="E814" s="56">
        <v>1.72</v>
      </c>
      <c r="F814" s="56">
        <v>1.72</v>
      </c>
    </row>
    <row r="815" spans="1:6" x14ac:dyDescent="0.3">
      <c r="A815" s="56">
        <v>8122</v>
      </c>
      <c r="B815" s="56">
        <v>1.74</v>
      </c>
      <c r="C815" s="56">
        <v>1.74</v>
      </c>
      <c r="D815" s="56">
        <v>1.74</v>
      </c>
      <c r="E815" s="56">
        <v>1.74</v>
      </c>
      <c r="F815" s="56">
        <v>1.74</v>
      </c>
    </row>
    <row r="816" spans="1:6" x14ac:dyDescent="0.3">
      <c r="A816" s="56">
        <v>8123</v>
      </c>
      <c r="B816" s="56">
        <v>1.76</v>
      </c>
      <c r="C816" s="56">
        <v>1.76</v>
      </c>
      <c r="D816" s="56">
        <v>1.76</v>
      </c>
      <c r="E816" s="56">
        <v>1.76</v>
      </c>
      <c r="F816" s="56">
        <v>1.76</v>
      </c>
    </row>
    <row r="817" spans="1:6" x14ac:dyDescent="0.3">
      <c r="A817" s="56">
        <v>8124</v>
      </c>
      <c r="B817" s="56">
        <v>1.78</v>
      </c>
      <c r="C817" s="56">
        <v>1.78</v>
      </c>
      <c r="D817" s="56">
        <v>1.78</v>
      </c>
      <c r="E817" s="56">
        <v>1.78</v>
      </c>
      <c r="F817" s="56">
        <v>1.78</v>
      </c>
    </row>
    <row r="818" spans="1:6" x14ac:dyDescent="0.3">
      <c r="A818" s="56">
        <v>8125</v>
      </c>
      <c r="B818" s="56">
        <v>1.8</v>
      </c>
      <c r="C818" s="56">
        <v>1.8</v>
      </c>
      <c r="D818" s="56">
        <v>1.8</v>
      </c>
      <c r="E818" s="56">
        <v>1.8</v>
      </c>
      <c r="F818" s="56">
        <v>1.8</v>
      </c>
    </row>
    <row r="819" spans="1:6" x14ac:dyDescent="0.3">
      <c r="A819" s="56">
        <v>8200</v>
      </c>
      <c r="B819" s="56">
        <v>1</v>
      </c>
      <c r="C819" s="56">
        <v>1</v>
      </c>
      <c r="D819" s="56">
        <v>1</v>
      </c>
      <c r="E819" s="56">
        <v>1</v>
      </c>
      <c r="F819" s="56">
        <v>1</v>
      </c>
    </row>
    <row r="820" spans="1:6" x14ac:dyDescent="0.3">
      <c r="A820" s="56">
        <v>8201</v>
      </c>
      <c r="B820" s="56">
        <v>1.04</v>
      </c>
      <c r="C820" s="56">
        <v>1.04</v>
      </c>
      <c r="D820" s="56">
        <v>1.04</v>
      </c>
      <c r="E820" s="56">
        <v>1.04</v>
      </c>
      <c r="F820" s="56">
        <v>1.04</v>
      </c>
    </row>
    <row r="821" spans="1:6" x14ac:dyDescent="0.3">
      <c r="A821" s="56">
        <v>8202</v>
      </c>
      <c r="B821" s="56">
        <v>1.08</v>
      </c>
      <c r="C821" s="56">
        <v>1.08</v>
      </c>
      <c r="D821" s="56">
        <v>1.08</v>
      </c>
      <c r="E821" s="56">
        <v>1.08</v>
      </c>
      <c r="F821" s="56">
        <v>1.08</v>
      </c>
    </row>
    <row r="822" spans="1:6" x14ac:dyDescent="0.3">
      <c r="A822" s="56">
        <v>8203</v>
      </c>
      <c r="B822" s="56">
        <v>1.1200000000000001</v>
      </c>
      <c r="C822" s="56">
        <v>1.1200000000000001</v>
      </c>
      <c r="D822" s="56">
        <v>1.1200000000000001</v>
      </c>
      <c r="E822" s="56">
        <v>1.1200000000000001</v>
      </c>
      <c r="F822" s="56">
        <v>1.1200000000000001</v>
      </c>
    </row>
    <row r="823" spans="1:6" x14ac:dyDescent="0.3">
      <c r="A823" s="56">
        <v>8204</v>
      </c>
      <c r="B823" s="56">
        <v>1.1599999999999999</v>
      </c>
      <c r="C823" s="56">
        <v>1.1599999999999999</v>
      </c>
      <c r="D823" s="56">
        <v>1.1599999999999999</v>
      </c>
      <c r="E823" s="56">
        <v>1.1599999999999999</v>
      </c>
      <c r="F823" s="56">
        <v>1.1599999999999999</v>
      </c>
    </row>
    <row r="824" spans="1:6" x14ac:dyDescent="0.3">
      <c r="A824" s="56">
        <v>8205</v>
      </c>
      <c r="B824" s="56">
        <v>1.2</v>
      </c>
      <c r="C824" s="56">
        <v>1.2</v>
      </c>
      <c r="D824" s="56">
        <v>1.2</v>
      </c>
      <c r="E824" s="56">
        <v>1.2</v>
      </c>
      <c r="F824" s="56">
        <v>1.2</v>
      </c>
    </row>
    <row r="825" spans="1:6" x14ac:dyDescent="0.3">
      <c r="A825" s="56">
        <v>8206</v>
      </c>
      <c r="B825" s="56">
        <v>1.24</v>
      </c>
      <c r="C825" s="56">
        <v>1.24</v>
      </c>
      <c r="D825" s="56">
        <v>1.24</v>
      </c>
      <c r="E825" s="56">
        <v>1.24</v>
      </c>
      <c r="F825" s="56">
        <v>1.24</v>
      </c>
    </row>
    <row r="826" spans="1:6" x14ac:dyDescent="0.3">
      <c r="A826" s="56">
        <v>8207</v>
      </c>
      <c r="B826" s="56">
        <v>1.28</v>
      </c>
      <c r="C826" s="56">
        <v>1.28</v>
      </c>
      <c r="D826" s="56">
        <v>1.28</v>
      </c>
      <c r="E826" s="56">
        <v>1.28</v>
      </c>
      <c r="F826" s="56">
        <v>1.28</v>
      </c>
    </row>
    <row r="827" spans="1:6" x14ac:dyDescent="0.3">
      <c r="A827" s="56">
        <v>8208</v>
      </c>
      <c r="B827" s="56">
        <v>1.32</v>
      </c>
      <c r="C827" s="56">
        <v>1.32</v>
      </c>
      <c r="D827" s="56">
        <v>1.32</v>
      </c>
      <c r="E827" s="56">
        <v>1.32</v>
      </c>
      <c r="F827" s="56">
        <v>1.32</v>
      </c>
    </row>
    <row r="828" spans="1:6" x14ac:dyDescent="0.3">
      <c r="A828" s="56">
        <v>8209</v>
      </c>
      <c r="B828" s="56">
        <v>1.36</v>
      </c>
      <c r="C828" s="56">
        <v>1.36</v>
      </c>
      <c r="D828" s="56">
        <v>1.36</v>
      </c>
      <c r="E828" s="56">
        <v>1.36</v>
      </c>
      <c r="F828" s="56">
        <v>1.36</v>
      </c>
    </row>
    <row r="829" spans="1:6" x14ac:dyDescent="0.3">
      <c r="A829" s="56">
        <v>8210</v>
      </c>
      <c r="B829" s="56">
        <v>1.4</v>
      </c>
      <c r="C829" s="56">
        <v>1.4</v>
      </c>
      <c r="D829" s="56">
        <v>1.4</v>
      </c>
      <c r="E829" s="56">
        <v>1.4</v>
      </c>
      <c r="F829" s="56">
        <v>1.4</v>
      </c>
    </row>
    <row r="830" spans="1:6" x14ac:dyDescent="0.3">
      <c r="A830" s="56">
        <v>8211</v>
      </c>
      <c r="B830" s="56">
        <v>1.43</v>
      </c>
      <c r="C830" s="56">
        <v>1.43</v>
      </c>
      <c r="D830" s="56">
        <v>1.43</v>
      </c>
      <c r="E830" s="56">
        <v>1.43</v>
      </c>
      <c r="F830" s="56">
        <v>1.43</v>
      </c>
    </row>
    <row r="831" spans="1:6" x14ac:dyDescent="0.3">
      <c r="A831" s="56">
        <v>8212</v>
      </c>
      <c r="B831" s="56">
        <v>1.46</v>
      </c>
      <c r="C831" s="56">
        <v>1.46</v>
      </c>
      <c r="D831" s="56">
        <v>1.46</v>
      </c>
      <c r="E831" s="56">
        <v>1.46</v>
      </c>
      <c r="F831" s="56">
        <v>1.46</v>
      </c>
    </row>
    <row r="832" spans="1:6" x14ac:dyDescent="0.3">
      <c r="A832" s="56">
        <v>8213</v>
      </c>
      <c r="B832" s="56">
        <v>1.49</v>
      </c>
      <c r="C832" s="56">
        <v>1.49</v>
      </c>
      <c r="D832" s="56">
        <v>1.49</v>
      </c>
      <c r="E832" s="56">
        <v>1.49</v>
      </c>
      <c r="F832" s="56">
        <v>1.49</v>
      </c>
    </row>
    <row r="833" spans="1:6" x14ac:dyDescent="0.3">
      <c r="A833" s="56">
        <v>8214</v>
      </c>
      <c r="B833" s="56">
        <v>1.52</v>
      </c>
      <c r="C833" s="56">
        <v>1.52</v>
      </c>
      <c r="D833" s="56">
        <v>1.52</v>
      </c>
      <c r="E833" s="56">
        <v>1.52</v>
      </c>
      <c r="F833" s="56">
        <v>1.52</v>
      </c>
    </row>
    <row r="834" spans="1:6" x14ac:dyDescent="0.3">
      <c r="A834" s="56">
        <v>8215</v>
      </c>
      <c r="B834" s="56">
        <v>1.55</v>
      </c>
      <c r="C834" s="56">
        <v>1.55</v>
      </c>
      <c r="D834" s="56">
        <v>1.55</v>
      </c>
      <c r="E834" s="56">
        <v>1.55</v>
      </c>
      <c r="F834" s="56">
        <v>1.55</v>
      </c>
    </row>
    <row r="835" spans="1:6" x14ac:dyDescent="0.3">
      <c r="A835" s="56">
        <v>8216</v>
      </c>
      <c r="B835" s="56">
        <v>1.58</v>
      </c>
      <c r="C835" s="56">
        <v>1.58</v>
      </c>
      <c r="D835" s="56">
        <v>1.58</v>
      </c>
      <c r="E835" s="56">
        <v>1.58</v>
      </c>
      <c r="F835" s="56">
        <v>1.58</v>
      </c>
    </row>
    <row r="836" spans="1:6" x14ac:dyDescent="0.3">
      <c r="A836" s="56">
        <v>8217</v>
      </c>
      <c r="B836" s="56">
        <v>1.61</v>
      </c>
      <c r="C836" s="56">
        <v>1.61</v>
      </c>
      <c r="D836" s="56">
        <v>1.61</v>
      </c>
      <c r="E836" s="56">
        <v>1.61</v>
      </c>
      <c r="F836" s="56">
        <v>1.61</v>
      </c>
    </row>
    <row r="837" spans="1:6" x14ac:dyDescent="0.3">
      <c r="A837" s="56">
        <v>8218</v>
      </c>
      <c r="B837" s="56">
        <v>1.64</v>
      </c>
      <c r="C837" s="56">
        <v>1.64</v>
      </c>
      <c r="D837" s="56">
        <v>1.64</v>
      </c>
      <c r="E837" s="56">
        <v>1.64</v>
      </c>
      <c r="F837" s="56">
        <v>1.64</v>
      </c>
    </row>
    <row r="838" spans="1:6" x14ac:dyDescent="0.3">
      <c r="A838" s="56">
        <v>8219</v>
      </c>
      <c r="B838" s="56">
        <v>1.67</v>
      </c>
      <c r="C838" s="56">
        <v>1.67</v>
      </c>
      <c r="D838" s="56">
        <v>1.67</v>
      </c>
      <c r="E838" s="56">
        <v>1.67</v>
      </c>
      <c r="F838" s="56">
        <v>1.67</v>
      </c>
    </row>
    <row r="839" spans="1:6" x14ac:dyDescent="0.3">
      <c r="A839" s="56">
        <v>8220</v>
      </c>
      <c r="B839" s="56">
        <v>1.7</v>
      </c>
      <c r="C839" s="56">
        <v>1.7</v>
      </c>
      <c r="D839" s="56">
        <v>1.7</v>
      </c>
      <c r="E839" s="56">
        <v>1.7</v>
      </c>
      <c r="F839" s="56">
        <v>1.7</v>
      </c>
    </row>
    <row r="840" spans="1:6" x14ac:dyDescent="0.3">
      <c r="A840" s="56">
        <v>8221</v>
      </c>
      <c r="B840" s="56">
        <v>1.72</v>
      </c>
      <c r="C840" s="56">
        <v>1.72</v>
      </c>
      <c r="D840" s="56">
        <v>1.72</v>
      </c>
      <c r="E840" s="56">
        <v>1.72</v>
      </c>
      <c r="F840" s="56">
        <v>1.72</v>
      </c>
    </row>
    <row r="841" spans="1:6" x14ac:dyDescent="0.3">
      <c r="A841" s="56">
        <v>8222</v>
      </c>
      <c r="B841" s="56">
        <v>1.74</v>
      </c>
      <c r="C841" s="56">
        <v>1.74</v>
      </c>
      <c r="D841" s="56">
        <v>1.74</v>
      </c>
      <c r="E841" s="56">
        <v>1.74</v>
      </c>
      <c r="F841" s="56">
        <v>1.74</v>
      </c>
    </row>
    <row r="842" spans="1:6" x14ac:dyDescent="0.3">
      <c r="A842" s="56">
        <v>8223</v>
      </c>
      <c r="B842" s="56">
        <v>1.76</v>
      </c>
      <c r="C842" s="56">
        <v>1.76</v>
      </c>
      <c r="D842" s="56">
        <v>1.76</v>
      </c>
      <c r="E842" s="56">
        <v>1.76</v>
      </c>
      <c r="F842" s="56">
        <v>1.76</v>
      </c>
    </row>
    <row r="843" spans="1:6" x14ac:dyDescent="0.3">
      <c r="A843" s="56">
        <v>8224</v>
      </c>
      <c r="B843" s="56">
        <v>1.78</v>
      </c>
      <c r="C843" s="56">
        <v>1.78</v>
      </c>
      <c r="D843" s="56">
        <v>1.78</v>
      </c>
      <c r="E843" s="56">
        <v>1.78</v>
      </c>
      <c r="F843" s="56">
        <v>1.78</v>
      </c>
    </row>
    <row r="844" spans="1:6" x14ac:dyDescent="0.3">
      <c r="A844" s="56">
        <v>8225</v>
      </c>
      <c r="B844" s="56">
        <v>1.8</v>
      </c>
      <c r="C844" s="56">
        <v>1.8</v>
      </c>
      <c r="D844" s="56">
        <v>1.8</v>
      </c>
      <c r="E844" s="56">
        <v>1.8</v>
      </c>
      <c r="F844" s="56">
        <v>1.8</v>
      </c>
    </row>
    <row r="845" spans="1:6" x14ac:dyDescent="0.3">
      <c r="A845" s="56">
        <v>8300</v>
      </c>
      <c r="B845" s="56">
        <v>1</v>
      </c>
      <c r="C845" s="56">
        <v>1</v>
      </c>
      <c r="D845" s="56">
        <v>1</v>
      </c>
      <c r="E845" s="56">
        <v>1</v>
      </c>
      <c r="F845" s="56">
        <v>1</v>
      </c>
    </row>
    <row r="846" spans="1:6" x14ac:dyDescent="0.3">
      <c r="A846" s="56">
        <v>8301</v>
      </c>
      <c r="B846" s="56">
        <v>1.08</v>
      </c>
      <c r="C846" s="56">
        <v>1.08</v>
      </c>
      <c r="D846" s="56">
        <v>1.08</v>
      </c>
      <c r="E846" s="56">
        <v>1.08</v>
      </c>
      <c r="F846" s="56">
        <v>1.08</v>
      </c>
    </row>
    <row r="847" spans="1:6" x14ac:dyDescent="0.3">
      <c r="A847" s="56">
        <v>8302</v>
      </c>
      <c r="B847" s="56">
        <v>1.1599999999999999</v>
      </c>
      <c r="C847" s="56">
        <v>1.1599999999999999</v>
      </c>
      <c r="D847" s="56">
        <v>1.1599999999999999</v>
      </c>
      <c r="E847" s="56">
        <v>1.1599999999999999</v>
      </c>
      <c r="F847" s="56">
        <v>1.1599999999999999</v>
      </c>
    </row>
    <row r="848" spans="1:6" x14ac:dyDescent="0.3">
      <c r="A848" s="56">
        <v>8303</v>
      </c>
      <c r="B848" s="56">
        <v>1.24</v>
      </c>
      <c r="C848" s="56">
        <v>1.24</v>
      </c>
      <c r="D848" s="56">
        <v>1.24</v>
      </c>
      <c r="E848" s="56">
        <v>1.24</v>
      </c>
      <c r="F848" s="56">
        <v>1.24</v>
      </c>
    </row>
    <row r="849" spans="1:6" x14ac:dyDescent="0.3">
      <c r="A849" s="56">
        <v>8304</v>
      </c>
      <c r="B849" s="56">
        <v>1.32</v>
      </c>
      <c r="C849" s="56">
        <v>1.32</v>
      </c>
      <c r="D849" s="56">
        <v>1.32</v>
      </c>
      <c r="E849" s="56">
        <v>1.32</v>
      </c>
      <c r="F849" s="56">
        <v>1.32</v>
      </c>
    </row>
    <row r="850" spans="1:6" x14ac:dyDescent="0.3">
      <c r="A850" s="56">
        <v>8305</v>
      </c>
      <c r="B850" s="56">
        <v>1.4</v>
      </c>
      <c r="C850" s="56">
        <v>1.4</v>
      </c>
      <c r="D850" s="56">
        <v>1.4</v>
      </c>
      <c r="E850" s="56">
        <v>1.4</v>
      </c>
      <c r="F850" s="56">
        <v>1.4</v>
      </c>
    </row>
    <row r="851" spans="1:6" x14ac:dyDescent="0.3">
      <c r="A851" s="56">
        <v>8306</v>
      </c>
      <c r="B851" s="56">
        <v>1.48</v>
      </c>
      <c r="C851" s="56">
        <v>1.48</v>
      </c>
      <c r="D851" s="56">
        <v>1.48</v>
      </c>
      <c r="E851" s="56">
        <v>1.48</v>
      </c>
      <c r="F851" s="56">
        <v>1.48</v>
      </c>
    </row>
    <row r="852" spans="1:6" x14ac:dyDescent="0.3">
      <c r="A852" s="56">
        <v>8307</v>
      </c>
      <c r="B852" s="56">
        <v>1.56</v>
      </c>
      <c r="C852" s="56">
        <v>1.56</v>
      </c>
      <c r="D852" s="56">
        <v>1.56</v>
      </c>
      <c r="E852" s="56">
        <v>1.56</v>
      </c>
      <c r="F852" s="56">
        <v>1.56</v>
      </c>
    </row>
    <row r="853" spans="1:6" x14ac:dyDescent="0.3">
      <c r="A853" s="56">
        <v>8308</v>
      </c>
      <c r="B853" s="56">
        <v>1.64</v>
      </c>
      <c r="C853" s="56">
        <v>1.64</v>
      </c>
      <c r="D853" s="56">
        <v>1.64</v>
      </c>
      <c r="E853" s="56">
        <v>1.64</v>
      </c>
      <c r="F853" s="56">
        <v>1.64</v>
      </c>
    </row>
    <row r="854" spans="1:6" x14ac:dyDescent="0.3">
      <c r="A854" s="56">
        <v>8309</v>
      </c>
      <c r="B854" s="56">
        <v>1.72</v>
      </c>
      <c r="C854" s="56">
        <v>1.72</v>
      </c>
      <c r="D854" s="56">
        <v>1.72</v>
      </c>
      <c r="E854" s="56">
        <v>1.72</v>
      </c>
      <c r="F854" s="56">
        <v>1.72</v>
      </c>
    </row>
    <row r="855" spans="1:6" x14ac:dyDescent="0.3">
      <c r="A855" s="56">
        <v>8310</v>
      </c>
      <c r="B855" s="56">
        <v>1.8</v>
      </c>
      <c r="C855" s="56">
        <v>1.8</v>
      </c>
      <c r="D855" s="56">
        <v>1.8</v>
      </c>
      <c r="E855" s="56">
        <v>1.8</v>
      </c>
      <c r="F855" s="56">
        <v>1.8</v>
      </c>
    </row>
    <row r="856" spans="1:6" x14ac:dyDescent="0.3">
      <c r="A856" s="56">
        <v>8500</v>
      </c>
      <c r="B856" s="56">
        <v>1</v>
      </c>
      <c r="C856" s="56">
        <v>1</v>
      </c>
      <c r="D856" s="56">
        <v>1</v>
      </c>
      <c r="E856" s="56">
        <v>1</v>
      </c>
      <c r="F856" s="56">
        <v>1</v>
      </c>
    </row>
    <row r="857" spans="1:6" x14ac:dyDescent="0.3">
      <c r="A857" s="56">
        <v>8501</v>
      </c>
      <c r="B857" s="56">
        <v>1.08</v>
      </c>
      <c r="C857" s="56">
        <v>1.08</v>
      </c>
      <c r="D857" s="56">
        <v>1.08</v>
      </c>
      <c r="E857" s="56">
        <v>1.08</v>
      </c>
      <c r="F857" s="56">
        <v>1.08</v>
      </c>
    </row>
    <row r="858" spans="1:6" x14ac:dyDescent="0.3">
      <c r="A858" s="56">
        <v>8502</v>
      </c>
      <c r="B858" s="56">
        <v>1.1599999999999999</v>
      </c>
      <c r="C858" s="56">
        <v>1.1599999999999999</v>
      </c>
      <c r="D858" s="56">
        <v>1.1599999999999999</v>
      </c>
      <c r="E858" s="56">
        <v>1.1599999999999999</v>
      </c>
      <c r="F858" s="56">
        <v>1.1599999999999999</v>
      </c>
    </row>
    <row r="859" spans="1:6" x14ac:dyDescent="0.3">
      <c r="A859" s="56">
        <v>8503</v>
      </c>
      <c r="B859" s="56">
        <v>1.24</v>
      </c>
      <c r="C859" s="56">
        <v>1.24</v>
      </c>
      <c r="D859" s="56">
        <v>1.24</v>
      </c>
      <c r="E859" s="56">
        <v>1.24</v>
      </c>
      <c r="F859" s="56">
        <v>1.24</v>
      </c>
    </row>
    <row r="860" spans="1:6" x14ac:dyDescent="0.3">
      <c r="A860" s="56">
        <v>8504</v>
      </c>
      <c r="B860" s="56">
        <v>1.32</v>
      </c>
      <c r="C860" s="56">
        <v>1.32</v>
      </c>
      <c r="D860" s="56">
        <v>1.32</v>
      </c>
      <c r="E860" s="56">
        <v>1.32</v>
      </c>
      <c r="F860" s="56">
        <v>1.32</v>
      </c>
    </row>
    <row r="861" spans="1:6" x14ac:dyDescent="0.3">
      <c r="A861" s="56">
        <v>8505</v>
      </c>
      <c r="B861" s="56">
        <v>1.4</v>
      </c>
      <c r="C861" s="56">
        <v>1.4</v>
      </c>
      <c r="D861" s="56">
        <v>1.4</v>
      </c>
      <c r="E861" s="56">
        <v>1.4</v>
      </c>
      <c r="F861" s="56">
        <v>1.4</v>
      </c>
    </row>
    <row r="862" spans="1:6" x14ac:dyDescent="0.3">
      <c r="A862" s="56">
        <v>8506</v>
      </c>
      <c r="B862" s="56">
        <v>1.48</v>
      </c>
      <c r="C862" s="56">
        <v>1.48</v>
      </c>
      <c r="D862" s="56">
        <v>1.48</v>
      </c>
      <c r="E862" s="56">
        <v>1.48</v>
      </c>
      <c r="F862" s="56">
        <v>1.48</v>
      </c>
    </row>
    <row r="863" spans="1:6" x14ac:dyDescent="0.3">
      <c r="A863" s="56">
        <v>8507</v>
      </c>
      <c r="B863" s="56">
        <v>1.56</v>
      </c>
      <c r="C863" s="56">
        <v>1.56</v>
      </c>
      <c r="D863" s="56">
        <v>1.56</v>
      </c>
      <c r="E863" s="56">
        <v>1.56</v>
      </c>
      <c r="F863" s="56">
        <v>1.56</v>
      </c>
    </row>
    <row r="864" spans="1:6" x14ac:dyDescent="0.3">
      <c r="A864" s="56">
        <v>8508</v>
      </c>
      <c r="B864" s="56">
        <v>1.64</v>
      </c>
      <c r="C864" s="56">
        <v>1.64</v>
      </c>
      <c r="D864" s="56">
        <v>1.64</v>
      </c>
      <c r="E864" s="56">
        <v>1.64</v>
      </c>
      <c r="F864" s="56">
        <v>1.64</v>
      </c>
    </row>
    <row r="865" spans="1:6" x14ac:dyDescent="0.3">
      <c r="A865" s="56">
        <v>8509</v>
      </c>
      <c r="B865" s="56">
        <v>1.72</v>
      </c>
      <c r="C865" s="56">
        <v>1.72</v>
      </c>
      <c r="D865" s="56">
        <v>1.72</v>
      </c>
      <c r="E865" s="56">
        <v>1.72</v>
      </c>
      <c r="F865" s="56">
        <v>1.72</v>
      </c>
    </row>
    <row r="866" spans="1:6" x14ac:dyDescent="0.3">
      <c r="A866" s="56">
        <v>8510</v>
      </c>
      <c r="B866" s="56">
        <v>1.8</v>
      </c>
      <c r="C866" s="56">
        <v>1.8</v>
      </c>
      <c r="D866" s="56">
        <v>1.8</v>
      </c>
      <c r="E866" s="56">
        <v>1.8</v>
      </c>
      <c r="F866" s="56">
        <v>1.8</v>
      </c>
    </row>
    <row r="867" spans="1:6" x14ac:dyDescent="0.3">
      <c r="A867" s="56">
        <v>9000</v>
      </c>
      <c r="B867" s="56">
        <v>1</v>
      </c>
      <c r="C867" s="56">
        <v>1</v>
      </c>
      <c r="D867" s="56">
        <v>1</v>
      </c>
      <c r="E867" s="56">
        <v>1</v>
      </c>
      <c r="F867" s="56">
        <v>1</v>
      </c>
    </row>
    <row r="868" spans="1:6" x14ac:dyDescent="0.3">
      <c r="A868" s="56">
        <v>9001</v>
      </c>
      <c r="B868" s="56">
        <v>1.05</v>
      </c>
      <c r="C868" s="56">
        <v>1.05</v>
      </c>
      <c r="D868" s="56">
        <v>1.05</v>
      </c>
      <c r="E868" s="56">
        <v>1.05</v>
      </c>
      <c r="F868" s="56">
        <v>1.05</v>
      </c>
    </row>
    <row r="869" spans="1:6" x14ac:dyDescent="0.3">
      <c r="A869" s="56">
        <v>9002</v>
      </c>
      <c r="B869" s="56">
        <v>1.1000000000000001</v>
      </c>
      <c r="C869" s="56">
        <v>1.1000000000000001</v>
      </c>
      <c r="D869" s="56">
        <v>1.1000000000000001</v>
      </c>
      <c r="E869" s="56">
        <v>1.1000000000000001</v>
      </c>
      <c r="F869" s="56">
        <v>1.1000000000000001</v>
      </c>
    </row>
    <row r="870" spans="1:6" x14ac:dyDescent="0.3">
      <c r="A870" s="56">
        <v>9003</v>
      </c>
      <c r="B870" s="56">
        <v>1.1499999999999999</v>
      </c>
      <c r="C870" s="56">
        <v>1.1499999999999999</v>
      </c>
      <c r="D870" s="56">
        <v>1.1499999999999999</v>
      </c>
      <c r="E870" s="56">
        <v>1.1499999999999999</v>
      </c>
      <c r="F870" s="56">
        <v>1.1499999999999999</v>
      </c>
    </row>
    <row r="871" spans="1:6" x14ac:dyDescent="0.3">
      <c r="A871" s="56">
        <v>9004</v>
      </c>
      <c r="B871" s="56">
        <v>1.2</v>
      </c>
      <c r="C871" s="56">
        <v>1.2</v>
      </c>
      <c r="D871" s="56">
        <v>1.2</v>
      </c>
      <c r="E871" s="56">
        <v>1.2</v>
      </c>
      <c r="F871" s="56">
        <v>1.2</v>
      </c>
    </row>
    <row r="872" spans="1:6" x14ac:dyDescent="0.3">
      <c r="A872" s="56">
        <v>9005</v>
      </c>
      <c r="B872" s="56">
        <v>1.23</v>
      </c>
      <c r="C872" s="56">
        <v>1.23</v>
      </c>
      <c r="D872" s="56">
        <v>1.23</v>
      </c>
      <c r="E872" s="56">
        <v>1.23</v>
      </c>
      <c r="F872" s="56">
        <v>1.23</v>
      </c>
    </row>
    <row r="873" spans="1:6" x14ac:dyDescent="0.3">
      <c r="A873" s="56">
        <v>9006</v>
      </c>
      <c r="B873" s="56">
        <v>1.26</v>
      </c>
      <c r="C873" s="56">
        <v>1.26</v>
      </c>
      <c r="D873" s="56">
        <v>1.26</v>
      </c>
      <c r="E873" s="56">
        <v>1.26</v>
      </c>
      <c r="F873" s="56">
        <v>1.26</v>
      </c>
    </row>
    <row r="874" spans="1:6" x14ac:dyDescent="0.3">
      <c r="A874" s="56">
        <v>9007</v>
      </c>
      <c r="B874" s="56">
        <v>1.29</v>
      </c>
      <c r="C874" s="56">
        <v>1.29</v>
      </c>
      <c r="D874" s="56">
        <v>1.29</v>
      </c>
      <c r="E874" s="56">
        <v>1.29</v>
      </c>
      <c r="F874" s="56">
        <v>1.29</v>
      </c>
    </row>
    <row r="875" spans="1:6" x14ac:dyDescent="0.3">
      <c r="A875" s="56">
        <v>9008</v>
      </c>
      <c r="B875" s="56">
        <v>1.32</v>
      </c>
      <c r="C875" s="56">
        <v>1.32</v>
      </c>
      <c r="D875" s="56">
        <v>1.32</v>
      </c>
      <c r="E875" s="56">
        <v>1.32</v>
      </c>
      <c r="F875" s="56">
        <v>1.32</v>
      </c>
    </row>
    <row r="876" spans="1:6" x14ac:dyDescent="0.3">
      <c r="A876" s="56">
        <v>9009</v>
      </c>
      <c r="B876" s="56">
        <v>1.35</v>
      </c>
      <c r="C876" s="56">
        <v>1.35</v>
      </c>
      <c r="D876" s="56">
        <v>1.35</v>
      </c>
      <c r="E876" s="56">
        <v>1.35</v>
      </c>
      <c r="F876" s="56">
        <v>1.35</v>
      </c>
    </row>
    <row r="877" spans="1:6" x14ac:dyDescent="0.3">
      <c r="A877" s="56">
        <v>9010</v>
      </c>
      <c r="B877" s="56">
        <v>1.4</v>
      </c>
      <c r="C877" s="56">
        <v>1.4</v>
      </c>
      <c r="D877" s="56">
        <v>1.4</v>
      </c>
      <c r="E877" s="56">
        <v>1.4</v>
      </c>
      <c r="F877" s="56">
        <v>1.4</v>
      </c>
    </row>
  </sheetData>
  <phoneticPr fontId="11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0EE20-E897-46E0-A2D1-D2E34596B756}">
  <sheetPr codeName="Sheet7"/>
  <dimension ref="A1:F13"/>
  <sheetViews>
    <sheetView workbookViewId="0">
      <selection activeCell="E3" sqref="E3"/>
    </sheetView>
  </sheetViews>
  <sheetFormatPr defaultRowHeight="14.15" x14ac:dyDescent="0.3"/>
  <cols>
    <col min="1" max="1" width="10.53515625" customWidth="1"/>
    <col min="2" max="2" width="16.69140625" customWidth="1"/>
    <col min="3" max="3" width="11.765625" customWidth="1"/>
  </cols>
  <sheetData>
    <row r="1" spans="1:6" ht="16.3" x14ac:dyDescent="0.5">
      <c r="A1" s="52" t="s">
        <v>623</v>
      </c>
      <c r="B1" s="52" t="s">
        <v>627</v>
      </c>
      <c r="C1" s="52" t="s">
        <v>26</v>
      </c>
      <c r="D1" s="52" t="s">
        <v>646</v>
      </c>
      <c r="E1" s="52" t="s">
        <v>647</v>
      </c>
      <c r="F1" s="52" t="s">
        <v>648</v>
      </c>
    </row>
    <row r="2" spans="1:6" ht="16.3" x14ac:dyDescent="0.3">
      <c r="A2" s="10">
        <v>0</v>
      </c>
      <c r="B2" s="10" t="s">
        <v>628</v>
      </c>
      <c r="C2" s="10">
        <v>0</v>
      </c>
      <c r="D2" s="10">
        <v>0</v>
      </c>
      <c r="E2" s="10">
        <v>0</v>
      </c>
      <c r="F2" s="10">
        <v>0.1</v>
      </c>
    </row>
    <row r="3" spans="1:6" ht="16.3" x14ac:dyDescent="0.3">
      <c r="A3" s="10">
        <v>1</v>
      </c>
      <c r="B3" s="10" t="s">
        <v>629</v>
      </c>
      <c r="C3" s="10">
        <v>0.125</v>
      </c>
      <c r="D3" s="10">
        <v>0.39183673469387753</v>
      </c>
      <c r="E3" s="10">
        <v>0.125</v>
      </c>
      <c r="F3" s="10">
        <v>0.1</v>
      </c>
    </row>
    <row r="4" spans="1:6" ht="16.3" x14ac:dyDescent="0.3">
      <c r="A4" s="10">
        <v>2</v>
      </c>
      <c r="B4" s="10" t="s">
        <v>630</v>
      </c>
      <c r="C4" s="10">
        <v>1</v>
      </c>
      <c r="D4" s="10">
        <v>-0.13333333333333333</v>
      </c>
      <c r="E4" s="10">
        <v>2.5</v>
      </c>
      <c r="F4" s="10">
        <v>0.7</v>
      </c>
    </row>
    <row r="5" spans="1:6" ht="16.3" x14ac:dyDescent="0.3">
      <c r="A5" s="10">
        <v>3</v>
      </c>
      <c r="B5" s="10" t="s">
        <v>631</v>
      </c>
      <c r="C5" s="10">
        <v>2.5</v>
      </c>
      <c r="D5" s="10">
        <v>-6.6115702479338841E-3</v>
      </c>
      <c r="E5" s="10">
        <v>8</v>
      </c>
      <c r="F5" s="10">
        <v>0.9</v>
      </c>
    </row>
    <row r="6" spans="1:6" ht="16.3" x14ac:dyDescent="0.3">
      <c r="A6" s="10">
        <v>4</v>
      </c>
      <c r="B6" s="10" t="s">
        <v>632</v>
      </c>
      <c r="C6" s="10">
        <v>8</v>
      </c>
      <c r="D6" s="10">
        <v>0</v>
      </c>
      <c r="E6" s="10">
        <v>8</v>
      </c>
      <c r="F6" s="10">
        <v>0.9</v>
      </c>
    </row>
    <row r="7" spans="1:6" ht="16.3" x14ac:dyDescent="0.3">
      <c r="A7" s="10">
        <v>5</v>
      </c>
      <c r="B7" s="10" t="s">
        <v>633</v>
      </c>
    </row>
    <row r="8" spans="1:6" ht="16.3" x14ac:dyDescent="0.3">
      <c r="A8" s="10">
        <v>6</v>
      </c>
      <c r="B8" s="10" t="s">
        <v>634</v>
      </c>
    </row>
    <row r="9" spans="1:6" ht="16.3" x14ac:dyDescent="0.3">
      <c r="A9" s="10">
        <v>7</v>
      </c>
      <c r="B9" s="10" t="s">
        <v>635</v>
      </c>
    </row>
    <row r="10" spans="1:6" ht="16.3" x14ac:dyDescent="0.3">
      <c r="A10" s="10">
        <v>8</v>
      </c>
      <c r="B10" s="10" t="s">
        <v>636</v>
      </c>
    </row>
    <row r="11" spans="1:6" ht="16.3" x14ac:dyDescent="0.3">
      <c r="A11" s="10">
        <v>9</v>
      </c>
      <c r="B11" s="10" t="s">
        <v>637</v>
      </c>
    </row>
    <row r="12" spans="1:6" ht="16.3" x14ac:dyDescent="0.3">
      <c r="A12" s="10">
        <v>10</v>
      </c>
      <c r="B12" s="10" t="s">
        <v>638</v>
      </c>
    </row>
    <row r="13" spans="1:6" ht="16.3" x14ac:dyDescent="0.3">
      <c r="A13" s="10">
        <v>11</v>
      </c>
      <c r="B13" s="53" t="s">
        <v>639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92"/>
  <sheetViews>
    <sheetView zoomScale="85" workbookViewId="0">
      <selection activeCell="P5" sqref="P5"/>
    </sheetView>
  </sheetViews>
  <sheetFormatPr defaultColWidth="13.23046875" defaultRowHeight="16.3" x14ac:dyDescent="0.3"/>
  <cols>
    <col min="1" max="1" width="24.4609375" style="10" customWidth="1"/>
    <col min="2" max="2" width="21.4609375" style="11" customWidth="1"/>
    <col min="3" max="5" width="13.23046875" style="10" customWidth="1"/>
    <col min="6" max="6" width="13.07421875" style="10" customWidth="1"/>
    <col min="7" max="7" width="38.23046875" style="12" customWidth="1"/>
    <col min="8" max="8" width="25.765625" style="13" customWidth="1"/>
    <col min="9" max="9" width="22.69140625" style="13" customWidth="1"/>
    <col min="10" max="10" width="20.23046875" style="13" customWidth="1"/>
    <col min="11" max="11" width="22" style="13" customWidth="1"/>
    <col min="12" max="12" width="24.07421875" style="13" customWidth="1"/>
    <col min="13" max="13" width="19.765625" style="13" customWidth="1"/>
    <col min="14" max="14" width="23.3046875" style="13" customWidth="1"/>
    <col min="15" max="15" width="13.23046875" style="13" customWidth="1"/>
    <col min="16" max="16" width="20.4609375" style="13" customWidth="1"/>
    <col min="17" max="19" width="13.23046875" style="13" customWidth="1"/>
    <col min="20" max="20" width="22.3046875" style="13" customWidth="1"/>
    <col min="21" max="21" width="13.23046875" style="13" customWidth="1"/>
    <col min="22" max="16384" width="13.23046875" style="13"/>
  </cols>
  <sheetData>
    <row r="1" spans="1:18" x14ac:dyDescent="0.3">
      <c r="A1" s="12" t="s">
        <v>19</v>
      </c>
      <c r="B1" s="14" t="s">
        <v>20</v>
      </c>
      <c r="C1" s="12" t="s">
        <v>21</v>
      </c>
      <c r="D1" s="12" t="s">
        <v>600</v>
      </c>
      <c r="E1" s="12" t="s">
        <v>22</v>
      </c>
      <c r="F1" s="12" t="s">
        <v>23</v>
      </c>
      <c r="G1" s="12" t="s">
        <v>239</v>
      </c>
      <c r="I1" s="38" t="str" cm="1">
        <f t="array" ref="I1:N1">TRANSPOSE(_xlfn.UNIQUE(F2:F92))</f>
        <v>通用buff</v>
      </c>
      <c r="J1" s="38" t="str">
        <v>减防debuff</v>
      </c>
      <c r="K1" s="38" t="str">
        <v>装备buff</v>
      </c>
      <c r="L1" s="38" t="str">
        <v>立誓类buff</v>
      </c>
      <c r="M1" s="38" t="str">
        <v>身体类buff</v>
      </c>
      <c r="N1" s="38" t="str">
        <v>副手类buff</v>
      </c>
      <c r="R1" s="15"/>
    </row>
    <row r="2" spans="1:18" x14ac:dyDescent="0.3">
      <c r="A2" s="10" t="s">
        <v>240</v>
      </c>
      <c r="B2" s="11">
        <v>0</v>
      </c>
      <c r="C2" s="10" t="s">
        <v>555</v>
      </c>
      <c r="F2" s="10" t="s">
        <v>18</v>
      </c>
      <c r="I2" s="13" t="str" cm="1">
        <f t="array" ref="I2:I34">_xlfn._xlws.FILTER($A$2:$A$92,$F$2:$F$92=I1)</f>
        <v>自定义buff</v>
      </c>
      <c r="J2" s="13" t="str" cm="1">
        <f t="array" ref="J2:J7">_xlfn._xlws.FILTER($A$2:$A$92,$F$2:$F$92=J1)</f>
        <v>满月减防</v>
      </c>
      <c r="K2" s="13" t="str" cm="1">
        <f t="array" ref="K2:K18">_xlfn._xlws.FILTER($A$2:$A$92,$F$2:$F$92=K1)</f>
        <v>雪魔女尖帽</v>
      </c>
      <c r="L2" s="13" t="str" cm="1">
        <f t="array" ref="L2:L6">_xlfn._xlws.FILTER($A$2:$A$92,$F$2:$F$92=L1)</f>
        <v>军旗-归于麾下</v>
      </c>
      <c r="M2" s="13" t="str" cm="1">
        <f t="array" ref="M2:M6">_xlfn._xlws.FILTER($A$2:$A$92,$F$2:$F$92=M1)</f>
        <v>火焰啊！赐予我力量</v>
      </c>
      <c r="N2" s="13" t="str" cm="1">
        <f t="array" ref="N2:N26">_xlfn._xlws.FILTER($A$2:$A$92,$F$2:$F$92=N1)</f>
        <v>水母盾战技</v>
      </c>
    </row>
    <row r="3" spans="1:18" x14ac:dyDescent="0.3">
      <c r="A3" s="10" t="s">
        <v>243</v>
      </c>
      <c r="B3" s="11">
        <v>0.2</v>
      </c>
      <c r="C3" s="10" t="s">
        <v>555</v>
      </c>
      <c r="F3" s="10" t="s">
        <v>18</v>
      </c>
      <c r="G3" s="12" t="s">
        <v>244</v>
      </c>
      <c r="I3" s="13" t="str">
        <v>偷袭</v>
      </c>
      <c r="J3" s="13" t="str">
        <v>桂奥尔的咆哮减防</v>
      </c>
      <c r="K3" s="13" t="str">
        <v>光耀金面具</v>
      </c>
      <c r="L3" s="13" t="str">
        <v>黄金树立誓（祷告）</v>
      </c>
      <c r="M3" s="13" t="str">
        <v>狂热香药</v>
      </c>
      <c r="N3" s="13" t="str">
        <v>圣律</v>
      </c>
    </row>
    <row r="4" spans="1:18" ht="32.6" x14ac:dyDescent="0.3">
      <c r="A4" s="12" t="s">
        <v>398</v>
      </c>
      <c r="B4" s="14">
        <v>0.2</v>
      </c>
      <c r="C4" s="12" t="s">
        <v>555</v>
      </c>
      <c r="D4" s="12"/>
      <c r="E4" s="12"/>
      <c r="F4" s="10" t="s">
        <v>18</v>
      </c>
      <c r="G4" s="12" t="s">
        <v>413</v>
      </c>
      <c r="I4" s="13" t="str">
        <v>各种欢愉/托丽娜的微笑</v>
      </c>
      <c r="J4" s="13" t="str">
        <v>展翼大角战技</v>
      </c>
      <c r="K4" s="13" t="str">
        <v>亚兹勒头</v>
      </c>
      <c r="L4" s="13" t="str">
        <v>黄金树立誓（战技）</v>
      </c>
      <c r="M4" s="13" t="str">
        <v>勇者肉块</v>
      </c>
      <c r="N4" s="13" t="str">
        <v>双鸟鸢形盾</v>
      </c>
    </row>
    <row r="5" spans="1:18" ht="32.6" x14ac:dyDescent="0.3">
      <c r="A5" s="12" t="s">
        <v>248</v>
      </c>
      <c r="B5" s="14">
        <v>0.1</v>
      </c>
      <c r="C5" s="10" t="s">
        <v>555</v>
      </c>
      <c r="F5" s="10" t="s">
        <v>18</v>
      </c>
      <c r="G5" s="12" t="s">
        <v>361</v>
      </c>
      <c r="I5" s="13" t="str">
        <v>蘑菇头/白面具/黑头罩</v>
      </c>
      <c r="J5" s="13" t="str">
        <v>花之龙雷不蓄力</v>
      </c>
      <c r="K5" s="13" t="str">
        <v>卢瑟特头</v>
      </c>
      <c r="L5" s="13" t="str">
        <v>黄金树立誓（道具）</v>
      </c>
      <c r="M5" s="13" t="str">
        <v>夏玻利利的嘶吼</v>
      </c>
      <c r="N5" s="13" t="str">
        <v>五指剑</v>
      </c>
    </row>
    <row r="6" spans="1:18" x14ac:dyDescent="0.3">
      <c r="A6" s="12" t="s">
        <v>360</v>
      </c>
      <c r="B6" s="14">
        <v>7.4999999999999997E-2</v>
      </c>
      <c r="C6" s="10" t="s">
        <v>555</v>
      </c>
      <c r="F6" s="10" t="s">
        <v>18</v>
      </c>
      <c r="G6" s="12" t="s">
        <v>362</v>
      </c>
      <c r="I6" s="13" t="str">
        <v>毒皮手套/癫狂皮手套</v>
      </c>
      <c r="J6" s="13" t="str">
        <v>花之龙雷蓄力</v>
      </c>
      <c r="K6" s="13" t="str">
        <v>熔炉套4件</v>
      </c>
      <c r="L6" s="13" t="str">
        <v>振奋香</v>
      </c>
      <c r="M6" s="13" t="str">
        <v>光明剑战技</v>
      </c>
      <c r="N6" s="13" t="str">
        <v>陨石杖（副手）</v>
      </c>
    </row>
    <row r="7" spans="1:18" x14ac:dyDescent="0.3">
      <c r="A7" s="12" t="s">
        <v>452</v>
      </c>
      <c r="B7" s="14">
        <v>0.15</v>
      </c>
      <c r="C7" s="10" t="s">
        <v>555</v>
      </c>
      <c r="F7" s="10" t="s">
        <v>18</v>
      </c>
      <c r="G7" s="12" t="s">
        <v>425</v>
      </c>
      <c r="I7" s="13" t="str">
        <v>圣战徽章</v>
      </c>
      <c r="J7" s="13" t="str">
        <v>黑暗剑战技</v>
      </c>
      <c r="K7" s="13" t="str">
        <v>阿尔佩利希3件</v>
      </c>
      <c r="N7" s="13" t="str">
        <v>丧失杖（副手）</v>
      </c>
    </row>
    <row r="8" spans="1:18" x14ac:dyDescent="0.3">
      <c r="A8" s="12" t="s">
        <v>451</v>
      </c>
      <c r="B8" s="14">
        <v>0.2</v>
      </c>
      <c r="C8" s="10" t="s">
        <v>555</v>
      </c>
      <c r="F8" s="10" t="s">
        <v>18</v>
      </c>
      <c r="G8" s="12" t="s">
        <v>453</v>
      </c>
      <c r="I8" s="13" t="str">
        <v>介错刀/干枯花束</v>
      </c>
      <c r="K8" s="13" t="str">
        <v>神皮贵族衣服</v>
      </c>
      <c r="N8" s="13" t="str">
        <v>结晶杖（副手）</v>
      </c>
    </row>
    <row r="9" spans="1:18" x14ac:dyDescent="0.3">
      <c r="A9" s="12" t="s">
        <v>253</v>
      </c>
      <c r="B9" s="14">
        <v>0.2</v>
      </c>
      <c r="C9" s="12" t="s">
        <v>555</v>
      </c>
      <c r="D9" s="12"/>
      <c r="E9" s="12"/>
      <c r="F9" s="10" t="s">
        <v>18</v>
      </c>
      <c r="G9" s="12" t="s">
        <v>256</v>
      </c>
      <c r="I9" s="13" t="str">
        <v>红羽七刃剑</v>
      </c>
      <c r="K9" s="13" t="str">
        <v>拉鲁瓦毛皮</v>
      </c>
      <c r="N9" s="13" t="str">
        <v>格密尔杖（副手）</v>
      </c>
    </row>
    <row r="10" spans="1:18" x14ac:dyDescent="0.3">
      <c r="A10" s="12" t="s">
        <v>257</v>
      </c>
      <c r="B10" s="14">
        <v>0.1</v>
      </c>
      <c r="C10" s="12" t="s">
        <v>555</v>
      </c>
      <c r="D10" s="12"/>
      <c r="E10" s="12"/>
      <c r="F10" s="10" t="s">
        <v>18</v>
      </c>
      <c r="G10" s="12" t="s">
        <v>549</v>
      </c>
      <c r="I10" s="13" t="str">
        <v>献斗剑护符</v>
      </c>
      <c r="K10" s="13" t="str">
        <v>光芒头冠</v>
      </c>
      <c r="N10" s="13" t="str">
        <v>卡利亚权杖（副手）</v>
      </c>
    </row>
    <row r="11" spans="1:18" x14ac:dyDescent="0.3">
      <c r="A11" s="12" t="s">
        <v>260</v>
      </c>
      <c r="B11" s="14">
        <v>0.12</v>
      </c>
      <c r="C11" s="12" t="s">
        <v>8</v>
      </c>
      <c r="D11" s="12"/>
      <c r="F11" s="10" t="s">
        <v>18</v>
      </c>
      <c r="G11" s="12" t="s">
        <v>550</v>
      </c>
      <c r="I11" s="13" t="str">
        <v>魔力对蝎</v>
      </c>
      <c r="K11" s="13" t="str">
        <v>指头长袍</v>
      </c>
      <c r="N11" s="13" t="str">
        <v>挖石杖（副手）</v>
      </c>
    </row>
    <row r="12" spans="1:18" x14ac:dyDescent="0.3">
      <c r="A12" s="12" t="s">
        <v>262</v>
      </c>
      <c r="B12" s="14">
        <v>0.12</v>
      </c>
      <c r="C12" s="12" t="s">
        <v>9</v>
      </c>
      <c r="D12" s="12"/>
      <c r="F12" s="10" t="s">
        <v>18</v>
      </c>
      <c r="G12" s="12" t="s">
        <v>550</v>
      </c>
      <c r="I12" s="13" t="str">
        <v>火对蝎</v>
      </c>
      <c r="K12" s="13" t="str">
        <v>守墓鸟头盔</v>
      </c>
      <c r="N12" s="13" t="str">
        <v>卡利亚辉剑杖（副手）</v>
      </c>
    </row>
    <row r="13" spans="1:18" x14ac:dyDescent="0.3">
      <c r="A13" s="12" t="s">
        <v>264</v>
      </c>
      <c r="B13" s="14">
        <v>0.12</v>
      </c>
      <c r="C13" s="12" t="s">
        <v>10</v>
      </c>
      <c r="D13" s="12"/>
      <c r="F13" s="10" t="s">
        <v>18</v>
      </c>
      <c r="G13" s="12" t="s">
        <v>550</v>
      </c>
      <c r="I13" s="13" t="str">
        <v>雷对蝎</v>
      </c>
      <c r="K13" s="13" t="str">
        <v>梅瑟莫头盔+火焰骑士铠甲</v>
      </c>
      <c r="N13" s="13" t="str">
        <v>死王子杖（副手）</v>
      </c>
    </row>
    <row r="14" spans="1:18" x14ac:dyDescent="0.3">
      <c r="A14" s="12" t="s">
        <v>266</v>
      </c>
      <c r="B14" s="14">
        <v>0.12</v>
      </c>
      <c r="C14" s="12" t="s">
        <v>11</v>
      </c>
      <c r="D14" s="12"/>
      <c r="F14" s="10" t="s">
        <v>18</v>
      </c>
      <c r="G14" s="12" t="s">
        <v>550</v>
      </c>
      <c r="I14" s="13" t="str">
        <v>圣对蝎</v>
      </c>
      <c r="K14" s="13" t="str">
        <v>死骑士4件</v>
      </c>
      <c r="N14" s="13" t="str">
        <v>卡利亚辉石杖（副手）</v>
      </c>
    </row>
    <row r="15" spans="1:18" x14ac:dyDescent="0.3">
      <c r="A15" s="12" t="s">
        <v>268</v>
      </c>
      <c r="B15" s="14">
        <v>0.04</v>
      </c>
      <c r="C15" s="10" t="s">
        <v>555</v>
      </c>
      <c r="F15" s="10" t="s">
        <v>18</v>
      </c>
      <c r="I15" s="13" t="str">
        <v>魔法师球/信徒立誓布</v>
      </c>
      <c r="K15" s="13" t="str">
        <v>神兽头部</v>
      </c>
      <c r="N15" s="13" t="str">
        <v>罪人杖（副手）</v>
      </c>
    </row>
    <row r="16" spans="1:18" x14ac:dyDescent="0.3">
      <c r="A16" s="12" t="s">
        <v>271</v>
      </c>
      <c r="B16" s="14">
        <v>0.08</v>
      </c>
      <c r="C16" s="10" t="s">
        <v>555</v>
      </c>
      <c r="F16" s="10" t="s">
        <v>18</v>
      </c>
      <c r="I16" s="13" t="str">
        <v>魔法师块/群聚立誓布</v>
      </c>
      <c r="K16" s="13" t="str">
        <v>神鸟头盔</v>
      </c>
      <c r="N16" s="13" t="str">
        <v>狩猎神祇圣印记（副手）</v>
      </c>
    </row>
    <row r="17" spans="1:14" ht="32.6" x14ac:dyDescent="0.3">
      <c r="A17" s="10" t="s">
        <v>273</v>
      </c>
      <c r="B17" s="11">
        <v>0.15</v>
      </c>
      <c r="C17" s="10" t="s">
        <v>47</v>
      </c>
      <c r="E17" s="12"/>
      <c r="F17" s="10" t="s">
        <v>18</v>
      </c>
      <c r="G17" s="12" t="s">
        <v>275</v>
      </c>
      <c r="I17" s="13" t="str">
        <v>葛孚雷的肖像</v>
      </c>
      <c r="K17" s="13" t="str">
        <v>罗刹4件</v>
      </c>
      <c r="N17" s="13" t="str">
        <v>巨人圣印记（副手）</v>
      </c>
    </row>
    <row r="18" spans="1:14" x14ac:dyDescent="0.3">
      <c r="A18" s="10" t="s">
        <v>393</v>
      </c>
      <c r="B18" s="11">
        <v>0.1</v>
      </c>
      <c r="C18" s="10" t="s">
        <v>322</v>
      </c>
      <c r="E18" s="12"/>
      <c r="F18" s="10" t="s">
        <v>18</v>
      </c>
      <c r="I18" s="13" t="str">
        <v>咆哮链坠</v>
      </c>
      <c r="K18" s="13" t="str">
        <v>编绳长袍</v>
      </c>
      <c r="N18" s="13" t="str">
        <v>碎石圣印记（副手）</v>
      </c>
    </row>
    <row r="19" spans="1:14" x14ac:dyDescent="0.3">
      <c r="A19" s="10" t="s">
        <v>414</v>
      </c>
      <c r="B19" s="11">
        <v>0.1</v>
      </c>
      <c r="C19" s="10" t="s">
        <v>323</v>
      </c>
      <c r="E19" s="12"/>
      <c r="F19" s="10" t="s">
        <v>18</v>
      </c>
      <c r="I19" s="13" t="str">
        <v>狂怒神兽</v>
      </c>
      <c r="N19" s="13" t="str">
        <v>爪痕圣印记（副手）</v>
      </c>
    </row>
    <row r="20" spans="1:14" x14ac:dyDescent="0.3">
      <c r="A20" s="10" t="s">
        <v>415</v>
      </c>
      <c r="B20" s="11">
        <v>0.15</v>
      </c>
      <c r="C20" s="10" t="s">
        <v>311</v>
      </c>
      <c r="E20" s="12"/>
      <c r="F20" s="10" t="s">
        <v>18</v>
      </c>
      <c r="I20" s="13" t="str">
        <v>狂龙护符</v>
      </c>
      <c r="N20" s="13" t="str">
        <v>黄金律法圣印记（副手）</v>
      </c>
    </row>
    <row r="21" spans="1:14" x14ac:dyDescent="0.3">
      <c r="A21" s="12" t="s">
        <v>276</v>
      </c>
      <c r="B21" s="14">
        <v>0.2</v>
      </c>
      <c r="C21" s="12" t="s">
        <v>8</v>
      </c>
      <c r="D21" s="12"/>
      <c r="F21" s="10" t="s">
        <v>18</v>
      </c>
      <c r="G21" s="12" t="s">
        <v>278</v>
      </c>
      <c r="I21" s="13" t="str">
        <v>带魔力破露滴</v>
      </c>
      <c r="N21" s="13" t="str">
        <v>龙飨印记（副手）</v>
      </c>
    </row>
    <row r="22" spans="1:14" x14ac:dyDescent="0.3">
      <c r="A22" s="12" t="s">
        <v>279</v>
      </c>
      <c r="B22" s="14">
        <v>0.2</v>
      </c>
      <c r="C22" s="12" t="s">
        <v>9</v>
      </c>
      <c r="D22" s="12"/>
      <c r="F22" s="10" t="s">
        <v>18</v>
      </c>
      <c r="G22" s="12" t="s">
        <v>278</v>
      </c>
      <c r="I22" s="13" t="str">
        <v>带火破露滴</v>
      </c>
      <c r="N22" s="13" t="str">
        <v>癫火圣印记（副手）</v>
      </c>
    </row>
    <row r="23" spans="1:14" x14ac:dyDescent="0.3">
      <c r="A23" s="12" t="s">
        <v>282</v>
      </c>
      <c r="B23" s="14">
        <v>0.2</v>
      </c>
      <c r="C23" s="12" t="s">
        <v>10</v>
      </c>
      <c r="D23" s="12"/>
      <c r="F23" s="10" t="s">
        <v>18</v>
      </c>
      <c r="G23" s="12" t="s">
        <v>278</v>
      </c>
      <c r="I23" s="13" t="str">
        <v>带雷破露滴</v>
      </c>
      <c r="N23" s="13" t="str">
        <v>母亲杖（副手）</v>
      </c>
    </row>
    <row r="24" spans="1:14" x14ac:dyDescent="0.3">
      <c r="A24" s="12" t="s">
        <v>284</v>
      </c>
      <c r="B24" s="14">
        <v>0.2</v>
      </c>
      <c r="C24" s="12" t="s">
        <v>11</v>
      </c>
      <c r="D24" s="12"/>
      <c r="F24" s="10" t="s">
        <v>18</v>
      </c>
      <c r="G24" s="12" t="s">
        <v>278</v>
      </c>
      <c r="I24" s="13" t="str">
        <v>带圣破露滴</v>
      </c>
      <c r="N24" s="13" t="str">
        <v>落叶圣印记（副手）</v>
      </c>
    </row>
    <row r="25" spans="1:14" x14ac:dyDescent="0.3">
      <c r="A25" s="12" t="s">
        <v>429</v>
      </c>
      <c r="B25" s="14">
        <v>0.2</v>
      </c>
      <c r="C25" s="12" t="s">
        <v>555</v>
      </c>
      <c r="D25" s="12"/>
      <c r="F25" s="10" t="s">
        <v>18</v>
      </c>
      <c r="G25" s="12" t="s">
        <v>430</v>
      </c>
      <c r="I25" s="13" t="str">
        <v>吸血破露滴</v>
      </c>
      <c r="N25" s="13" t="str">
        <v>火焰骑士圣印记（副手）</v>
      </c>
    </row>
    <row r="26" spans="1:14" x14ac:dyDescent="0.3">
      <c r="A26" s="12" t="s">
        <v>428</v>
      </c>
      <c r="B26" s="14">
        <v>0.2</v>
      </c>
      <c r="C26" s="12" t="s">
        <v>9</v>
      </c>
      <c r="D26" s="12"/>
      <c r="F26" s="10" t="s">
        <v>18</v>
      </c>
      <c r="G26" s="12" t="s">
        <v>412</v>
      </c>
      <c r="I26" s="13" t="str">
        <v>油光露滴</v>
      </c>
      <c r="N26" s="13" t="str">
        <v>螺旋树圣印记（副手）</v>
      </c>
    </row>
    <row r="27" spans="1:14" x14ac:dyDescent="0.3">
      <c r="A27" s="12" t="s">
        <v>286</v>
      </c>
      <c r="B27" s="14">
        <v>0.22500000000000001</v>
      </c>
      <c r="C27" s="12" t="s">
        <v>8</v>
      </c>
      <c r="D27" s="12"/>
      <c r="F27" s="10" t="s">
        <v>18</v>
      </c>
      <c r="G27" s="12" t="s">
        <v>288</v>
      </c>
      <c r="I27" s="13" t="str">
        <v>魔法之境</v>
      </c>
    </row>
    <row r="28" spans="1:14" x14ac:dyDescent="0.3">
      <c r="A28" s="10" t="s">
        <v>421</v>
      </c>
      <c r="B28" s="11">
        <v>0.1</v>
      </c>
      <c r="C28" s="10" t="s">
        <v>8</v>
      </c>
      <c r="D28" s="11">
        <v>0.1</v>
      </c>
      <c r="E28" s="10" t="s">
        <v>11</v>
      </c>
      <c r="F28" s="10" t="s">
        <v>18</v>
      </c>
      <c r="G28" s="12" t="s">
        <v>422</v>
      </c>
      <c r="I28" s="13" t="str">
        <v>百智领域</v>
      </c>
    </row>
    <row r="29" spans="1:14" x14ac:dyDescent="0.3">
      <c r="A29" s="10" t="s">
        <v>297</v>
      </c>
      <c r="B29" s="11">
        <v>0.2</v>
      </c>
      <c r="C29" s="10" t="s">
        <v>555</v>
      </c>
      <c r="F29" s="10" t="s">
        <v>18</v>
      </c>
      <c r="G29" s="12" t="s">
        <v>298</v>
      </c>
      <c r="I29" s="13" t="str">
        <v>冻伤</v>
      </c>
    </row>
    <row r="30" spans="1:14" x14ac:dyDescent="0.3">
      <c r="A30" s="10" t="s">
        <v>299</v>
      </c>
      <c r="B30" s="11">
        <v>0.1</v>
      </c>
      <c r="C30" s="10" t="s">
        <v>10</v>
      </c>
      <c r="F30" s="10" t="s">
        <v>18</v>
      </c>
      <c r="I30" s="13" t="str">
        <v>水中雷增伤</v>
      </c>
    </row>
    <row r="31" spans="1:14" x14ac:dyDescent="0.3">
      <c r="A31" s="10" t="s">
        <v>300</v>
      </c>
      <c r="B31" s="11">
        <v>-0.1</v>
      </c>
      <c r="C31" s="10" t="s">
        <v>9</v>
      </c>
      <c r="F31" s="10" t="s">
        <v>18</v>
      </c>
      <c r="I31" s="13" t="str">
        <v>水中火减伤</v>
      </c>
    </row>
    <row r="32" spans="1:14" x14ac:dyDescent="0.3">
      <c r="A32" s="10" t="s">
        <v>556</v>
      </c>
      <c r="B32" s="11">
        <v>0.02</v>
      </c>
      <c r="C32" s="10" t="s">
        <v>555</v>
      </c>
      <c r="F32" s="10" t="s">
        <v>18</v>
      </c>
      <c r="I32" s="13" t="str">
        <v>罗刹1件</v>
      </c>
    </row>
    <row r="33" spans="1:9" x14ac:dyDescent="0.3">
      <c r="A33" s="10" t="s">
        <v>557</v>
      </c>
      <c r="B33" s="11">
        <f>1.02^2-1</f>
        <v>4.0399999999999991E-2</v>
      </c>
      <c r="C33" s="10" t="s">
        <v>555</v>
      </c>
      <c r="F33" s="10" t="s">
        <v>18</v>
      </c>
      <c r="I33" s="13" t="str">
        <v>罗刹2件</v>
      </c>
    </row>
    <row r="34" spans="1:9" x14ac:dyDescent="0.3">
      <c r="A34" s="10" t="s">
        <v>558</v>
      </c>
      <c r="B34" s="11">
        <f>1.02^3-1</f>
        <v>6.1207999999999929E-2</v>
      </c>
      <c r="C34" s="10" t="s">
        <v>555</v>
      </c>
      <c r="F34" s="10" t="s">
        <v>18</v>
      </c>
      <c r="I34" s="13" t="str">
        <v>罗刹3件</v>
      </c>
    </row>
    <row r="35" spans="1:9" ht="32.6" x14ac:dyDescent="0.3">
      <c r="A35" s="10" t="s">
        <v>289</v>
      </c>
      <c r="B35" s="11">
        <v>0.1</v>
      </c>
      <c r="C35" s="12" t="s">
        <v>8</v>
      </c>
      <c r="D35" s="12"/>
      <c r="F35" s="10" t="s">
        <v>703</v>
      </c>
      <c r="G35" s="12" t="s">
        <v>420</v>
      </c>
    </row>
    <row r="36" spans="1:9" x14ac:dyDescent="0.3">
      <c r="A36" s="10" t="s">
        <v>291</v>
      </c>
      <c r="B36" s="11">
        <v>0.1</v>
      </c>
      <c r="C36" s="10" t="s">
        <v>555</v>
      </c>
      <c r="F36" s="10" t="s">
        <v>703</v>
      </c>
      <c r="G36" s="12" t="s">
        <v>293</v>
      </c>
    </row>
    <row r="37" spans="1:9" x14ac:dyDescent="0.3">
      <c r="A37" s="10" t="s">
        <v>702</v>
      </c>
      <c r="B37" s="11">
        <v>0.15</v>
      </c>
      <c r="C37" s="10" t="s">
        <v>555</v>
      </c>
      <c r="F37" s="10" t="s">
        <v>703</v>
      </c>
      <c r="G37" s="12" t="s">
        <v>295</v>
      </c>
    </row>
    <row r="38" spans="1:9" x14ac:dyDescent="0.3">
      <c r="A38" s="10" t="s">
        <v>424</v>
      </c>
      <c r="B38" s="11">
        <v>0.12</v>
      </c>
      <c r="C38" s="10" t="s">
        <v>10</v>
      </c>
      <c r="F38" s="10" t="s">
        <v>703</v>
      </c>
      <c r="G38" s="12" t="s">
        <v>425</v>
      </c>
    </row>
    <row r="39" spans="1:9" x14ac:dyDescent="0.3">
      <c r="A39" s="10" t="s">
        <v>423</v>
      </c>
      <c r="B39" s="11">
        <v>0.17</v>
      </c>
      <c r="C39" s="10" t="s">
        <v>10</v>
      </c>
      <c r="F39" s="10" t="s">
        <v>703</v>
      </c>
      <c r="G39" s="12" t="s">
        <v>425</v>
      </c>
    </row>
    <row r="40" spans="1:9" x14ac:dyDescent="0.3">
      <c r="A40" s="10" t="s">
        <v>427</v>
      </c>
      <c r="B40" s="11">
        <v>0.2</v>
      </c>
      <c r="C40" s="10" t="s">
        <v>11</v>
      </c>
      <c r="F40" s="10" t="s">
        <v>703</v>
      </c>
      <c r="G40" s="12" t="s">
        <v>293</v>
      </c>
    </row>
    <row r="41" spans="1:9" x14ac:dyDescent="0.3">
      <c r="A41" s="10" t="s">
        <v>416</v>
      </c>
      <c r="B41" s="11">
        <v>0.1</v>
      </c>
      <c r="C41" s="10" t="s">
        <v>84</v>
      </c>
      <c r="F41" s="10" t="s">
        <v>17</v>
      </c>
    </row>
    <row r="42" spans="1:9" x14ac:dyDescent="0.3">
      <c r="A42" s="10" t="s">
        <v>417</v>
      </c>
      <c r="B42" s="11">
        <v>0.1</v>
      </c>
      <c r="C42" s="10" t="s">
        <v>175</v>
      </c>
      <c r="F42" s="10" t="s">
        <v>17</v>
      </c>
    </row>
    <row r="43" spans="1:9" x14ac:dyDescent="0.3">
      <c r="A43" s="10" t="s">
        <v>249</v>
      </c>
      <c r="B43" s="11">
        <v>0.1</v>
      </c>
      <c r="C43" s="10" t="s">
        <v>46</v>
      </c>
      <c r="D43" s="11">
        <v>0.15</v>
      </c>
      <c r="E43" s="10" t="s">
        <v>73</v>
      </c>
      <c r="F43" s="10" t="s">
        <v>17</v>
      </c>
      <c r="G43" s="12" t="s">
        <v>649</v>
      </c>
    </row>
    <row r="44" spans="1:9" x14ac:dyDescent="0.3">
      <c r="A44" s="10" t="s">
        <v>258</v>
      </c>
      <c r="B44" s="11">
        <v>0.1</v>
      </c>
      <c r="C44" s="10" t="s">
        <v>49</v>
      </c>
      <c r="D44" s="11">
        <v>0.15</v>
      </c>
      <c r="E44" s="10" t="s">
        <v>76</v>
      </c>
      <c r="F44" s="10" t="s">
        <v>17</v>
      </c>
      <c r="G44" s="12" t="s">
        <v>650</v>
      </c>
    </row>
    <row r="45" spans="1:9" x14ac:dyDescent="0.3">
      <c r="A45" s="10" t="s">
        <v>269</v>
      </c>
      <c r="B45" s="11">
        <v>0.16</v>
      </c>
      <c r="C45" s="10" t="s">
        <v>234</v>
      </c>
      <c r="F45" s="10" t="s">
        <v>17</v>
      </c>
    </row>
    <row r="46" spans="1:9" x14ac:dyDescent="0.3">
      <c r="A46" s="16" t="s">
        <v>454</v>
      </c>
      <c r="B46" s="11">
        <v>0.19</v>
      </c>
      <c r="C46" s="10" t="s">
        <v>135</v>
      </c>
      <c r="F46" s="10" t="s">
        <v>17</v>
      </c>
    </row>
    <row r="47" spans="1:9" x14ac:dyDescent="0.3">
      <c r="A47" s="10" t="s">
        <v>280</v>
      </c>
      <c r="B47" s="11">
        <v>0.2</v>
      </c>
      <c r="C47" s="10" t="s">
        <v>167</v>
      </c>
      <c r="F47" s="10" t="s">
        <v>17</v>
      </c>
    </row>
    <row r="48" spans="1:9" x14ac:dyDescent="0.3">
      <c r="A48" s="10" t="s">
        <v>399</v>
      </c>
      <c r="B48" s="11">
        <v>0.15</v>
      </c>
      <c r="C48" s="10" t="s">
        <v>386</v>
      </c>
      <c r="F48" s="10" t="s">
        <v>17</v>
      </c>
    </row>
    <row r="49" spans="1:7" x14ac:dyDescent="0.3">
      <c r="A49" s="10" t="s">
        <v>400</v>
      </c>
      <c r="B49" s="11">
        <v>0.1</v>
      </c>
      <c r="C49" s="10" t="s">
        <v>313</v>
      </c>
      <c r="F49" s="10" t="s">
        <v>17</v>
      </c>
    </row>
    <row r="50" spans="1:7" x14ac:dyDescent="0.3">
      <c r="A50" s="10" t="s">
        <v>402</v>
      </c>
      <c r="B50" s="11">
        <v>0.08</v>
      </c>
      <c r="C50" s="10" t="s">
        <v>312</v>
      </c>
      <c r="F50" s="10" t="s">
        <v>17</v>
      </c>
    </row>
    <row r="51" spans="1:7" x14ac:dyDescent="0.3">
      <c r="A51" s="10" t="s">
        <v>404</v>
      </c>
      <c r="B51" s="11">
        <v>0.1</v>
      </c>
      <c r="C51" s="10" t="s">
        <v>403</v>
      </c>
      <c r="F51" s="10" t="s">
        <v>17</v>
      </c>
    </row>
    <row r="52" spans="1:7" x14ac:dyDescent="0.3">
      <c r="A52" s="10" t="s">
        <v>405</v>
      </c>
      <c r="B52" s="11">
        <f>1.03*1.05-1</f>
        <v>8.1500000000000128E-2</v>
      </c>
      <c r="C52" s="10" t="s">
        <v>384</v>
      </c>
      <c r="F52" s="10" t="s">
        <v>17</v>
      </c>
    </row>
    <row r="53" spans="1:7" x14ac:dyDescent="0.3">
      <c r="A53" s="10" t="s">
        <v>406</v>
      </c>
      <c r="B53" s="11">
        <v>0.08</v>
      </c>
      <c r="C53" s="10" t="s">
        <v>190</v>
      </c>
      <c r="F53" s="10" t="s">
        <v>17</v>
      </c>
    </row>
    <row r="54" spans="1:7" x14ac:dyDescent="0.3">
      <c r="A54" s="10" t="s">
        <v>408</v>
      </c>
      <c r="B54" s="11">
        <v>0.05</v>
      </c>
      <c r="C54" s="10" t="s">
        <v>390</v>
      </c>
      <c r="F54" s="10" t="s">
        <v>17</v>
      </c>
    </row>
    <row r="55" spans="1:7" x14ac:dyDescent="0.3">
      <c r="A55" s="10" t="s">
        <v>410</v>
      </c>
      <c r="B55" s="11">
        <v>0.1</v>
      </c>
      <c r="C55" s="10" t="s">
        <v>409</v>
      </c>
      <c r="F55" s="10" t="s">
        <v>17</v>
      </c>
    </row>
    <row r="56" spans="1:7" x14ac:dyDescent="0.3">
      <c r="A56" s="10" t="s">
        <v>407</v>
      </c>
      <c r="B56" s="11">
        <f>1.02^4-1</f>
        <v>8.2432159999999977E-2</v>
      </c>
      <c r="C56" s="10" t="s">
        <v>555</v>
      </c>
      <c r="F56" s="10" t="s">
        <v>17</v>
      </c>
    </row>
    <row r="57" spans="1:7" x14ac:dyDescent="0.3">
      <c r="A57" s="10" t="s">
        <v>411</v>
      </c>
      <c r="B57" s="11">
        <v>0.15</v>
      </c>
      <c r="C57" s="10" t="s">
        <v>370</v>
      </c>
      <c r="F57" s="10" t="s">
        <v>17</v>
      </c>
    </row>
    <row r="58" spans="1:7" x14ac:dyDescent="0.3">
      <c r="A58" s="12" t="s">
        <v>431</v>
      </c>
      <c r="B58" s="14">
        <v>0.2</v>
      </c>
      <c r="C58" s="12" t="s">
        <v>555</v>
      </c>
      <c r="D58" s="12"/>
      <c r="F58" s="10" t="s">
        <v>15</v>
      </c>
      <c r="G58" s="12" t="s">
        <v>301</v>
      </c>
    </row>
    <row r="59" spans="1:7" x14ac:dyDescent="0.3">
      <c r="A59" s="12" t="s">
        <v>245</v>
      </c>
      <c r="B59" s="14">
        <v>0.15</v>
      </c>
      <c r="C59" s="12" t="s">
        <v>555</v>
      </c>
      <c r="D59" s="12"/>
      <c r="F59" s="10" t="s">
        <v>15</v>
      </c>
      <c r="G59" s="12" t="s">
        <v>302</v>
      </c>
    </row>
    <row r="60" spans="1:7" ht="32.6" x14ac:dyDescent="0.3">
      <c r="A60" s="12" t="s">
        <v>250</v>
      </c>
      <c r="B60" s="14">
        <v>0.115</v>
      </c>
      <c r="C60" s="12" t="s">
        <v>555</v>
      </c>
      <c r="D60" s="12"/>
      <c r="F60" s="10" t="s">
        <v>15</v>
      </c>
      <c r="G60" s="12" t="s">
        <v>303</v>
      </c>
    </row>
    <row r="61" spans="1:7" ht="32.6" x14ac:dyDescent="0.3">
      <c r="A61" s="12" t="s">
        <v>419</v>
      </c>
      <c r="B61" s="14">
        <v>0.127</v>
      </c>
      <c r="C61" s="12" t="s">
        <v>555</v>
      </c>
      <c r="D61" s="12"/>
      <c r="F61" s="10" t="s">
        <v>15</v>
      </c>
      <c r="G61" s="12" t="s">
        <v>418</v>
      </c>
    </row>
    <row r="62" spans="1:7" x14ac:dyDescent="0.3">
      <c r="A62" s="10" t="s">
        <v>254</v>
      </c>
      <c r="B62" s="11">
        <v>0.1</v>
      </c>
      <c r="C62" s="10" t="s">
        <v>7</v>
      </c>
      <c r="F62" s="10" t="s">
        <v>15</v>
      </c>
      <c r="G62" s="12" t="s">
        <v>293</v>
      </c>
    </row>
    <row r="63" spans="1:7" x14ac:dyDescent="0.3">
      <c r="A63" s="12" t="s">
        <v>241</v>
      </c>
      <c r="B63" s="14">
        <v>0.2</v>
      </c>
      <c r="C63" s="12" t="s">
        <v>7</v>
      </c>
      <c r="D63" s="14">
        <v>0.2</v>
      </c>
      <c r="E63" s="12" t="s">
        <v>9</v>
      </c>
      <c r="F63" s="10" t="s">
        <v>16</v>
      </c>
      <c r="G63" s="12" t="s">
        <v>295</v>
      </c>
    </row>
    <row r="64" spans="1:7" x14ac:dyDescent="0.3">
      <c r="A64" s="12" t="s">
        <v>246</v>
      </c>
      <c r="B64" s="14">
        <v>0.3</v>
      </c>
      <c r="C64" s="12" t="s">
        <v>7</v>
      </c>
      <c r="D64" s="12"/>
      <c r="F64" s="10" t="s">
        <v>16</v>
      </c>
      <c r="G64" s="12" t="s">
        <v>304</v>
      </c>
    </row>
    <row r="65" spans="1:7" x14ac:dyDescent="0.3">
      <c r="A65" s="10" t="s">
        <v>251</v>
      </c>
      <c r="B65" s="11">
        <v>0.2</v>
      </c>
      <c r="C65" s="12" t="s">
        <v>7</v>
      </c>
      <c r="D65" s="12"/>
      <c r="F65" s="10" t="s">
        <v>16</v>
      </c>
      <c r="G65" s="12" t="s">
        <v>295</v>
      </c>
    </row>
    <row r="66" spans="1:7" ht="32.6" x14ac:dyDescent="0.3">
      <c r="A66" s="10" t="s">
        <v>232</v>
      </c>
      <c r="B66" s="11">
        <v>0.25</v>
      </c>
      <c r="C66" s="12" t="s">
        <v>555</v>
      </c>
      <c r="D66" s="12"/>
      <c r="F66" s="10" t="s">
        <v>16</v>
      </c>
      <c r="G66" s="12" t="s">
        <v>455</v>
      </c>
    </row>
    <row r="67" spans="1:7" x14ac:dyDescent="0.3">
      <c r="A67" s="10" t="s">
        <v>426</v>
      </c>
      <c r="B67" s="11">
        <v>0.2</v>
      </c>
      <c r="C67" s="12" t="s">
        <v>11</v>
      </c>
      <c r="D67" s="12"/>
      <c r="F67" s="10" t="s">
        <v>16</v>
      </c>
      <c r="G67" s="12" t="s">
        <v>293</v>
      </c>
    </row>
    <row r="68" spans="1:7" x14ac:dyDescent="0.3">
      <c r="A68" s="12" t="s">
        <v>242</v>
      </c>
      <c r="B68" s="14">
        <v>0.125</v>
      </c>
      <c r="C68" s="10" t="s">
        <v>555</v>
      </c>
      <c r="F68" s="10" t="s">
        <v>401</v>
      </c>
      <c r="G68" s="12" t="s">
        <v>295</v>
      </c>
    </row>
    <row r="69" spans="1:7" ht="32.6" x14ac:dyDescent="0.3">
      <c r="A69" s="12" t="s">
        <v>247</v>
      </c>
      <c r="B69" s="14">
        <v>0.1</v>
      </c>
      <c r="C69" s="10" t="s">
        <v>555</v>
      </c>
      <c r="F69" s="10" t="s">
        <v>401</v>
      </c>
      <c r="G69" s="12" t="s">
        <v>305</v>
      </c>
    </row>
    <row r="70" spans="1:7" ht="32.6" x14ac:dyDescent="0.3">
      <c r="A70" s="10" t="s">
        <v>252</v>
      </c>
      <c r="B70" s="11">
        <v>0.05</v>
      </c>
      <c r="C70" s="10" t="s">
        <v>555</v>
      </c>
      <c r="F70" s="10" t="s">
        <v>401</v>
      </c>
      <c r="G70" s="12" t="s">
        <v>306</v>
      </c>
    </row>
    <row r="71" spans="1:7" x14ac:dyDescent="0.3">
      <c r="A71" s="12" t="s">
        <v>255</v>
      </c>
      <c r="B71" s="14">
        <v>0.1</v>
      </c>
      <c r="C71" s="10" t="s">
        <v>184</v>
      </c>
      <c r="F71" s="10" t="s">
        <v>401</v>
      </c>
    </row>
    <row r="72" spans="1:7" x14ac:dyDescent="0.3">
      <c r="A72" s="12" t="s">
        <v>259</v>
      </c>
      <c r="B72" s="14">
        <v>0.3</v>
      </c>
      <c r="C72" s="12" t="s">
        <v>118</v>
      </c>
      <c r="D72" s="12"/>
      <c r="F72" s="10" t="s">
        <v>401</v>
      </c>
    </row>
    <row r="73" spans="1:7" x14ac:dyDescent="0.3">
      <c r="A73" s="12" t="s">
        <v>261</v>
      </c>
      <c r="B73" s="14">
        <v>0.3</v>
      </c>
      <c r="C73" s="12" t="s">
        <v>115</v>
      </c>
      <c r="D73" s="12"/>
      <c r="F73" s="10" t="s">
        <v>401</v>
      </c>
    </row>
    <row r="74" spans="1:7" x14ac:dyDescent="0.3">
      <c r="A74" s="10" t="s">
        <v>263</v>
      </c>
      <c r="B74" s="11">
        <v>0.1</v>
      </c>
      <c r="C74" s="10" t="s">
        <v>105</v>
      </c>
      <c r="F74" s="10" t="s">
        <v>401</v>
      </c>
    </row>
    <row r="75" spans="1:7" x14ac:dyDescent="0.3">
      <c r="A75" s="10" t="s">
        <v>265</v>
      </c>
      <c r="B75" s="11">
        <v>0.15</v>
      </c>
      <c r="C75" s="10" t="s">
        <v>307</v>
      </c>
      <c r="F75" s="10" t="s">
        <v>401</v>
      </c>
    </row>
    <row r="76" spans="1:7" x14ac:dyDescent="0.3">
      <c r="A76" s="10" t="s">
        <v>267</v>
      </c>
      <c r="B76" s="11">
        <v>0.1</v>
      </c>
      <c r="C76" s="10" t="s">
        <v>82</v>
      </c>
      <c r="F76" s="10" t="s">
        <v>401</v>
      </c>
    </row>
    <row r="77" spans="1:7" x14ac:dyDescent="0.3">
      <c r="A77" s="10" t="s">
        <v>270</v>
      </c>
      <c r="B77" s="11">
        <v>0.2</v>
      </c>
      <c r="C77" s="10" t="s">
        <v>68</v>
      </c>
      <c r="F77" s="10" t="s">
        <v>401</v>
      </c>
    </row>
    <row r="78" spans="1:7" x14ac:dyDescent="0.3">
      <c r="A78" s="10" t="s">
        <v>272</v>
      </c>
      <c r="B78" s="11">
        <v>0.15</v>
      </c>
      <c r="C78" s="10" t="s">
        <v>78</v>
      </c>
      <c r="F78" s="10" t="s">
        <v>401</v>
      </c>
    </row>
    <row r="79" spans="1:7" x14ac:dyDescent="0.3">
      <c r="A79" s="10" t="s">
        <v>274</v>
      </c>
      <c r="B79" s="11">
        <v>0.1</v>
      </c>
      <c r="C79" s="10" t="s">
        <v>138</v>
      </c>
      <c r="F79" s="10" t="s">
        <v>401</v>
      </c>
    </row>
    <row r="80" spans="1:7" x14ac:dyDescent="0.3">
      <c r="A80" s="10" t="s">
        <v>277</v>
      </c>
      <c r="B80" s="11">
        <v>0.15</v>
      </c>
      <c r="C80" s="10" t="s">
        <v>98</v>
      </c>
      <c r="F80" s="10" t="s">
        <v>401</v>
      </c>
    </row>
    <row r="81" spans="1:6" x14ac:dyDescent="0.3">
      <c r="A81" s="10" t="s">
        <v>281</v>
      </c>
      <c r="B81" s="11">
        <v>0.2</v>
      </c>
      <c r="C81" s="10" t="s">
        <v>135</v>
      </c>
      <c r="F81" s="10" t="s">
        <v>401</v>
      </c>
    </row>
    <row r="82" spans="1:6" x14ac:dyDescent="0.3">
      <c r="A82" s="10" t="s">
        <v>283</v>
      </c>
      <c r="B82" s="11">
        <v>0.1</v>
      </c>
      <c r="C82" s="10" t="s">
        <v>159</v>
      </c>
      <c r="F82" s="10" t="s">
        <v>401</v>
      </c>
    </row>
    <row r="83" spans="1:6" x14ac:dyDescent="0.3">
      <c r="A83" s="10" t="s">
        <v>285</v>
      </c>
      <c r="B83" s="11">
        <v>0.2</v>
      </c>
      <c r="C83" s="10" t="s">
        <v>149</v>
      </c>
      <c r="F83" s="10" t="s">
        <v>401</v>
      </c>
    </row>
    <row r="84" spans="1:6" x14ac:dyDescent="0.3">
      <c r="A84" s="10" t="s">
        <v>287</v>
      </c>
      <c r="B84" s="11">
        <v>0.15</v>
      </c>
      <c r="C84" s="10" t="s">
        <v>190</v>
      </c>
      <c r="F84" s="10" t="s">
        <v>401</v>
      </c>
    </row>
    <row r="85" spans="1:6" x14ac:dyDescent="0.3">
      <c r="A85" s="10" t="s">
        <v>290</v>
      </c>
      <c r="B85" s="11">
        <v>0.1</v>
      </c>
      <c r="C85" s="10" t="s">
        <v>184</v>
      </c>
      <c r="F85" s="10" t="s">
        <v>401</v>
      </c>
    </row>
    <row r="86" spans="1:6" x14ac:dyDescent="0.3">
      <c r="A86" s="10" t="s">
        <v>292</v>
      </c>
      <c r="B86" s="11">
        <v>0.1</v>
      </c>
      <c r="C86" s="10" t="s">
        <v>175</v>
      </c>
      <c r="F86" s="10" t="s">
        <v>401</v>
      </c>
    </row>
    <row r="87" spans="1:6" x14ac:dyDescent="0.3">
      <c r="A87" s="10" t="s">
        <v>294</v>
      </c>
      <c r="B87" s="11">
        <v>0.15</v>
      </c>
      <c r="C87" s="10" t="s">
        <v>204</v>
      </c>
      <c r="F87" s="10" t="s">
        <v>401</v>
      </c>
    </row>
    <row r="88" spans="1:6" x14ac:dyDescent="0.3">
      <c r="A88" s="10" t="s">
        <v>296</v>
      </c>
      <c r="B88" s="11">
        <v>0.2</v>
      </c>
      <c r="C88" s="10" t="s">
        <v>227</v>
      </c>
      <c r="F88" s="10" t="s">
        <v>401</v>
      </c>
    </row>
    <row r="89" spans="1:6" x14ac:dyDescent="0.3">
      <c r="A89" s="10" t="s">
        <v>394</v>
      </c>
      <c r="B89" s="11">
        <v>0.15</v>
      </c>
      <c r="C89" s="10" t="s">
        <v>312</v>
      </c>
      <c r="F89" s="10" t="s">
        <v>401</v>
      </c>
    </row>
    <row r="90" spans="1:6" x14ac:dyDescent="0.3">
      <c r="A90" s="10" t="s">
        <v>395</v>
      </c>
      <c r="B90" s="11">
        <v>0.15</v>
      </c>
      <c r="C90" s="10" t="s">
        <v>552</v>
      </c>
      <c r="F90" s="10" t="s">
        <v>401</v>
      </c>
    </row>
    <row r="91" spans="1:6" x14ac:dyDescent="0.3">
      <c r="A91" s="10" t="s">
        <v>396</v>
      </c>
      <c r="B91" s="11">
        <v>0.15</v>
      </c>
      <c r="C91" s="10" t="s">
        <v>384</v>
      </c>
      <c r="F91" s="10" t="s">
        <v>401</v>
      </c>
    </row>
    <row r="92" spans="1:6" x14ac:dyDescent="0.3">
      <c r="A92" s="10" t="s">
        <v>397</v>
      </c>
      <c r="B92" s="11">
        <v>0.2</v>
      </c>
      <c r="C92" s="10" t="s">
        <v>314</v>
      </c>
      <c r="F92" s="10" t="s">
        <v>401</v>
      </c>
    </row>
  </sheetData>
  <phoneticPr fontId="1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EU37"/>
  <sheetViews>
    <sheetView zoomScale="67" workbookViewId="0">
      <selection activeCell="DR13" sqref="DR13"/>
    </sheetView>
  </sheetViews>
  <sheetFormatPr defaultColWidth="8.84375" defaultRowHeight="16.3" x14ac:dyDescent="0.3"/>
  <cols>
    <col min="1" max="1" width="25.07421875" style="17" customWidth="1"/>
    <col min="2" max="2" width="8.84375" style="17"/>
    <col min="3" max="45" width="11.53515625" style="17" customWidth="1"/>
    <col min="46" max="46" width="15.69140625" style="17"/>
    <col min="47" max="99" width="11.53515625" style="17" customWidth="1"/>
    <col min="100" max="16384" width="8.84375" style="17"/>
  </cols>
  <sheetData>
    <row r="1" spans="1:151" x14ac:dyDescent="0.5">
      <c r="A1" s="50">
        <v>0</v>
      </c>
      <c r="B1" s="50">
        <v>1</v>
      </c>
      <c r="C1" s="50">
        <v>2</v>
      </c>
      <c r="D1" s="50">
        <v>3</v>
      </c>
      <c r="E1" s="50">
        <v>4</v>
      </c>
      <c r="F1" s="50">
        <v>5</v>
      </c>
      <c r="G1" s="50">
        <v>6</v>
      </c>
      <c r="H1" s="50">
        <v>7</v>
      </c>
      <c r="I1" s="50">
        <v>8</v>
      </c>
      <c r="J1" s="50">
        <v>9</v>
      </c>
      <c r="K1" s="50">
        <v>10</v>
      </c>
      <c r="L1" s="50">
        <v>11</v>
      </c>
      <c r="M1" s="50">
        <v>12</v>
      </c>
      <c r="N1" s="50">
        <v>13</v>
      </c>
      <c r="O1" s="50">
        <v>14</v>
      </c>
      <c r="P1" s="50">
        <v>15</v>
      </c>
      <c r="Q1" s="50">
        <v>16</v>
      </c>
      <c r="R1" s="50">
        <v>17</v>
      </c>
      <c r="S1" s="50">
        <v>18</v>
      </c>
      <c r="T1" s="50">
        <v>19</v>
      </c>
      <c r="U1" s="50">
        <v>20</v>
      </c>
      <c r="V1" s="50">
        <v>21</v>
      </c>
      <c r="W1" s="50">
        <v>22</v>
      </c>
      <c r="X1" s="50">
        <v>23</v>
      </c>
      <c r="Y1" s="50">
        <v>24</v>
      </c>
      <c r="Z1" s="50">
        <v>25</v>
      </c>
      <c r="AA1" s="50">
        <v>26</v>
      </c>
      <c r="AB1" s="50">
        <v>27</v>
      </c>
      <c r="AC1" s="50">
        <v>28</v>
      </c>
      <c r="AD1" s="50">
        <v>29</v>
      </c>
      <c r="AE1" s="50">
        <v>30</v>
      </c>
      <c r="AF1" s="50">
        <v>31</v>
      </c>
      <c r="AG1" s="50">
        <v>32</v>
      </c>
      <c r="AH1" s="50">
        <v>33</v>
      </c>
      <c r="AI1" s="50">
        <v>34</v>
      </c>
      <c r="AJ1" s="50">
        <v>35</v>
      </c>
      <c r="AK1" s="50">
        <v>36</v>
      </c>
      <c r="AL1" s="50">
        <v>37</v>
      </c>
      <c r="AM1" s="50">
        <v>38</v>
      </c>
      <c r="AN1" s="50">
        <v>39</v>
      </c>
      <c r="AO1" s="50">
        <v>40</v>
      </c>
      <c r="AP1" s="50">
        <v>41</v>
      </c>
      <c r="AQ1" s="50">
        <v>42</v>
      </c>
      <c r="AR1" s="50">
        <v>43</v>
      </c>
      <c r="AS1" s="50">
        <v>44</v>
      </c>
      <c r="AT1" s="50">
        <v>45</v>
      </c>
      <c r="AU1" s="50">
        <v>46</v>
      </c>
      <c r="AV1" s="50">
        <v>47</v>
      </c>
      <c r="AW1" s="50">
        <v>48</v>
      </c>
      <c r="AX1" s="50">
        <v>49</v>
      </c>
      <c r="AY1" s="50">
        <v>50</v>
      </c>
      <c r="AZ1" s="50">
        <v>51</v>
      </c>
      <c r="BA1" s="50">
        <v>52</v>
      </c>
      <c r="BB1" s="50">
        <v>53</v>
      </c>
      <c r="BC1" s="50">
        <v>54</v>
      </c>
      <c r="BD1" s="50">
        <v>55</v>
      </c>
      <c r="BE1" s="50">
        <v>56</v>
      </c>
      <c r="BF1" s="50">
        <v>57</v>
      </c>
      <c r="BG1" s="50">
        <v>58</v>
      </c>
      <c r="BH1" s="50">
        <v>59</v>
      </c>
      <c r="BI1" s="50">
        <v>60</v>
      </c>
      <c r="BJ1" s="50">
        <v>61</v>
      </c>
      <c r="BK1" s="50">
        <v>62</v>
      </c>
      <c r="BL1" s="50">
        <v>63</v>
      </c>
      <c r="BM1" s="50">
        <v>64</v>
      </c>
      <c r="BN1" s="50">
        <v>65</v>
      </c>
      <c r="BO1" s="50">
        <v>66</v>
      </c>
      <c r="BP1" s="50">
        <v>67</v>
      </c>
      <c r="BQ1" s="50">
        <v>68</v>
      </c>
      <c r="BR1" s="50">
        <v>69</v>
      </c>
      <c r="BS1" s="50">
        <v>70</v>
      </c>
      <c r="BT1" s="50">
        <v>71</v>
      </c>
      <c r="BU1" s="50">
        <v>72</v>
      </c>
      <c r="BV1" s="50">
        <v>73</v>
      </c>
      <c r="BW1" s="50">
        <v>74</v>
      </c>
      <c r="BX1" s="50">
        <v>75</v>
      </c>
      <c r="BY1" s="50">
        <v>76</v>
      </c>
      <c r="BZ1" s="50">
        <v>77</v>
      </c>
      <c r="CA1" s="50">
        <v>78</v>
      </c>
      <c r="CB1" s="50">
        <v>79</v>
      </c>
      <c r="CC1" s="50">
        <v>80</v>
      </c>
      <c r="CD1" s="50">
        <v>81</v>
      </c>
      <c r="CE1" s="50">
        <v>82</v>
      </c>
      <c r="CF1" s="50">
        <v>83</v>
      </c>
      <c r="CG1" s="50">
        <v>84</v>
      </c>
      <c r="CH1" s="50">
        <v>85</v>
      </c>
      <c r="CI1" s="50">
        <v>86</v>
      </c>
      <c r="CJ1" s="50">
        <v>87</v>
      </c>
      <c r="CK1" s="50">
        <v>88</v>
      </c>
      <c r="CL1" s="50">
        <v>89</v>
      </c>
      <c r="CM1" s="50">
        <v>90</v>
      </c>
      <c r="CN1" s="50">
        <v>91</v>
      </c>
      <c r="CO1" s="50">
        <v>92</v>
      </c>
      <c r="CP1" s="50">
        <v>93</v>
      </c>
      <c r="CQ1" s="50">
        <v>94</v>
      </c>
      <c r="CR1" s="50">
        <v>95</v>
      </c>
      <c r="CS1" s="50">
        <v>96</v>
      </c>
      <c r="CT1" s="50">
        <v>97</v>
      </c>
      <c r="CU1" s="50">
        <v>98</v>
      </c>
      <c r="CV1" s="50">
        <v>99</v>
      </c>
      <c r="CW1" s="50">
        <v>100</v>
      </c>
      <c r="CX1" s="50">
        <v>101</v>
      </c>
      <c r="CY1" s="50">
        <v>102</v>
      </c>
      <c r="CZ1" s="50">
        <v>103</v>
      </c>
      <c r="DA1" s="50">
        <v>104</v>
      </c>
      <c r="DB1" s="50">
        <v>105</v>
      </c>
      <c r="DC1" s="50">
        <v>106</v>
      </c>
      <c r="DD1" s="50">
        <v>107</v>
      </c>
      <c r="DE1" s="50">
        <v>108</v>
      </c>
      <c r="DF1" s="50">
        <v>109</v>
      </c>
      <c r="DG1" s="50">
        <v>110</v>
      </c>
      <c r="DH1" s="50">
        <v>111</v>
      </c>
      <c r="DI1" s="50">
        <v>112</v>
      </c>
      <c r="DJ1" s="50">
        <v>113</v>
      </c>
      <c r="DK1" s="50">
        <v>114</v>
      </c>
      <c r="DL1" s="50">
        <v>115</v>
      </c>
      <c r="DM1" s="50">
        <v>116</v>
      </c>
      <c r="DN1" s="50">
        <v>117</v>
      </c>
      <c r="DO1" s="50">
        <v>118</v>
      </c>
      <c r="DP1" s="50">
        <v>119</v>
      </c>
      <c r="DQ1" s="50">
        <v>120</v>
      </c>
      <c r="DR1" s="50">
        <v>121</v>
      </c>
      <c r="DS1" s="50">
        <v>122</v>
      </c>
      <c r="DT1" s="50">
        <v>123</v>
      </c>
      <c r="DU1" s="50">
        <v>124</v>
      </c>
      <c r="DV1" s="50">
        <v>125</v>
      </c>
      <c r="DW1" s="50">
        <v>126</v>
      </c>
      <c r="DX1" s="50">
        <v>127</v>
      </c>
      <c r="DY1" s="50">
        <v>128</v>
      </c>
      <c r="DZ1" s="50">
        <v>129</v>
      </c>
      <c r="EA1" s="50">
        <v>130</v>
      </c>
      <c r="EB1" s="50">
        <v>131</v>
      </c>
      <c r="EC1" s="50">
        <v>132</v>
      </c>
      <c r="ED1" s="50">
        <v>133</v>
      </c>
      <c r="EE1" s="50">
        <v>134</v>
      </c>
      <c r="EF1" s="50">
        <v>135</v>
      </c>
      <c r="EG1" s="50">
        <v>136</v>
      </c>
      <c r="EH1" s="50">
        <v>137</v>
      </c>
      <c r="EI1" s="50">
        <v>138</v>
      </c>
      <c r="EJ1" s="50">
        <v>139</v>
      </c>
      <c r="EK1" s="50">
        <v>140</v>
      </c>
      <c r="EL1" s="50">
        <v>141</v>
      </c>
      <c r="EM1" s="50">
        <v>142</v>
      </c>
      <c r="EN1" s="50">
        <v>143</v>
      </c>
      <c r="EO1" s="50">
        <v>144</v>
      </c>
      <c r="EP1" s="50">
        <v>145</v>
      </c>
      <c r="EQ1" s="50">
        <v>146</v>
      </c>
      <c r="ER1" s="50">
        <v>147</v>
      </c>
      <c r="ES1" s="50">
        <v>148</v>
      </c>
      <c r="ET1" s="50">
        <v>149</v>
      </c>
      <c r="EU1" s="50">
        <v>150</v>
      </c>
    </row>
    <row r="2" spans="1:151" x14ac:dyDescent="0.5">
      <c r="A2" s="50">
        <v>0</v>
      </c>
      <c r="B2" s="50">
        <v>0</v>
      </c>
      <c r="C2" s="50">
        <v>0.83445189069350001</v>
      </c>
      <c r="D2" s="50">
        <v>1.9170670283275799</v>
      </c>
      <c r="E2" s="50">
        <v>3.1185076135726799</v>
      </c>
      <c r="F2" s="50">
        <v>4.40426348371789</v>
      </c>
      <c r="G2" s="50">
        <v>5.7565901232610699</v>
      </c>
      <c r="H2" s="50">
        <v>7.1644491315133303</v>
      </c>
      <c r="I2" s="50">
        <v>8.6202319344910894</v>
      </c>
      <c r="J2" s="50">
        <v>10.1183404374405</v>
      </c>
      <c r="K2" s="50">
        <v>11.654464258962101</v>
      </c>
      <c r="L2" s="50">
        <v>13.2251712099643</v>
      </c>
      <c r="M2" s="50">
        <v>14.8276567961263</v>
      </c>
      <c r="N2" s="50">
        <v>16.459581863658599</v>
      </c>
      <c r="O2" s="50">
        <v>18.1189624846605</v>
      </c>
      <c r="P2" s="50">
        <v>19.804092485685601</v>
      </c>
      <c r="Q2" s="50">
        <v>21.513487269694298</v>
      </c>
      <c r="R2" s="50">
        <v>23.245842031575801</v>
      </c>
      <c r="S2" s="50">
        <v>25</v>
      </c>
      <c r="T2" s="50">
        <v>26.4251482375698</v>
      </c>
      <c r="U2" s="50">
        <v>27.843360843482699</v>
      </c>
      <c r="V2" s="50">
        <v>29.254499422892401</v>
      </c>
      <c r="W2" s="50">
        <v>30.658419207741002</v>
      </c>
      <c r="X2" s="50">
        <v>32.054968588169501</v>
      </c>
      <c r="Y2" s="50">
        <v>33.443988595903797</v>
      </c>
      <c r="Z2" s="50">
        <v>34.825312333223899</v>
      </c>
      <c r="AA2" s="50">
        <v>36.198764340071598</v>
      </c>
      <c r="AB2" s="50">
        <v>37.5641598905789</v>
      </c>
      <c r="AC2" s="50">
        <v>38.921304208774401</v>
      </c>
      <c r="AD2" s="50">
        <v>40.269991591369397</v>
      </c>
      <c r="AE2" s="50">
        <v>41.610004423268897</v>
      </c>
      <c r="AF2" s="50">
        <v>42.941112068679999</v>
      </c>
      <c r="AG2" s="50">
        <v>44.263069617275697</v>
      </c>
      <c r="AH2" s="50">
        <v>45.575616460623202</v>
      </c>
      <c r="AI2" s="50">
        <v>46.878474668771403</v>
      </c>
      <c r="AJ2" s="50">
        <v>48.171347130195798</v>
      </c>
      <c r="AK2" s="50">
        <v>49.453915409772002</v>
      </c>
      <c r="AL2" s="50">
        <v>50.725837268526803</v>
      </c>
      <c r="AM2" s="50">
        <v>51.986743774758502</v>
      </c>
      <c r="AN2" s="50">
        <v>53.2362359175969</v>
      </c>
      <c r="AO2" s="50">
        <v>54.473880609570898</v>
      </c>
      <c r="AP2" s="50">
        <v>55.6992059319291</v>
      </c>
      <c r="AQ2" s="50">
        <v>56.911695431911902</v>
      </c>
      <c r="AR2" s="50">
        <v>58.1107812198318</v>
      </c>
      <c r="AS2" s="50">
        <v>59.295835527979499</v>
      </c>
      <c r="AT2" s="50">
        <v>60.466160271110802</v>
      </c>
      <c r="AU2" s="50">
        <v>61.620973970662803</v>
      </c>
      <c r="AV2" s="50">
        <v>62.759395141076403</v>
      </c>
      <c r="AW2" s="50">
        <v>63.880420834983298</v>
      </c>
      <c r="AX2" s="50">
        <v>64.982898414919006</v>
      </c>
      <c r="AY2" s="50">
        <v>66.065487601189204</v>
      </c>
      <c r="AZ2" s="50">
        <v>67.126608134589503</v>
      </c>
      <c r="BA2" s="50">
        <v>68.164365386393797</v>
      </c>
      <c r="BB2" s="50">
        <v>69.176440676903496</v>
      </c>
      <c r="BC2" s="50">
        <v>70.159922047139403</v>
      </c>
      <c r="BD2" s="50">
        <v>71.111027599219497</v>
      </c>
      <c r="BE2" s="50">
        <v>72.024617218319307</v>
      </c>
      <c r="BF2" s="50">
        <v>72.893233705870003</v>
      </c>
      <c r="BG2" s="50">
        <v>73.704889421693196</v>
      </c>
      <c r="BH2" s="50">
        <v>74.436270378262094</v>
      </c>
      <c r="BI2" s="50">
        <v>75</v>
      </c>
      <c r="BJ2" s="50">
        <v>75.75</v>
      </c>
      <c r="BK2" s="50">
        <v>76.5</v>
      </c>
      <c r="BL2" s="50">
        <v>77.25</v>
      </c>
      <c r="BM2" s="50">
        <v>78</v>
      </c>
      <c r="BN2" s="50">
        <v>78.75</v>
      </c>
      <c r="BO2" s="50">
        <v>79.5</v>
      </c>
      <c r="BP2" s="50">
        <v>80.25</v>
      </c>
      <c r="BQ2" s="50">
        <v>81</v>
      </c>
      <c r="BR2" s="50">
        <v>81.75</v>
      </c>
      <c r="BS2" s="50">
        <v>82.5</v>
      </c>
      <c r="BT2" s="50">
        <v>83.25</v>
      </c>
      <c r="BU2" s="50">
        <v>84</v>
      </c>
      <c r="BV2" s="50">
        <v>84.75</v>
      </c>
      <c r="BW2" s="50">
        <v>85.5</v>
      </c>
      <c r="BX2" s="50">
        <v>86.25</v>
      </c>
      <c r="BY2" s="50">
        <v>87</v>
      </c>
      <c r="BZ2" s="50">
        <v>87.75</v>
      </c>
      <c r="CA2" s="50">
        <v>88.5</v>
      </c>
      <c r="CB2" s="50">
        <v>89.25</v>
      </c>
      <c r="CC2" s="50">
        <v>90</v>
      </c>
      <c r="CD2" s="50">
        <v>90.285714285714306</v>
      </c>
      <c r="CE2" s="50">
        <v>90.571428571428598</v>
      </c>
      <c r="CF2" s="50">
        <v>90.857142857142904</v>
      </c>
      <c r="CG2" s="50">
        <v>91.142857142857096</v>
      </c>
      <c r="CH2" s="50">
        <v>91.428571428571402</v>
      </c>
      <c r="CI2" s="50">
        <v>91.714285714285694</v>
      </c>
      <c r="CJ2" s="50">
        <v>92</v>
      </c>
      <c r="CK2" s="50">
        <v>92.285714285714306</v>
      </c>
      <c r="CL2" s="50">
        <v>92.571428571428598</v>
      </c>
      <c r="CM2" s="50">
        <v>92.857142857142904</v>
      </c>
      <c r="CN2" s="50">
        <v>93.142857142857096</v>
      </c>
      <c r="CO2" s="50">
        <v>93.428571428571402</v>
      </c>
      <c r="CP2" s="50">
        <v>93.714285714285694</v>
      </c>
      <c r="CQ2" s="50">
        <v>94</v>
      </c>
      <c r="CR2" s="50">
        <v>94.285714285714306</v>
      </c>
      <c r="CS2" s="50">
        <v>94.571428571428598</v>
      </c>
      <c r="CT2" s="50">
        <v>94.857142857142904</v>
      </c>
      <c r="CU2" s="50">
        <v>95.142857142857096</v>
      </c>
      <c r="CV2" s="50">
        <v>95.428571428571402</v>
      </c>
      <c r="CW2" s="50">
        <v>95.714285714285694</v>
      </c>
      <c r="CX2" s="50">
        <v>96</v>
      </c>
      <c r="CY2" s="50">
        <v>96.285714285714306</v>
      </c>
      <c r="CZ2" s="50">
        <v>96.571428571428598</v>
      </c>
      <c r="DA2" s="50">
        <v>96.857142857142904</v>
      </c>
      <c r="DB2" s="50">
        <v>97.142857142857096</v>
      </c>
      <c r="DC2" s="50">
        <v>97.428571428571402</v>
      </c>
      <c r="DD2" s="50">
        <v>97.714285714285694</v>
      </c>
      <c r="DE2" s="50">
        <v>98</v>
      </c>
      <c r="DF2" s="50">
        <v>98.285714285714306</v>
      </c>
      <c r="DG2" s="50">
        <v>98.571428571428598</v>
      </c>
      <c r="DH2" s="50">
        <v>98.857142857142904</v>
      </c>
      <c r="DI2" s="50">
        <v>99.142857142857096</v>
      </c>
      <c r="DJ2" s="50">
        <v>99.428571428571402</v>
      </c>
      <c r="DK2" s="50">
        <v>99.714285714285694</v>
      </c>
      <c r="DL2" s="50">
        <v>100</v>
      </c>
      <c r="DM2" s="50">
        <v>100.28571428571399</v>
      </c>
      <c r="DN2" s="50">
        <v>100.571428571429</v>
      </c>
      <c r="DO2" s="50">
        <v>100.857142857143</v>
      </c>
      <c r="DP2" s="50">
        <v>101.142857142857</v>
      </c>
      <c r="DQ2" s="50">
        <v>101.428571428571</v>
      </c>
      <c r="DR2" s="50">
        <v>101.71428571428601</v>
      </c>
      <c r="DS2" s="50">
        <v>102</v>
      </c>
      <c r="DT2" s="50">
        <v>102.28571428571399</v>
      </c>
      <c r="DU2" s="50">
        <v>102.571428571429</v>
      </c>
      <c r="DV2" s="50">
        <v>102.857142857143</v>
      </c>
      <c r="DW2" s="50">
        <v>103.142857142857</v>
      </c>
      <c r="DX2" s="50">
        <v>103.428571428571</v>
      </c>
      <c r="DY2" s="50">
        <v>103.71428571428601</v>
      </c>
      <c r="DZ2" s="50">
        <v>104</v>
      </c>
      <c r="EA2" s="50">
        <v>104.28571428571399</v>
      </c>
      <c r="EB2" s="50">
        <v>104.571428571429</v>
      </c>
      <c r="EC2" s="50">
        <v>104.857142857143</v>
      </c>
      <c r="ED2" s="50">
        <v>105.142857142857</v>
      </c>
      <c r="EE2" s="50">
        <v>105.428571428571</v>
      </c>
      <c r="EF2" s="50">
        <v>105.71428571428601</v>
      </c>
      <c r="EG2" s="50">
        <v>106</v>
      </c>
      <c r="EH2" s="50">
        <v>106.28571428571399</v>
      </c>
      <c r="EI2" s="50">
        <v>106.571428571429</v>
      </c>
      <c r="EJ2" s="50">
        <v>106.857142857143</v>
      </c>
      <c r="EK2" s="50">
        <v>107.142857142857</v>
      </c>
      <c r="EL2" s="50">
        <v>107.428571428571</v>
      </c>
      <c r="EM2" s="50">
        <v>107.71428571428601</v>
      </c>
      <c r="EN2" s="50">
        <v>108</v>
      </c>
      <c r="EO2" s="50">
        <v>108.28571428571399</v>
      </c>
      <c r="EP2" s="50">
        <v>108.571428571429</v>
      </c>
      <c r="EQ2" s="50">
        <v>108.857142857143</v>
      </c>
      <c r="ER2" s="50">
        <v>109.142857142857</v>
      </c>
      <c r="ES2" s="50">
        <v>109.428571428571</v>
      </c>
      <c r="ET2" s="50">
        <v>109.714285714285</v>
      </c>
      <c r="EU2" s="50">
        <v>110</v>
      </c>
    </row>
    <row r="3" spans="1:151" x14ac:dyDescent="0.5">
      <c r="A3" s="50">
        <v>1</v>
      </c>
      <c r="B3" s="50">
        <v>0</v>
      </c>
      <c r="C3" s="50">
        <v>1.02226554468381</v>
      </c>
      <c r="D3" s="50">
        <v>2.34854949909688</v>
      </c>
      <c r="E3" s="50">
        <v>3.8204034525466</v>
      </c>
      <c r="F3" s="50">
        <v>5.3955498924834</v>
      </c>
      <c r="G3" s="50">
        <v>7.0522504694502901</v>
      </c>
      <c r="H3" s="50">
        <v>8.7769823227305395</v>
      </c>
      <c r="I3" s="50">
        <v>10.5604243840704</v>
      </c>
      <c r="J3" s="50">
        <v>12.395718571600201</v>
      </c>
      <c r="K3" s="50">
        <v>14.277584347953701</v>
      </c>
      <c r="L3" s="50">
        <v>16.201817026569199</v>
      </c>
      <c r="M3" s="50">
        <v>18.164980893601001</v>
      </c>
      <c r="N3" s="50">
        <v>20.164210311917198</v>
      </c>
      <c r="O3" s="50">
        <v>22.197074822484101</v>
      </c>
      <c r="P3" s="50">
        <v>24.2614842361046</v>
      </c>
      <c r="Q3" s="50">
        <v>26.355619811136901</v>
      </c>
      <c r="R3" s="50">
        <v>28.477883064406701</v>
      </c>
      <c r="S3" s="50">
        <v>30.626856865116</v>
      </c>
      <c r="T3" s="50">
        <v>32.8012753076517</v>
      </c>
      <c r="U3" s="50">
        <v>35</v>
      </c>
      <c r="V3" s="50">
        <v>36.196979771799299</v>
      </c>
      <c r="W3" s="50">
        <v>37.387836295894402</v>
      </c>
      <c r="X3" s="50">
        <v>38.572440971213403</v>
      </c>
      <c r="Y3" s="50">
        <v>39.750658955004802</v>
      </c>
      <c r="Z3" s="50">
        <v>40.922348678469099</v>
      </c>
      <c r="AA3" s="50">
        <v>42.0873613099156</v>
      </c>
      <c r="AB3" s="50">
        <v>43.2455401580523</v>
      </c>
      <c r="AC3" s="50">
        <v>44.396720006718802</v>
      </c>
      <c r="AD3" s="50">
        <v>45.540726370801401</v>
      </c>
      <c r="AE3" s="50">
        <v>46.677374661152903</v>
      </c>
      <c r="AF3" s="50">
        <v>47.806469243990399</v>
      </c>
      <c r="AG3" s="50">
        <v>48.927802377344499</v>
      </c>
      <c r="AH3" s="50">
        <v>50.041153003533999</v>
      </c>
      <c r="AI3" s="50">
        <v>51.146285372127103</v>
      </c>
      <c r="AJ3" s="50">
        <v>52.242947462174001</v>
      </c>
      <c r="AK3" s="50">
        <v>53.330869165261603</v>
      </c>
      <c r="AL3" s="50">
        <v>54.4097601816745</v>
      </c>
      <c r="AM3" s="50">
        <v>55.479307569940801</v>
      </c>
      <c r="AN3" s="50">
        <v>56.539172874328798</v>
      </c>
      <c r="AO3" s="50">
        <v>57.588988734077503</v>
      </c>
      <c r="AP3" s="50">
        <v>58.628354850302401</v>
      </c>
      <c r="AQ3" s="50">
        <v>59.656833148731103</v>
      </c>
      <c r="AR3" s="50">
        <v>60.673941924392601</v>
      </c>
      <c r="AS3" s="50">
        <v>61.679148681569998</v>
      </c>
      <c r="AT3" s="50">
        <v>62.671861278620803</v>
      </c>
      <c r="AU3" s="50">
        <v>63.6514168366147</v>
      </c>
      <c r="AV3" s="50">
        <v>64.617067647000098</v>
      </c>
      <c r="AW3" s="50">
        <v>65.567962972840505</v>
      </c>
      <c r="AX3" s="50">
        <v>66.5031251045408</v>
      </c>
      <c r="AY3" s="50">
        <v>67.421417167447999</v>
      </c>
      <c r="AZ3" s="50">
        <v>68.321498727440698</v>
      </c>
      <c r="BA3" s="50">
        <v>69.201762690578406</v>
      </c>
      <c r="BB3" s="50">
        <v>70.060242267250999</v>
      </c>
      <c r="BC3" s="50">
        <v>70.894467426488205</v>
      </c>
      <c r="BD3" s="50">
        <v>71.701230223067796</v>
      </c>
      <c r="BE3" s="50">
        <v>72.476170622079195</v>
      </c>
      <c r="BF3" s="50">
        <v>73.212963152749396</v>
      </c>
      <c r="BG3" s="50">
        <v>73.901439456693893</v>
      </c>
      <c r="BH3" s="50">
        <v>74.521823750105</v>
      </c>
      <c r="BI3" s="50">
        <v>75</v>
      </c>
      <c r="BJ3" s="50">
        <v>75.75</v>
      </c>
      <c r="BK3" s="50">
        <v>76.5</v>
      </c>
      <c r="BL3" s="50">
        <v>77.25</v>
      </c>
      <c r="BM3" s="50">
        <v>78</v>
      </c>
      <c r="BN3" s="50">
        <v>78.75</v>
      </c>
      <c r="BO3" s="50">
        <v>79.5</v>
      </c>
      <c r="BP3" s="50">
        <v>80.25</v>
      </c>
      <c r="BQ3" s="50">
        <v>81</v>
      </c>
      <c r="BR3" s="50">
        <v>81.75</v>
      </c>
      <c r="BS3" s="50">
        <v>82.5</v>
      </c>
      <c r="BT3" s="50">
        <v>83.25</v>
      </c>
      <c r="BU3" s="50">
        <v>84</v>
      </c>
      <c r="BV3" s="50">
        <v>84.75</v>
      </c>
      <c r="BW3" s="50">
        <v>85.5</v>
      </c>
      <c r="BX3" s="50">
        <v>86.25</v>
      </c>
      <c r="BY3" s="50">
        <v>87</v>
      </c>
      <c r="BZ3" s="50">
        <v>87.75</v>
      </c>
      <c r="CA3" s="50">
        <v>88.5</v>
      </c>
      <c r="CB3" s="50">
        <v>89.25</v>
      </c>
      <c r="CC3" s="50">
        <v>90</v>
      </c>
      <c r="CD3" s="50">
        <v>90.285714285714306</v>
      </c>
      <c r="CE3" s="50">
        <v>90.571428571428598</v>
      </c>
      <c r="CF3" s="50">
        <v>90.857142857142904</v>
      </c>
      <c r="CG3" s="50">
        <v>91.142857142857096</v>
      </c>
      <c r="CH3" s="50">
        <v>91.428571428571402</v>
      </c>
      <c r="CI3" s="50">
        <v>91.714285714285694</v>
      </c>
      <c r="CJ3" s="50">
        <v>92</v>
      </c>
      <c r="CK3" s="50">
        <v>92.285714285714306</v>
      </c>
      <c r="CL3" s="50">
        <v>92.571428571428598</v>
      </c>
      <c r="CM3" s="50">
        <v>92.857142857142904</v>
      </c>
      <c r="CN3" s="50">
        <v>93.142857142857096</v>
      </c>
      <c r="CO3" s="50">
        <v>93.428571428571402</v>
      </c>
      <c r="CP3" s="50">
        <v>93.714285714285694</v>
      </c>
      <c r="CQ3" s="50">
        <v>94</v>
      </c>
      <c r="CR3" s="50">
        <v>94.285714285714306</v>
      </c>
      <c r="CS3" s="50">
        <v>94.571428571428598</v>
      </c>
      <c r="CT3" s="50">
        <v>94.857142857142904</v>
      </c>
      <c r="CU3" s="50">
        <v>95.142857142857096</v>
      </c>
      <c r="CV3" s="50">
        <v>95.428571428571402</v>
      </c>
      <c r="CW3" s="50">
        <v>95.714285714285694</v>
      </c>
      <c r="CX3" s="50">
        <v>96</v>
      </c>
      <c r="CY3" s="50">
        <v>96.285714285714306</v>
      </c>
      <c r="CZ3" s="50">
        <v>96.571428571428598</v>
      </c>
      <c r="DA3" s="50">
        <v>96.857142857142904</v>
      </c>
      <c r="DB3" s="50">
        <v>97.142857142857096</v>
      </c>
      <c r="DC3" s="50">
        <v>97.428571428571402</v>
      </c>
      <c r="DD3" s="50">
        <v>97.714285714285694</v>
      </c>
      <c r="DE3" s="50">
        <v>98</v>
      </c>
      <c r="DF3" s="50">
        <v>98.285714285714306</v>
      </c>
      <c r="DG3" s="50">
        <v>98.571428571428598</v>
      </c>
      <c r="DH3" s="50">
        <v>98.857142857142904</v>
      </c>
      <c r="DI3" s="50">
        <v>99.142857142857096</v>
      </c>
      <c r="DJ3" s="50">
        <v>99.428571428571402</v>
      </c>
      <c r="DK3" s="50">
        <v>99.714285714285694</v>
      </c>
      <c r="DL3" s="50">
        <v>100</v>
      </c>
      <c r="DM3" s="50">
        <v>100.28571428571399</v>
      </c>
      <c r="DN3" s="50">
        <v>100.571428571429</v>
      </c>
      <c r="DO3" s="50">
        <v>100.857142857143</v>
      </c>
      <c r="DP3" s="50">
        <v>101.142857142857</v>
      </c>
      <c r="DQ3" s="50">
        <v>101.428571428571</v>
      </c>
      <c r="DR3" s="50">
        <v>101.71428571428601</v>
      </c>
      <c r="DS3" s="50">
        <v>102</v>
      </c>
      <c r="DT3" s="50">
        <v>102.28571428571399</v>
      </c>
      <c r="DU3" s="50">
        <v>102.571428571429</v>
      </c>
      <c r="DV3" s="50">
        <v>102.857142857143</v>
      </c>
      <c r="DW3" s="50">
        <v>103.142857142857</v>
      </c>
      <c r="DX3" s="50">
        <v>103.428571428571</v>
      </c>
      <c r="DY3" s="50">
        <v>103.71428571428601</v>
      </c>
      <c r="DZ3" s="50">
        <v>104</v>
      </c>
      <c r="EA3" s="50">
        <v>104.28571428571399</v>
      </c>
      <c r="EB3" s="50">
        <v>104.571428571429</v>
      </c>
      <c r="EC3" s="50">
        <v>104.857142857143</v>
      </c>
      <c r="ED3" s="50">
        <v>105.142857142857</v>
      </c>
      <c r="EE3" s="50">
        <v>105.428571428571</v>
      </c>
      <c r="EF3" s="50">
        <v>105.71428571428601</v>
      </c>
      <c r="EG3" s="50">
        <v>106</v>
      </c>
      <c r="EH3" s="50">
        <v>106.28571428571399</v>
      </c>
      <c r="EI3" s="50">
        <v>106.571428571429</v>
      </c>
      <c r="EJ3" s="50">
        <v>106.857142857143</v>
      </c>
      <c r="EK3" s="50">
        <v>107.142857142857</v>
      </c>
      <c r="EL3" s="50">
        <v>107.428571428571</v>
      </c>
      <c r="EM3" s="50">
        <v>107.71428571428601</v>
      </c>
      <c r="EN3" s="50">
        <v>108</v>
      </c>
      <c r="EO3" s="50">
        <v>108.28571428571399</v>
      </c>
      <c r="EP3" s="50">
        <v>108.571428571429</v>
      </c>
      <c r="EQ3" s="50">
        <v>108.857142857143</v>
      </c>
      <c r="ER3" s="50">
        <v>109.142857142857</v>
      </c>
      <c r="ES3" s="50">
        <v>109.428571428571</v>
      </c>
      <c r="ET3" s="50">
        <v>109.714285714285</v>
      </c>
      <c r="EU3" s="50">
        <v>110</v>
      </c>
    </row>
    <row r="4" spans="1:151" x14ac:dyDescent="0.5">
      <c r="A4" s="50">
        <v>2</v>
      </c>
      <c r="B4" s="50">
        <v>0</v>
      </c>
      <c r="C4" s="50">
        <v>1.02226554468381</v>
      </c>
      <c r="D4" s="50">
        <v>2.34854949909688</v>
      </c>
      <c r="E4" s="50">
        <v>3.8204034525466</v>
      </c>
      <c r="F4" s="50">
        <v>5.3955498924834</v>
      </c>
      <c r="G4" s="50">
        <v>7.0522504694502901</v>
      </c>
      <c r="H4" s="50">
        <v>8.7769823227305395</v>
      </c>
      <c r="I4" s="50">
        <v>10.5604243840704</v>
      </c>
      <c r="J4" s="50">
        <v>12.395718571600201</v>
      </c>
      <c r="K4" s="50">
        <v>14.277584347953701</v>
      </c>
      <c r="L4" s="50">
        <v>16.201817026569199</v>
      </c>
      <c r="M4" s="50">
        <v>18.164980893601001</v>
      </c>
      <c r="N4" s="50">
        <v>20.164210311917198</v>
      </c>
      <c r="O4" s="50">
        <v>22.197074822484101</v>
      </c>
      <c r="P4" s="50">
        <v>24.2614842361046</v>
      </c>
      <c r="Q4" s="50">
        <v>26.355619811136901</v>
      </c>
      <c r="R4" s="50">
        <v>28.477883064406701</v>
      </c>
      <c r="S4" s="50">
        <v>30.626856865116</v>
      </c>
      <c r="T4" s="50">
        <v>32.8012753076517</v>
      </c>
      <c r="U4" s="50">
        <v>35</v>
      </c>
      <c r="V4" s="50">
        <v>36.196979771799299</v>
      </c>
      <c r="W4" s="50">
        <v>37.387836295894402</v>
      </c>
      <c r="X4" s="50">
        <v>38.572440971213403</v>
      </c>
      <c r="Y4" s="50">
        <v>39.750658955004802</v>
      </c>
      <c r="Z4" s="50">
        <v>40.922348678469099</v>
      </c>
      <c r="AA4" s="50">
        <v>42.0873613099156</v>
      </c>
      <c r="AB4" s="50">
        <v>43.2455401580523</v>
      </c>
      <c r="AC4" s="50">
        <v>44.396720006718802</v>
      </c>
      <c r="AD4" s="50">
        <v>45.540726370801401</v>
      </c>
      <c r="AE4" s="50">
        <v>46.677374661152903</v>
      </c>
      <c r="AF4" s="50">
        <v>47.806469243990399</v>
      </c>
      <c r="AG4" s="50">
        <v>48.927802377344499</v>
      </c>
      <c r="AH4" s="50">
        <v>50.041153003533999</v>
      </c>
      <c r="AI4" s="50">
        <v>51.146285372127103</v>
      </c>
      <c r="AJ4" s="50">
        <v>52.242947462174001</v>
      </c>
      <c r="AK4" s="50">
        <v>53.330869165261603</v>
      </c>
      <c r="AL4" s="50">
        <v>54.4097601816745</v>
      </c>
      <c r="AM4" s="50">
        <v>55.479307569940801</v>
      </c>
      <c r="AN4" s="50">
        <v>56.539172874328798</v>
      </c>
      <c r="AO4" s="50">
        <v>57.588988734077503</v>
      </c>
      <c r="AP4" s="50">
        <v>58.628354850302401</v>
      </c>
      <c r="AQ4" s="50">
        <v>59.656833148731103</v>
      </c>
      <c r="AR4" s="50">
        <v>60.673941924392601</v>
      </c>
      <c r="AS4" s="50">
        <v>61.679148681569998</v>
      </c>
      <c r="AT4" s="50">
        <v>62.671861278620803</v>
      </c>
      <c r="AU4" s="50">
        <v>63.6514168366147</v>
      </c>
      <c r="AV4" s="50">
        <v>64.617067647000098</v>
      </c>
      <c r="AW4" s="50">
        <v>65.567962972840505</v>
      </c>
      <c r="AX4" s="50">
        <v>66.5031251045408</v>
      </c>
      <c r="AY4" s="50">
        <v>67.421417167447999</v>
      </c>
      <c r="AZ4" s="50">
        <v>68.321498727440698</v>
      </c>
      <c r="BA4" s="50">
        <v>69.201762690578406</v>
      </c>
      <c r="BB4" s="50">
        <v>70.060242267250999</v>
      </c>
      <c r="BC4" s="50">
        <v>70.894467426488205</v>
      </c>
      <c r="BD4" s="50">
        <v>71.701230223067796</v>
      </c>
      <c r="BE4" s="50">
        <v>72.476170622079195</v>
      </c>
      <c r="BF4" s="50">
        <v>73.212963152749396</v>
      </c>
      <c r="BG4" s="50">
        <v>73.901439456693893</v>
      </c>
      <c r="BH4" s="50">
        <v>74.521823750105</v>
      </c>
      <c r="BI4" s="50">
        <v>75</v>
      </c>
      <c r="BJ4" s="50">
        <v>75.75</v>
      </c>
      <c r="BK4" s="50">
        <v>76.5</v>
      </c>
      <c r="BL4" s="50">
        <v>77.25</v>
      </c>
      <c r="BM4" s="50">
        <v>78</v>
      </c>
      <c r="BN4" s="50">
        <v>78.75</v>
      </c>
      <c r="BO4" s="50">
        <v>79.5</v>
      </c>
      <c r="BP4" s="50">
        <v>80.25</v>
      </c>
      <c r="BQ4" s="50">
        <v>81</v>
      </c>
      <c r="BR4" s="50">
        <v>81.75</v>
      </c>
      <c r="BS4" s="50">
        <v>82.5</v>
      </c>
      <c r="BT4" s="50">
        <v>83.25</v>
      </c>
      <c r="BU4" s="50">
        <v>84</v>
      </c>
      <c r="BV4" s="50">
        <v>84.75</v>
      </c>
      <c r="BW4" s="50">
        <v>85.5</v>
      </c>
      <c r="BX4" s="50">
        <v>86.25</v>
      </c>
      <c r="BY4" s="50">
        <v>87</v>
      </c>
      <c r="BZ4" s="50">
        <v>87.75</v>
      </c>
      <c r="CA4" s="50">
        <v>88.5</v>
      </c>
      <c r="CB4" s="50">
        <v>89.25</v>
      </c>
      <c r="CC4" s="50">
        <v>90</v>
      </c>
      <c r="CD4" s="50">
        <v>90.285714285714306</v>
      </c>
      <c r="CE4" s="50">
        <v>90.571428571428598</v>
      </c>
      <c r="CF4" s="50">
        <v>90.857142857142904</v>
      </c>
      <c r="CG4" s="50">
        <v>91.142857142857096</v>
      </c>
      <c r="CH4" s="50">
        <v>91.428571428571402</v>
      </c>
      <c r="CI4" s="50">
        <v>91.714285714285694</v>
      </c>
      <c r="CJ4" s="50">
        <v>92</v>
      </c>
      <c r="CK4" s="50">
        <v>92.285714285714306</v>
      </c>
      <c r="CL4" s="50">
        <v>92.571428571428598</v>
      </c>
      <c r="CM4" s="50">
        <v>92.857142857142904</v>
      </c>
      <c r="CN4" s="50">
        <v>93.142857142857096</v>
      </c>
      <c r="CO4" s="50">
        <v>93.428571428571402</v>
      </c>
      <c r="CP4" s="50">
        <v>93.714285714285694</v>
      </c>
      <c r="CQ4" s="50">
        <v>94</v>
      </c>
      <c r="CR4" s="50">
        <v>94.285714285714306</v>
      </c>
      <c r="CS4" s="50">
        <v>94.571428571428598</v>
      </c>
      <c r="CT4" s="50">
        <v>94.857142857142904</v>
      </c>
      <c r="CU4" s="50">
        <v>95.142857142857096</v>
      </c>
      <c r="CV4" s="50">
        <v>95.428571428571402</v>
      </c>
      <c r="CW4" s="50">
        <v>95.714285714285694</v>
      </c>
      <c r="CX4" s="50">
        <v>96</v>
      </c>
      <c r="CY4" s="50">
        <v>96.285714285714306</v>
      </c>
      <c r="CZ4" s="50">
        <v>96.571428571428598</v>
      </c>
      <c r="DA4" s="50">
        <v>96.857142857142904</v>
      </c>
      <c r="DB4" s="50">
        <v>97.142857142857096</v>
      </c>
      <c r="DC4" s="50">
        <v>97.428571428571402</v>
      </c>
      <c r="DD4" s="50">
        <v>97.714285714285694</v>
      </c>
      <c r="DE4" s="50">
        <v>98</v>
      </c>
      <c r="DF4" s="50">
        <v>98.285714285714306</v>
      </c>
      <c r="DG4" s="50">
        <v>98.571428571428598</v>
      </c>
      <c r="DH4" s="50">
        <v>98.857142857142904</v>
      </c>
      <c r="DI4" s="50">
        <v>99.142857142857096</v>
      </c>
      <c r="DJ4" s="50">
        <v>99.428571428571402</v>
      </c>
      <c r="DK4" s="50">
        <v>99.714285714285694</v>
      </c>
      <c r="DL4" s="50">
        <v>100</v>
      </c>
      <c r="DM4" s="50">
        <v>100.28571428571399</v>
      </c>
      <c r="DN4" s="50">
        <v>100.571428571429</v>
      </c>
      <c r="DO4" s="50">
        <v>100.857142857143</v>
      </c>
      <c r="DP4" s="50">
        <v>101.142857142857</v>
      </c>
      <c r="DQ4" s="50">
        <v>101.428571428571</v>
      </c>
      <c r="DR4" s="50">
        <v>101.71428571428601</v>
      </c>
      <c r="DS4" s="50">
        <v>102</v>
      </c>
      <c r="DT4" s="50">
        <v>102.28571428571399</v>
      </c>
      <c r="DU4" s="50">
        <v>102.571428571429</v>
      </c>
      <c r="DV4" s="50">
        <v>102.857142857143</v>
      </c>
      <c r="DW4" s="50">
        <v>103.142857142857</v>
      </c>
      <c r="DX4" s="50">
        <v>103.428571428571</v>
      </c>
      <c r="DY4" s="50">
        <v>103.71428571428601</v>
      </c>
      <c r="DZ4" s="50">
        <v>104</v>
      </c>
      <c r="EA4" s="50">
        <v>104.28571428571399</v>
      </c>
      <c r="EB4" s="50">
        <v>104.571428571429</v>
      </c>
      <c r="EC4" s="50">
        <v>104.857142857143</v>
      </c>
      <c r="ED4" s="50">
        <v>105.142857142857</v>
      </c>
      <c r="EE4" s="50">
        <v>105.428571428571</v>
      </c>
      <c r="EF4" s="50">
        <v>105.71428571428601</v>
      </c>
      <c r="EG4" s="50">
        <v>106</v>
      </c>
      <c r="EH4" s="50">
        <v>106.28571428571399</v>
      </c>
      <c r="EI4" s="50">
        <v>106.571428571429</v>
      </c>
      <c r="EJ4" s="50">
        <v>106.857142857143</v>
      </c>
      <c r="EK4" s="50">
        <v>107.142857142857</v>
      </c>
      <c r="EL4" s="50">
        <v>107.428571428571</v>
      </c>
      <c r="EM4" s="50">
        <v>107.71428571428601</v>
      </c>
      <c r="EN4" s="50">
        <v>108</v>
      </c>
      <c r="EO4" s="50">
        <v>108.28571428571399</v>
      </c>
      <c r="EP4" s="50">
        <v>108.571428571429</v>
      </c>
      <c r="EQ4" s="50">
        <v>108.857142857143</v>
      </c>
      <c r="ER4" s="50">
        <v>109.142857142857</v>
      </c>
      <c r="ES4" s="50">
        <v>109.428571428571</v>
      </c>
      <c r="ET4" s="50">
        <v>109.714285714285</v>
      </c>
      <c r="EU4" s="50">
        <v>110</v>
      </c>
    </row>
    <row r="5" spans="1:151" x14ac:dyDescent="0.5">
      <c r="A5" s="50">
        <v>3</v>
      </c>
      <c r="B5" s="50">
        <v>0</v>
      </c>
      <c r="C5" s="50">
        <v>1.57894736842105</v>
      </c>
      <c r="D5" s="50">
        <v>3.1578947368421102</v>
      </c>
      <c r="E5" s="50">
        <v>4.7368421052631602</v>
      </c>
      <c r="F5" s="50">
        <v>6.3157894736842097</v>
      </c>
      <c r="G5" s="50">
        <v>7.8947368421052602</v>
      </c>
      <c r="H5" s="50">
        <v>9.4736842105263204</v>
      </c>
      <c r="I5" s="50">
        <v>11.0526315789474</v>
      </c>
      <c r="J5" s="50">
        <v>12.6315789473684</v>
      </c>
      <c r="K5" s="50">
        <v>14.210526315789499</v>
      </c>
      <c r="L5" s="50">
        <v>15.789473684210501</v>
      </c>
      <c r="M5" s="50">
        <v>17.3684210526316</v>
      </c>
      <c r="N5" s="50">
        <v>18.947368421052602</v>
      </c>
      <c r="O5" s="50">
        <v>20.526315789473699</v>
      </c>
      <c r="P5" s="50">
        <v>22.105263157894701</v>
      </c>
      <c r="Q5" s="50">
        <v>23.684210526315798</v>
      </c>
      <c r="R5" s="50">
        <v>25.2631578947368</v>
      </c>
      <c r="S5" s="50">
        <v>26.842105263157901</v>
      </c>
      <c r="T5" s="50">
        <v>28.421052631578899</v>
      </c>
      <c r="U5" s="50">
        <v>30</v>
      </c>
      <c r="V5" s="50">
        <v>33.200000000000003</v>
      </c>
      <c r="W5" s="50">
        <v>36.4</v>
      </c>
      <c r="X5" s="50">
        <v>39.6</v>
      </c>
      <c r="Y5" s="50">
        <v>42.8</v>
      </c>
      <c r="Z5" s="50">
        <v>46</v>
      </c>
      <c r="AA5" s="50">
        <v>49.2</v>
      </c>
      <c r="AB5" s="50">
        <v>52.4</v>
      </c>
      <c r="AC5" s="50">
        <v>55.6</v>
      </c>
      <c r="AD5" s="50">
        <v>58.8</v>
      </c>
      <c r="AE5" s="50">
        <v>62</v>
      </c>
      <c r="AF5" s="50">
        <v>63</v>
      </c>
      <c r="AG5" s="50">
        <v>64</v>
      </c>
      <c r="AH5" s="50">
        <v>65</v>
      </c>
      <c r="AI5" s="50">
        <v>66</v>
      </c>
      <c r="AJ5" s="50">
        <v>67</v>
      </c>
      <c r="AK5" s="50">
        <v>68</v>
      </c>
      <c r="AL5" s="50">
        <v>69</v>
      </c>
      <c r="AM5" s="50">
        <v>70</v>
      </c>
      <c r="AN5" s="50">
        <v>71</v>
      </c>
      <c r="AO5" s="50">
        <v>72</v>
      </c>
      <c r="AP5" s="50">
        <v>73</v>
      </c>
      <c r="AQ5" s="50">
        <v>74</v>
      </c>
      <c r="AR5" s="50">
        <v>75</v>
      </c>
      <c r="AS5" s="50">
        <v>76</v>
      </c>
      <c r="AT5" s="50">
        <v>77</v>
      </c>
      <c r="AU5" s="50">
        <v>78</v>
      </c>
      <c r="AV5" s="50">
        <v>79</v>
      </c>
      <c r="AW5" s="50">
        <v>80</v>
      </c>
      <c r="AX5" s="50">
        <v>81</v>
      </c>
      <c r="AY5" s="50">
        <v>82</v>
      </c>
      <c r="AZ5" s="50">
        <v>82.367346938775498</v>
      </c>
      <c r="BA5" s="50">
        <v>82.734693877550995</v>
      </c>
      <c r="BB5" s="50">
        <v>83.102040816326493</v>
      </c>
      <c r="BC5" s="50">
        <v>83.469387755102005</v>
      </c>
      <c r="BD5" s="50">
        <v>83.836734693877503</v>
      </c>
      <c r="BE5" s="50">
        <v>84.2040816326531</v>
      </c>
      <c r="BF5" s="50">
        <v>84.571428571428598</v>
      </c>
      <c r="BG5" s="50">
        <v>84.938775510204096</v>
      </c>
      <c r="BH5" s="50">
        <v>85.306122448979593</v>
      </c>
      <c r="BI5" s="50">
        <v>85.673469387755105</v>
      </c>
      <c r="BJ5" s="50">
        <v>86.040816326530603</v>
      </c>
      <c r="BK5" s="50">
        <v>86.408163265306101</v>
      </c>
      <c r="BL5" s="50">
        <v>86.775510204081598</v>
      </c>
      <c r="BM5" s="50">
        <v>87.142857142857096</v>
      </c>
      <c r="BN5" s="50">
        <v>87.510204081632693</v>
      </c>
      <c r="BO5" s="50">
        <v>87.877551020408205</v>
      </c>
      <c r="BP5" s="50">
        <v>88.244897959183703</v>
      </c>
      <c r="BQ5" s="50">
        <v>88.612244897959201</v>
      </c>
      <c r="BR5" s="50">
        <v>88.979591836734699</v>
      </c>
      <c r="BS5" s="50">
        <v>89.346938775510196</v>
      </c>
      <c r="BT5" s="50">
        <v>89.714285714285694</v>
      </c>
      <c r="BU5" s="50">
        <v>90.081632653061206</v>
      </c>
      <c r="BV5" s="50">
        <v>90.448979591836704</v>
      </c>
      <c r="BW5" s="50">
        <v>90.816326530612201</v>
      </c>
      <c r="BX5" s="50">
        <v>91.183673469387799</v>
      </c>
      <c r="BY5" s="50">
        <v>91.551020408163296</v>
      </c>
      <c r="BZ5" s="50">
        <v>91.918367346938794</v>
      </c>
      <c r="CA5" s="50">
        <v>92.285714285714306</v>
      </c>
      <c r="CB5" s="50">
        <v>92.653061224489804</v>
      </c>
      <c r="CC5" s="50">
        <v>93.020408163265301</v>
      </c>
      <c r="CD5" s="50">
        <v>93.387755102040799</v>
      </c>
      <c r="CE5" s="50">
        <v>93.755102040816297</v>
      </c>
      <c r="CF5" s="50">
        <v>94.122448979591795</v>
      </c>
      <c r="CG5" s="50">
        <v>94.489795918367307</v>
      </c>
      <c r="CH5" s="50">
        <v>94.857142857142904</v>
      </c>
      <c r="CI5" s="50">
        <v>95.224489795918402</v>
      </c>
      <c r="CJ5" s="50">
        <v>95.591836734693899</v>
      </c>
      <c r="CK5" s="50">
        <v>95.959183673469397</v>
      </c>
      <c r="CL5" s="50">
        <v>96.326530612244895</v>
      </c>
      <c r="CM5" s="50">
        <v>96.693877551020407</v>
      </c>
      <c r="CN5" s="50">
        <v>97.061224489795904</v>
      </c>
      <c r="CO5" s="50">
        <v>97.428571428571402</v>
      </c>
      <c r="CP5" s="50">
        <v>97.7959183673469</v>
      </c>
      <c r="CQ5" s="50">
        <v>98.163265306122497</v>
      </c>
      <c r="CR5" s="50">
        <v>98.530612244897995</v>
      </c>
      <c r="CS5" s="50">
        <v>98.897959183673507</v>
      </c>
      <c r="CT5" s="50">
        <v>99.265306122449005</v>
      </c>
      <c r="CU5" s="50">
        <v>99.632653061224502</v>
      </c>
      <c r="CV5" s="50">
        <v>100</v>
      </c>
      <c r="CW5" s="50">
        <v>100</v>
      </c>
      <c r="CX5" s="50">
        <v>100</v>
      </c>
      <c r="CY5" s="50">
        <v>100</v>
      </c>
      <c r="CZ5" s="50">
        <v>100</v>
      </c>
      <c r="DA5" s="50">
        <v>100</v>
      </c>
      <c r="DB5" s="50">
        <v>100</v>
      </c>
      <c r="DC5" s="50">
        <v>100</v>
      </c>
      <c r="DD5" s="50">
        <v>100</v>
      </c>
      <c r="DE5" s="50">
        <v>100</v>
      </c>
      <c r="DF5" s="50">
        <v>100</v>
      </c>
      <c r="DG5" s="50">
        <v>100</v>
      </c>
      <c r="DH5" s="50">
        <v>100</v>
      </c>
      <c r="DI5" s="50">
        <v>100</v>
      </c>
      <c r="DJ5" s="50">
        <v>100</v>
      </c>
      <c r="DK5" s="50">
        <v>100</v>
      </c>
      <c r="DL5" s="50">
        <v>100</v>
      </c>
      <c r="DM5" s="50">
        <v>100</v>
      </c>
      <c r="DN5" s="50">
        <v>100</v>
      </c>
      <c r="DO5" s="50">
        <v>100</v>
      </c>
      <c r="DP5" s="50">
        <v>100</v>
      </c>
      <c r="DQ5" s="50">
        <v>100</v>
      </c>
      <c r="DR5" s="50">
        <v>100</v>
      </c>
      <c r="DS5" s="50">
        <v>100</v>
      </c>
      <c r="DT5" s="50">
        <v>100</v>
      </c>
      <c r="DU5" s="50">
        <v>100</v>
      </c>
      <c r="DV5" s="50">
        <v>100</v>
      </c>
      <c r="DW5" s="50">
        <v>100</v>
      </c>
      <c r="DX5" s="50">
        <v>100</v>
      </c>
      <c r="DY5" s="50">
        <v>100</v>
      </c>
      <c r="DZ5" s="50">
        <v>100</v>
      </c>
      <c r="EA5" s="50">
        <v>100</v>
      </c>
      <c r="EB5" s="50">
        <v>100</v>
      </c>
      <c r="EC5" s="50">
        <v>100</v>
      </c>
      <c r="ED5" s="50">
        <v>100</v>
      </c>
      <c r="EE5" s="50">
        <v>100</v>
      </c>
      <c r="EF5" s="50">
        <v>100</v>
      </c>
      <c r="EG5" s="50">
        <v>100</v>
      </c>
      <c r="EH5" s="50">
        <v>100</v>
      </c>
      <c r="EI5" s="50">
        <v>100</v>
      </c>
      <c r="EJ5" s="50">
        <v>100</v>
      </c>
      <c r="EK5" s="50">
        <v>100</v>
      </c>
      <c r="EL5" s="50">
        <v>100</v>
      </c>
      <c r="EM5" s="50">
        <v>100</v>
      </c>
      <c r="EN5" s="50">
        <v>100</v>
      </c>
      <c r="EO5" s="50">
        <v>100</v>
      </c>
      <c r="EP5" s="50">
        <v>100</v>
      </c>
      <c r="EQ5" s="50">
        <v>100</v>
      </c>
      <c r="ER5" s="50">
        <v>100</v>
      </c>
      <c r="ES5" s="50">
        <v>100</v>
      </c>
      <c r="ET5" s="50">
        <v>100</v>
      </c>
      <c r="EU5" s="50">
        <v>100</v>
      </c>
    </row>
    <row r="6" spans="1:151" x14ac:dyDescent="0.5">
      <c r="A6" s="50">
        <v>4</v>
      </c>
      <c r="B6" s="50">
        <v>0</v>
      </c>
      <c r="C6" s="50">
        <v>2.1052631578947398</v>
      </c>
      <c r="D6" s="50">
        <v>4.2105263157894699</v>
      </c>
      <c r="E6" s="50">
        <v>6.3157894736842097</v>
      </c>
      <c r="F6" s="50">
        <v>8.4210526315789505</v>
      </c>
      <c r="G6" s="50">
        <v>10.526315789473699</v>
      </c>
      <c r="H6" s="50">
        <v>12.6315789473684</v>
      </c>
      <c r="I6" s="50">
        <v>14.7368421052632</v>
      </c>
      <c r="J6" s="50">
        <v>16.842105263157901</v>
      </c>
      <c r="K6" s="50">
        <v>18.947368421052602</v>
      </c>
      <c r="L6" s="50">
        <v>21.052631578947398</v>
      </c>
      <c r="M6" s="50">
        <v>23.157894736842099</v>
      </c>
      <c r="N6" s="50">
        <v>25.2631578947368</v>
      </c>
      <c r="O6" s="50">
        <v>27.3684210526316</v>
      </c>
      <c r="P6" s="50">
        <v>29.473684210526301</v>
      </c>
      <c r="Q6" s="50">
        <v>31.578947368421101</v>
      </c>
      <c r="R6" s="50">
        <v>33.684210526315802</v>
      </c>
      <c r="S6" s="50">
        <v>35.789473684210499</v>
      </c>
      <c r="T6" s="50">
        <v>37.894736842105303</v>
      </c>
      <c r="U6" s="50">
        <v>40</v>
      </c>
      <c r="V6" s="50">
        <v>41.3333333333333</v>
      </c>
      <c r="W6" s="50">
        <v>42.6666666666667</v>
      </c>
      <c r="X6" s="50">
        <v>44</v>
      </c>
      <c r="Y6" s="50">
        <v>45.3333333333333</v>
      </c>
      <c r="Z6" s="50">
        <v>46.6666666666667</v>
      </c>
      <c r="AA6" s="50">
        <v>48</v>
      </c>
      <c r="AB6" s="50">
        <v>49.3333333333333</v>
      </c>
      <c r="AC6" s="50">
        <v>50.6666666666667</v>
      </c>
      <c r="AD6" s="50">
        <v>52</v>
      </c>
      <c r="AE6" s="50">
        <v>53.3333333333333</v>
      </c>
      <c r="AF6" s="50">
        <v>54.6666666666667</v>
      </c>
      <c r="AG6" s="50">
        <v>56</v>
      </c>
      <c r="AH6" s="50">
        <v>57.3333333333333</v>
      </c>
      <c r="AI6" s="50">
        <v>58.6666666666667</v>
      </c>
      <c r="AJ6" s="50">
        <v>60</v>
      </c>
      <c r="AK6" s="50">
        <v>61.3333333333333</v>
      </c>
      <c r="AL6" s="50">
        <v>62.6666666666667</v>
      </c>
      <c r="AM6" s="50">
        <v>64</v>
      </c>
      <c r="AN6" s="50">
        <v>65.3333333333333</v>
      </c>
      <c r="AO6" s="50">
        <v>66.6666666666667</v>
      </c>
      <c r="AP6" s="50">
        <v>68</v>
      </c>
      <c r="AQ6" s="50">
        <v>69.3333333333333</v>
      </c>
      <c r="AR6" s="50">
        <v>70.6666666666667</v>
      </c>
      <c r="AS6" s="50">
        <v>72</v>
      </c>
      <c r="AT6" s="50">
        <v>73.3333333333333</v>
      </c>
      <c r="AU6" s="50">
        <v>74.6666666666667</v>
      </c>
      <c r="AV6" s="50">
        <v>76</v>
      </c>
      <c r="AW6" s="50">
        <v>77.3333333333333</v>
      </c>
      <c r="AX6" s="50">
        <v>78.6666666666667</v>
      </c>
      <c r="AY6" s="50">
        <v>80</v>
      </c>
      <c r="AZ6" s="50">
        <v>80.5</v>
      </c>
      <c r="BA6" s="50">
        <v>81</v>
      </c>
      <c r="BB6" s="50">
        <v>81.5</v>
      </c>
      <c r="BC6" s="50">
        <v>82</v>
      </c>
      <c r="BD6" s="50">
        <v>82.5</v>
      </c>
      <c r="BE6" s="50">
        <v>83</v>
      </c>
      <c r="BF6" s="50">
        <v>83.5</v>
      </c>
      <c r="BG6" s="50">
        <v>84</v>
      </c>
      <c r="BH6" s="50">
        <v>84.5</v>
      </c>
      <c r="BI6" s="50">
        <v>85</v>
      </c>
      <c r="BJ6" s="50">
        <v>85.5</v>
      </c>
      <c r="BK6" s="50">
        <v>86</v>
      </c>
      <c r="BL6" s="50">
        <v>86.5</v>
      </c>
      <c r="BM6" s="50">
        <v>87</v>
      </c>
      <c r="BN6" s="50">
        <v>87.5</v>
      </c>
      <c r="BO6" s="50">
        <v>88</v>
      </c>
      <c r="BP6" s="50">
        <v>88.5</v>
      </c>
      <c r="BQ6" s="50">
        <v>89</v>
      </c>
      <c r="BR6" s="50">
        <v>89.5</v>
      </c>
      <c r="BS6" s="50">
        <v>90</v>
      </c>
      <c r="BT6" s="50">
        <v>90.5</v>
      </c>
      <c r="BU6" s="50">
        <v>91</v>
      </c>
      <c r="BV6" s="50">
        <v>91.5</v>
      </c>
      <c r="BW6" s="50">
        <v>92</v>
      </c>
      <c r="BX6" s="50">
        <v>92.5</v>
      </c>
      <c r="BY6" s="50">
        <v>93</v>
      </c>
      <c r="BZ6" s="50">
        <v>93.5</v>
      </c>
      <c r="CA6" s="50">
        <v>94</v>
      </c>
      <c r="CB6" s="50">
        <v>94.5</v>
      </c>
      <c r="CC6" s="50">
        <v>95</v>
      </c>
      <c r="CD6" s="50">
        <v>95.263157894736807</v>
      </c>
      <c r="CE6" s="50">
        <v>95.526315789473699</v>
      </c>
      <c r="CF6" s="50">
        <v>95.789473684210506</v>
      </c>
      <c r="CG6" s="50">
        <v>96.052631578947398</v>
      </c>
      <c r="CH6" s="50">
        <v>96.315789473684205</v>
      </c>
      <c r="CI6" s="50">
        <v>96.578947368421098</v>
      </c>
      <c r="CJ6" s="50">
        <v>96.842105263157904</v>
      </c>
      <c r="CK6" s="50">
        <v>97.105263157894697</v>
      </c>
      <c r="CL6" s="50">
        <v>97.368421052631604</v>
      </c>
      <c r="CM6" s="50">
        <v>97.631578947368396</v>
      </c>
      <c r="CN6" s="50">
        <v>97.894736842105303</v>
      </c>
      <c r="CO6" s="50">
        <v>98.157894736842096</v>
      </c>
      <c r="CP6" s="50">
        <v>98.421052631578902</v>
      </c>
      <c r="CQ6" s="50">
        <v>98.684210526315795</v>
      </c>
      <c r="CR6" s="50">
        <v>98.947368421052602</v>
      </c>
      <c r="CS6" s="50">
        <v>99.210526315789494</v>
      </c>
      <c r="CT6" s="50">
        <v>99.473684210526301</v>
      </c>
      <c r="CU6" s="50">
        <v>99.736842105263193</v>
      </c>
      <c r="CV6" s="50">
        <v>100</v>
      </c>
      <c r="CW6" s="50">
        <v>100</v>
      </c>
      <c r="CX6" s="50">
        <v>100</v>
      </c>
      <c r="CY6" s="50">
        <v>100</v>
      </c>
      <c r="CZ6" s="50">
        <v>100</v>
      </c>
      <c r="DA6" s="50">
        <v>100</v>
      </c>
      <c r="DB6" s="50">
        <v>100</v>
      </c>
      <c r="DC6" s="50">
        <v>100</v>
      </c>
      <c r="DD6" s="50">
        <v>100</v>
      </c>
      <c r="DE6" s="50">
        <v>100</v>
      </c>
      <c r="DF6" s="50">
        <v>100</v>
      </c>
      <c r="DG6" s="50">
        <v>100</v>
      </c>
      <c r="DH6" s="50">
        <v>100</v>
      </c>
      <c r="DI6" s="50">
        <v>100</v>
      </c>
      <c r="DJ6" s="50">
        <v>100</v>
      </c>
      <c r="DK6" s="50">
        <v>100</v>
      </c>
      <c r="DL6" s="50">
        <v>100</v>
      </c>
      <c r="DM6" s="50">
        <v>100</v>
      </c>
      <c r="DN6" s="50">
        <v>100</v>
      </c>
      <c r="DO6" s="50">
        <v>100</v>
      </c>
      <c r="DP6" s="50">
        <v>100</v>
      </c>
      <c r="DQ6" s="50">
        <v>100</v>
      </c>
      <c r="DR6" s="50">
        <v>100</v>
      </c>
      <c r="DS6" s="50">
        <v>100</v>
      </c>
      <c r="DT6" s="50">
        <v>100</v>
      </c>
      <c r="DU6" s="50">
        <v>100</v>
      </c>
      <c r="DV6" s="50">
        <v>100</v>
      </c>
      <c r="DW6" s="50">
        <v>100</v>
      </c>
      <c r="DX6" s="50">
        <v>100</v>
      </c>
      <c r="DY6" s="50">
        <v>100</v>
      </c>
      <c r="DZ6" s="50">
        <v>100</v>
      </c>
      <c r="EA6" s="50">
        <v>100</v>
      </c>
      <c r="EB6" s="50">
        <v>100</v>
      </c>
      <c r="EC6" s="50">
        <v>100</v>
      </c>
      <c r="ED6" s="50">
        <v>100</v>
      </c>
      <c r="EE6" s="50">
        <v>100</v>
      </c>
      <c r="EF6" s="50">
        <v>100</v>
      </c>
      <c r="EG6" s="50">
        <v>100</v>
      </c>
      <c r="EH6" s="50">
        <v>100</v>
      </c>
      <c r="EI6" s="50">
        <v>100</v>
      </c>
      <c r="EJ6" s="50">
        <v>100</v>
      </c>
      <c r="EK6" s="50">
        <v>100</v>
      </c>
      <c r="EL6" s="50">
        <v>100</v>
      </c>
      <c r="EM6" s="50">
        <v>100</v>
      </c>
      <c r="EN6" s="50">
        <v>100</v>
      </c>
      <c r="EO6" s="50">
        <v>100</v>
      </c>
      <c r="EP6" s="50">
        <v>100</v>
      </c>
      <c r="EQ6" s="50">
        <v>100</v>
      </c>
      <c r="ER6" s="50">
        <v>100</v>
      </c>
      <c r="ES6" s="50">
        <v>100</v>
      </c>
      <c r="ET6" s="50">
        <v>100</v>
      </c>
      <c r="EU6" s="50">
        <v>100</v>
      </c>
    </row>
    <row r="7" spans="1:151" x14ac:dyDescent="0.5">
      <c r="A7" s="50">
        <v>5</v>
      </c>
      <c r="B7" s="50">
        <v>0</v>
      </c>
      <c r="C7" s="50">
        <v>3.9473684210526301</v>
      </c>
      <c r="D7" s="50">
        <v>7.8947368421052602</v>
      </c>
      <c r="E7" s="50">
        <v>11.842105263157899</v>
      </c>
      <c r="F7" s="50">
        <v>15.789473684210501</v>
      </c>
      <c r="G7" s="50">
        <v>19.7368421052632</v>
      </c>
      <c r="H7" s="50">
        <v>23.684210526315798</v>
      </c>
      <c r="I7" s="50">
        <v>27.6315789473684</v>
      </c>
      <c r="J7" s="50">
        <v>31.578947368421101</v>
      </c>
      <c r="K7" s="50">
        <v>35.526315789473699</v>
      </c>
      <c r="L7" s="50">
        <v>39.473684210526301</v>
      </c>
      <c r="M7" s="50">
        <v>43.421052631578902</v>
      </c>
      <c r="N7" s="50">
        <v>47.368421052631597</v>
      </c>
      <c r="O7" s="50">
        <v>51.315789473684198</v>
      </c>
      <c r="P7" s="50">
        <v>55.2631578947368</v>
      </c>
      <c r="Q7" s="50">
        <v>59.210526315789501</v>
      </c>
      <c r="R7" s="50">
        <v>63.157894736842103</v>
      </c>
      <c r="S7" s="50">
        <v>67.105263157894697</v>
      </c>
      <c r="T7" s="50">
        <v>71.052631578947398</v>
      </c>
      <c r="U7" s="50">
        <v>75</v>
      </c>
      <c r="V7" s="50">
        <v>82.5</v>
      </c>
      <c r="W7" s="50">
        <v>90</v>
      </c>
      <c r="X7" s="50">
        <v>97.5</v>
      </c>
      <c r="Y7" s="50">
        <v>105</v>
      </c>
      <c r="Z7" s="50">
        <v>112.5</v>
      </c>
      <c r="AA7" s="50">
        <v>120</v>
      </c>
      <c r="AB7" s="50">
        <v>127.5</v>
      </c>
      <c r="AC7" s="50">
        <v>135</v>
      </c>
      <c r="AD7" s="50">
        <v>142.5</v>
      </c>
      <c r="AE7" s="50">
        <v>150</v>
      </c>
      <c r="AF7" s="50">
        <v>157.5</v>
      </c>
      <c r="AG7" s="50">
        <v>165</v>
      </c>
      <c r="AH7" s="50">
        <v>172.5</v>
      </c>
      <c r="AI7" s="50">
        <v>180</v>
      </c>
      <c r="AJ7" s="50">
        <v>187.5</v>
      </c>
      <c r="AK7" s="50">
        <v>195</v>
      </c>
      <c r="AL7" s="50">
        <v>202.5</v>
      </c>
      <c r="AM7" s="50">
        <v>210</v>
      </c>
      <c r="AN7" s="50">
        <v>217.5</v>
      </c>
      <c r="AO7" s="50">
        <v>225</v>
      </c>
      <c r="AP7" s="50">
        <v>226.125</v>
      </c>
      <c r="AQ7" s="50">
        <v>227.25</v>
      </c>
      <c r="AR7" s="50">
        <v>228.375</v>
      </c>
      <c r="AS7" s="50">
        <v>229.5</v>
      </c>
      <c r="AT7" s="50">
        <v>230.625</v>
      </c>
      <c r="AU7" s="50">
        <v>231.75</v>
      </c>
      <c r="AV7" s="50">
        <v>232.875</v>
      </c>
      <c r="AW7" s="50">
        <v>234</v>
      </c>
      <c r="AX7" s="50">
        <v>235.125</v>
      </c>
      <c r="AY7" s="50">
        <v>236.25</v>
      </c>
      <c r="AZ7" s="50">
        <v>237.375</v>
      </c>
      <c r="BA7" s="50">
        <v>238.5</v>
      </c>
      <c r="BB7" s="50">
        <v>239.625</v>
      </c>
      <c r="BC7" s="50">
        <v>240.75</v>
      </c>
      <c r="BD7" s="50">
        <v>241.875</v>
      </c>
      <c r="BE7" s="50">
        <v>243</v>
      </c>
      <c r="BF7" s="50">
        <v>244.125</v>
      </c>
      <c r="BG7" s="50">
        <v>245.25</v>
      </c>
      <c r="BH7" s="50">
        <v>246.375</v>
      </c>
      <c r="BI7" s="50">
        <v>247.5</v>
      </c>
      <c r="BJ7" s="50">
        <v>248.625</v>
      </c>
      <c r="BK7" s="50">
        <v>249.75</v>
      </c>
      <c r="BL7" s="50">
        <v>250.875</v>
      </c>
      <c r="BM7" s="50">
        <v>252</v>
      </c>
      <c r="BN7" s="50">
        <v>253.125</v>
      </c>
      <c r="BO7" s="50">
        <v>254.25</v>
      </c>
      <c r="BP7" s="50">
        <v>255.375</v>
      </c>
      <c r="BQ7" s="50">
        <v>256.5</v>
      </c>
      <c r="BR7" s="50">
        <v>257.625</v>
      </c>
      <c r="BS7" s="50">
        <v>258.75</v>
      </c>
      <c r="BT7" s="50">
        <v>259.875</v>
      </c>
      <c r="BU7" s="50">
        <v>261</v>
      </c>
      <c r="BV7" s="50">
        <v>262.125</v>
      </c>
      <c r="BW7" s="50">
        <v>263.25</v>
      </c>
      <c r="BX7" s="50">
        <v>264.375</v>
      </c>
      <c r="BY7" s="50">
        <v>265.5</v>
      </c>
      <c r="BZ7" s="50">
        <v>266.625</v>
      </c>
      <c r="CA7" s="50">
        <v>267.75</v>
      </c>
      <c r="CB7" s="50">
        <v>268.875</v>
      </c>
      <c r="CC7" s="50">
        <v>270</v>
      </c>
      <c r="CD7" s="50">
        <v>271.57894736842098</v>
      </c>
      <c r="CE7" s="50">
        <v>273.15789473684202</v>
      </c>
      <c r="CF7" s="50">
        <v>274.73684210526301</v>
      </c>
      <c r="CG7" s="50">
        <v>276.31578947368399</v>
      </c>
      <c r="CH7" s="50">
        <v>277.89473684210498</v>
      </c>
      <c r="CI7" s="50">
        <v>279.47368421052602</v>
      </c>
      <c r="CJ7" s="50">
        <v>281.052631578947</v>
      </c>
      <c r="CK7" s="50">
        <v>282.63157894736798</v>
      </c>
      <c r="CL7" s="50">
        <v>284.21052631578902</v>
      </c>
      <c r="CM7" s="50">
        <v>285.78947368421098</v>
      </c>
      <c r="CN7" s="50">
        <v>287.36842105263202</v>
      </c>
      <c r="CO7" s="50">
        <v>288.947368421053</v>
      </c>
      <c r="CP7" s="50">
        <v>290.52631578947398</v>
      </c>
      <c r="CQ7" s="50">
        <v>292.10526315789502</v>
      </c>
      <c r="CR7" s="50">
        <v>293.68421052631601</v>
      </c>
      <c r="CS7" s="50">
        <v>295.26315789473699</v>
      </c>
      <c r="CT7" s="50">
        <v>296.84210526315798</v>
      </c>
      <c r="CU7" s="50">
        <v>298.42105263157902</v>
      </c>
      <c r="CV7" s="50">
        <v>300</v>
      </c>
      <c r="CW7" s="50">
        <v>300</v>
      </c>
      <c r="CX7" s="50">
        <v>300</v>
      </c>
      <c r="CY7" s="50">
        <v>300</v>
      </c>
      <c r="CZ7" s="50">
        <v>300</v>
      </c>
      <c r="DA7" s="50">
        <v>300</v>
      </c>
      <c r="DB7" s="50">
        <v>300</v>
      </c>
      <c r="DC7" s="50">
        <v>300</v>
      </c>
      <c r="DD7" s="50">
        <v>300</v>
      </c>
      <c r="DE7" s="50">
        <v>300</v>
      </c>
      <c r="DF7" s="50">
        <v>300</v>
      </c>
      <c r="DG7" s="50">
        <v>300</v>
      </c>
      <c r="DH7" s="50">
        <v>300</v>
      </c>
      <c r="DI7" s="50">
        <v>300</v>
      </c>
      <c r="DJ7" s="50">
        <v>300</v>
      </c>
      <c r="DK7" s="50">
        <v>300</v>
      </c>
      <c r="DL7" s="50">
        <v>300</v>
      </c>
      <c r="DM7" s="50">
        <v>300</v>
      </c>
      <c r="DN7" s="50">
        <v>300</v>
      </c>
      <c r="DO7" s="50">
        <v>300</v>
      </c>
      <c r="DP7" s="50">
        <v>300</v>
      </c>
      <c r="DQ7" s="50">
        <v>300</v>
      </c>
      <c r="DR7" s="50">
        <v>300</v>
      </c>
      <c r="DS7" s="50">
        <v>300</v>
      </c>
      <c r="DT7" s="50">
        <v>300</v>
      </c>
      <c r="DU7" s="50">
        <v>300</v>
      </c>
      <c r="DV7" s="50">
        <v>300</v>
      </c>
      <c r="DW7" s="50">
        <v>300</v>
      </c>
      <c r="DX7" s="50">
        <v>300</v>
      </c>
      <c r="DY7" s="50">
        <v>300</v>
      </c>
      <c r="DZ7" s="50">
        <v>300</v>
      </c>
      <c r="EA7" s="50">
        <v>300</v>
      </c>
      <c r="EB7" s="50">
        <v>300</v>
      </c>
      <c r="EC7" s="50">
        <v>300</v>
      </c>
      <c r="ED7" s="50">
        <v>300</v>
      </c>
      <c r="EE7" s="50">
        <v>300</v>
      </c>
      <c r="EF7" s="50">
        <v>300</v>
      </c>
      <c r="EG7" s="50">
        <v>300</v>
      </c>
      <c r="EH7" s="50">
        <v>300</v>
      </c>
      <c r="EI7" s="50">
        <v>300</v>
      </c>
      <c r="EJ7" s="50">
        <v>300</v>
      </c>
      <c r="EK7" s="50">
        <v>300</v>
      </c>
      <c r="EL7" s="50">
        <v>300</v>
      </c>
      <c r="EM7" s="50">
        <v>300</v>
      </c>
      <c r="EN7" s="50">
        <v>300</v>
      </c>
      <c r="EO7" s="50">
        <v>300</v>
      </c>
      <c r="EP7" s="50">
        <v>300</v>
      </c>
      <c r="EQ7" s="50">
        <v>300</v>
      </c>
      <c r="ER7" s="50">
        <v>300</v>
      </c>
      <c r="ES7" s="50">
        <v>300</v>
      </c>
      <c r="ET7" s="50">
        <v>300</v>
      </c>
      <c r="EU7" s="50">
        <v>300</v>
      </c>
    </row>
    <row r="8" spans="1:151" x14ac:dyDescent="0.5">
      <c r="A8" s="50">
        <v>6</v>
      </c>
      <c r="B8" s="50">
        <v>0</v>
      </c>
      <c r="C8" s="50">
        <v>0.41666666666666702</v>
      </c>
      <c r="D8" s="50">
        <v>0.83333333333333304</v>
      </c>
      <c r="E8" s="50">
        <v>1.25</v>
      </c>
      <c r="F8" s="50">
        <v>1.6666666666666701</v>
      </c>
      <c r="G8" s="50">
        <v>2.0833333333333299</v>
      </c>
      <c r="H8" s="50">
        <v>2.5</v>
      </c>
      <c r="I8" s="50">
        <v>2.9166666666666701</v>
      </c>
      <c r="J8" s="50">
        <v>3.3333333333333299</v>
      </c>
      <c r="K8" s="50">
        <v>3.75</v>
      </c>
      <c r="L8" s="50">
        <v>4.1666666666666696</v>
      </c>
      <c r="M8" s="50">
        <v>4.5833333333333304</v>
      </c>
      <c r="N8" s="50">
        <v>5</v>
      </c>
      <c r="O8" s="50">
        <v>5.4166666666666696</v>
      </c>
      <c r="P8" s="50">
        <v>5.8333333333333304</v>
      </c>
      <c r="Q8" s="50">
        <v>6.25</v>
      </c>
      <c r="R8" s="50">
        <v>6.6666666666666696</v>
      </c>
      <c r="S8" s="50">
        <v>7.0833333333333304</v>
      </c>
      <c r="T8" s="50">
        <v>7.5</v>
      </c>
      <c r="U8" s="50">
        <v>7.9166666666666696</v>
      </c>
      <c r="V8" s="50">
        <v>8.3333333333333304</v>
      </c>
      <c r="W8" s="50">
        <v>8.75</v>
      </c>
      <c r="X8" s="50">
        <v>9.1666666666666696</v>
      </c>
      <c r="Y8" s="50">
        <v>9.5833333333333304</v>
      </c>
      <c r="Z8" s="50">
        <v>10</v>
      </c>
      <c r="AA8" s="50">
        <v>13.25</v>
      </c>
      <c r="AB8" s="50">
        <v>16.5</v>
      </c>
      <c r="AC8" s="50">
        <v>19.75</v>
      </c>
      <c r="AD8" s="50">
        <v>23</v>
      </c>
      <c r="AE8" s="50">
        <v>26.25</v>
      </c>
      <c r="AF8" s="50">
        <v>29.5</v>
      </c>
      <c r="AG8" s="50">
        <v>32.75</v>
      </c>
      <c r="AH8" s="50">
        <v>36</v>
      </c>
      <c r="AI8" s="50">
        <v>39.25</v>
      </c>
      <c r="AJ8" s="50">
        <v>42.5</v>
      </c>
      <c r="AK8" s="50">
        <v>45.75</v>
      </c>
      <c r="AL8" s="50">
        <v>49</v>
      </c>
      <c r="AM8" s="50">
        <v>52.25</v>
      </c>
      <c r="AN8" s="50">
        <v>55.5</v>
      </c>
      <c r="AO8" s="50">
        <v>58.75</v>
      </c>
      <c r="AP8" s="50">
        <v>62</v>
      </c>
      <c r="AQ8" s="50">
        <v>65.25</v>
      </c>
      <c r="AR8" s="50">
        <v>68.5</v>
      </c>
      <c r="AS8" s="50">
        <v>71.75</v>
      </c>
      <c r="AT8" s="50">
        <v>75</v>
      </c>
      <c r="AU8" s="50">
        <v>76</v>
      </c>
      <c r="AV8" s="50">
        <v>77</v>
      </c>
      <c r="AW8" s="50">
        <v>78</v>
      </c>
      <c r="AX8" s="50">
        <v>79</v>
      </c>
      <c r="AY8" s="50">
        <v>80</v>
      </c>
      <c r="AZ8" s="50">
        <v>81</v>
      </c>
      <c r="BA8" s="50">
        <v>82</v>
      </c>
      <c r="BB8" s="50">
        <v>83</v>
      </c>
      <c r="BC8" s="50">
        <v>84</v>
      </c>
      <c r="BD8" s="50">
        <v>85</v>
      </c>
      <c r="BE8" s="50">
        <v>86</v>
      </c>
      <c r="BF8" s="50">
        <v>87</v>
      </c>
      <c r="BG8" s="50">
        <v>88</v>
      </c>
      <c r="BH8" s="50">
        <v>89</v>
      </c>
      <c r="BI8" s="50">
        <v>90</v>
      </c>
      <c r="BJ8" s="50">
        <v>90.256410256410305</v>
      </c>
      <c r="BK8" s="50">
        <v>90.512820512820497</v>
      </c>
      <c r="BL8" s="50">
        <v>90.769230769230802</v>
      </c>
      <c r="BM8" s="50">
        <v>91.025641025640994</v>
      </c>
      <c r="BN8" s="50">
        <v>91.282051282051299</v>
      </c>
      <c r="BO8" s="50">
        <v>91.538461538461505</v>
      </c>
      <c r="BP8" s="50">
        <v>91.794871794871796</v>
      </c>
      <c r="BQ8" s="50">
        <v>92.051282051282001</v>
      </c>
      <c r="BR8" s="50">
        <v>92.307692307692307</v>
      </c>
      <c r="BS8" s="50">
        <v>92.564102564102598</v>
      </c>
      <c r="BT8" s="50">
        <v>92.820512820512803</v>
      </c>
      <c r="BU8" s="50">
        <v>93.076923076923094</v>
      </c>
      <c r="BV8" s="50">
        <v>93.3333333333333</v>
      </c>
      <c r="BW8" s="50">
        <v>93.589743589743605</v>
      </c>
      <c r="BX8" s="50">
        <v>93.846153846153797</v>
      </c>
      <c r="BY8" s="50">
        <v>94.102564102564102</v>
      </c>
      <c r="BZ8" s="50">
        <v>94.358974358974393</v>
      </c>
      <c r="CA8" s="50">
        <v>94.615384615384599</v>
      </c>
      <c r="CB8" s="50">
        <v>94.871794871794904</v>
      </c>
      <c r="CC8" s="50">
        <v>95.128205128205096</v>
      </c>
      <c r="CD8" s="50">
        <v>95.384615384615401</v>
      </c>
      <c r="CE8" s="50">
        <v>95.641025641025607</v>
      </c>
      <c r="CF8" s="50">
        <v>95.897435897435898</v>
      </c>
      <c r="CG8" s="50">
        <v>96.153846153846203</v>
      </c>
      <c r="CH8" s="50">
        <v>96.410256410256395</v>
      </c>
      <c r="CI8" s="50">
        <v>96.6666666666667</v>
      </c>
      <c r="CJ8" s="50">
        <v>96.923076923076906</v>
      </c>
      <c r="CK8" s="50">
        <v>97.179487179487197</v>
      </c>
      <c r="CL8" s="50">
        <v>97.435897435897402</v>
      </c>
      <c r="CM8" s="50">
        <v>97.692307692307693</v>
      </c>
      <c r="CN8" s="50">
        <v>97.948717948717899</v>
      </c>
      <c r="CO8" s="50">
        <v>98.205128205128204</v>
      </c>
      <c r="CP8" s="50">
        <v>98.461538461538495</v>
      </c>
      <c r="CQ8" s="50">
        <v>98.717948717948701</v>
      </c>
      <c r="CR8" s="50">
        <v>98.974358974359006</v>
      </c>
      <c r="CS8" s="50">
        <v>99.230769230769198</v>
      </c>
      <c r="CT8" s="50">
        <v>99.487179487179503</v>
      </c>
      <c r="CU8" s="50">
        <v>99.743589743589695</v>
      </c>
      <c r="CV8" s="50">
        <v>100</v>
      </c>
      <c r="CW8" s="50">
        <v>100</v>
      </c>
      <c r="CX8" s="50">
        <v>100</v>
      </c>
      <c r="CY8" s="50">
        <v>100</v>
      </c>
      <c r="CZ8" s="50">
        <v>100</v>
      </c>
      <c r="DA8" s="50">
        <v>100</v>
      </c>
      <c r="DB8" s="50">
        <v>100</v>
      </c>
      <c r="DC8" s="50">
        <v>100</v>
      </c>
      <c r="DD8" s="50">
        <v>100</v>
      </c>
      <c r="DE8" s="50">
        <v>100</v>
      </c>
      <c r="DF8" s="50">
        <v>100</v>
      </c>
      <c r="DG8" s="50">
        <v>100</v>
      </c>
      <c r="DH8" s="50">
        <v>100</v>
      </c>
      <c r="DI8" s="50">
        <v>100</v>
      </c>
      <c r="DJ8" s="50">
        <v>100</v>
      </c>
      <c r="DK8" s="50">
        <v>100</v>
      </c>
      <c r="DL8" s="50">
        <v>100</v>
      </c>
      <c r="DM8" s="50">
        <v>100</v>
      </c>
      <c r="DN8" s="50">
        <v>100</v>
      </c>
      <c r="DO8" s="50">
        <v>100</v>
      </c>
      <c r="DP8" s="50">
        <v>100</v>
      </c>
      <c r="DQ8" s="50">
        <v>100</v>
      </c>
      <c r="DR8" s="50">
        <v>100</v>
      </c>
      <c r="DS8" s="50">
        <v>100</v>
      </c>
      <c r="DT8" s="50">
        <v>100</v>
      </c>
      <c r="DU8" s="50">
        <v>100</v>
      </c>
      <c r="DV8" s="50">
        <v>100</v>
      </c>
      <c r="DW8" s="50">
        <v>100</v>
      </c>
      <c r="DX8" s="50">
        <v>100</v>
      </c>
      <c r="DY8" s="50">
        <v>100</v>
      </c>
      <c r="DZ8" s="50">
        <v>100</v>
      </c>
      <c r="EA8" s="50">
        <v>100</v>
      </c>
      <c r="EB8" s="50">
        <v>100</v>
      </c>
      <c r="EC8" s="50">
        <v>100</v>
      </c>
      <c r="ED8" s="50">
        <v>100</v>
      </c>
      <c r="EE8" s="50">
        <v>100</v>
      </c>
      <c r="EF8" s="50">
        <v>100</v>
      </c>
      <c r="EG8" s="50">
        <v>100</v>
      </c>
      <c r="EH8" s="50">
        <v>100</v>
      </c>
      <c r="EI8" s="50">
        <v>100</v>
      </c>
      <c r="EJ8" s="50">
        <v>100</v>
      </c>
      <c r="EK8" s="50">
        <v>100</v>
      </c>
      <c r="EL8" s="50">
        <v>100</v>
      </c>
      <c r="EM8" s="50">
        <v>100</v>
      </c>
      <c r="EN8" s="50">
        <v>100</v>
      </c>
      <c r="EO8" s="50">
        <v>100</v>
      </c>
      <c r="EP8" s="50">
        <v>100</v>
      </c>
      <c r="EQ8" s="50">
        <v>100</v>
      </c>
      <c r="ER8" s="50">
        <v>100</v>
      </c>
      <c r="ES8" s="50">
        <v>100</v>
      </c>
      <c r="ET8" s="50">
        <v>100</v>
      </c>
      <c r="EU8" s="50">
        <v>100</v>
      </c>
    </row>
    <row r="9" spans="1:151" x14ac:dyDescent="0.5">
      <c r="A9" s="50">
        <v>7</v>
      </c>
      <c r="B9" s="50">
        <v>0</v>
      </c>
      <c r="C9" s="50">
        <v>1.02226554468381</v>
      </c>
      <c r="D9" s="50">
        <v>2.34854949909688</v>
      </c>
      <c r="E9" s="50">
        <v>3.8204034525466</v>
      </c>
      <c r="F9" s="50">
        <v>5.3955498924834</v>
      </c>
      <c r="G9" s="50">
        <v>7.0522504694502901</v>
      </c>
      <c r="H9" s="50">
        <v>8.7769823227305395</v>
      </c>
      <c r="I9" s="50">
        <v>10.5604243840704</v>
      </c>
      <c r="J9" s="50">
        <v>12.395718571600201</v>
      </c>
      <c r="K9" s="50">
        <v>14.277584347953701</v>
      </c>
      <c r="L9" s="50">
        <v>16.201817026569199</v>
      </c>
      <c r="M9" s="50">
        <v>18.164980893601001</v>
      </c>
      <c r="N9" s="50">
        <v>20.164210311917198</v>
      </c>
      <c r="O9" s="50">
        <v>22.197074822484101</v>
      </c>
      <c r="P9" s="50">
        <v>24.2614842361046</v>
      </c>
      <c r="Q9" s="50">
        <v>26.355619811136901</v>
      </c>
      <c r="R9" s="50">
        <v>28.477883064406701</v>
      </c>
      <c r="S9" s="50">
        <v>30.626856865116</v>
      </c>
      <c r="T9" s="50">
        <v>32.8012753076517</v>
      </c>
      <c r="U9" s="50">
        <v>35</v>
      </c>
      <c r="V9" s="50">
        <v>36.196979771799299</v>
      </c>
      <c r="W9" s="50">
        <v>37.387836295894402</v>
      </c>
      <c r="X9" s="50">
        <v>38.572440971213403</v>
      </c>
      <c r="Y9" s="50">
        <v>39.750658955004802</v>
      </c>
      <c r="Z9" s="50">
        <v>40.922348678469099</v>
      </c>
      <c r="AA9" s="50">
        <v>42.0873613099156</v>
      </c>
      <c r="AB9" s="50">
        <v>43.2455401580523</v>
      </c>
      <c r="AC9" s="50">
        <v>44.396720006718802</v>
      </c>
      <c r="AD9" s="50">
        <v>45.540726370801401</v>
      </c>
      <c r="AE9" s="50">
        <v>46.677374661152903</v>
      </c>
      <c r="AF9" s="50">
        <v>47.806469243990399</v>
      </c>
      <c r="AG9" s="50">
        <v>48.927802377344499</v>
      </c>
      <c r="AH9" s="50">
        <v>50.041153003533999</v>
      </c>
      <c r="AI9" s="50">
        <v>51.146285372127103</v>
      </c>
      <c r="AJ9" s="50">
        <v>52.242947462174001</v>
      </c>
      <c r="AK9" s="50">
        <v>53.330869165261603</v>
      </c>
      <c r="AL9" s="50">
        <v>54.4097601816745</v>
      </c>
      <c r="AM9" s="50">
        <v>55.479307569940801</v>
      </c>
      <c r="AN9" s="50">
        <v>56.539172874328798</v>
      </c>
      <c r="AO9" s="50">
        <v>57.588988734077503</v>
      </c>
      <c r="AP9" s="50">
        <v>58.628354850302401</v>
      </c>
      <c r="AQ9" s="50">
        <v>59.656833148731103</v>
      </c>
      <c r="AR9" s="50">
        <v>60.673941924392601</v>
      </c>
      <c r="AS9" s="50">
        <v>61.679148681569998</v>
      </c>
      <c r="AT9" s="50">
        <v>62.671861278620803</v>
      </c>
      <c r="AU9" s="50">
        <v>63.6514168366147</v>
      </c>
      <c r="AV9" s="50">
        <v>64.617067647000098</v>
      </c>
      <c r="AW9" s="50">
        <v>65.567962972840505</v>
      </c>
      <c r="AX9" s="50">
        <v>66.5031251045408</v>
      </c>
      <c r="AY9" s="50">
        <v>67.421417167447999</v>
      </c>
      <c r="AZ9" s="50">
        <v>68.321498727440698</v>
      </c>
      <c r="BA9" s="50">
        <v>69.201762690578406</v>
      </c>
      <c r="BB9" s="50">
        <v>70.060242267250999</v>
      </c>
      <c r="BC9" s="50">
        <v>70.894467426488205</v>
      </c>
      <c r="BD9" s="50">
        <v>71.701230223067796</v>
      </c>
      <c r="BE9" s="50">
        <v>72.476170622079195</v>
      </c>
      <c r="BF9" s="50">
        <v>73.212963152749396</v>
      </c>
      <c r="BG9" s="50">
        <v>73.901439456693893</v>
      </c>
      <c r="BH9" s="50">
        <v>74.521823750105</v>
      </c>
      <c r="BI9" s="50">
        <v>75</v>
      </c>
      <c r="BJ9" s="50">
        <v>75.75</v>
      </c>
      <c r="BK9" s="50">
        <v>76.5</v>
      </c>
      <c r="BL9" s="50">
        <v>77.25</v>
      </c>
      <c r="BM9" s="50">
        <v>78</v>
      </c>
      <c r="BN9" s="50">
        <v>78.75</v>
      </c>
      <c r="BO9" s="50">
        <v>79.5</v>
      </c>
      <c r="BP9" s="50">
        <v>80.25</v>
      </c>
      <c r="BQ9" s="50">
        <v>81</v>
      </c>
      <c r="BR9" s="50">
        <v>81.75</v>
      </c>
      <c r="BS9" s="50">
        <v>82.5</v>
      </c>
      <c r="BT9" s="50">
        <v>83.25</v>
      </c>
      <c r="BU9" s="50">
        <v>84</v>
      </c>
      <c r="BV9" s="50">
        <v>84.75</v>
      </c>
      <c r="BW9" s="50">
        <v>85.5</v>
      </c>
      <c r="BX9" s="50">
        <v>86.25</v>
      </c>
      <c r="BY9" s="50">
        <v>87</v>
      </c>
      <c r="BZ9" s="50">
        <v>87.75</v>
      </c>
      <c r="CA9" s="50">
        <v>88.5</v>
      </c>
      <c r="CB9" s="50">
        <v>89.25</v>
      </c>
      <c r="CC9" s="50">
        <v>90</v>
      </c>
      <c r="CD9" s="50">
        <v>90.285714285714306</v>
      </c>
      <c r="CE9" s="50">
        <v>90.571428571428598</v>
      </c>
      <c r="CF9" s="50">
        <v>90.857142857142904</v>
      </c>
      <c r="CG9" s="50">
        <v>91.142857142857096</v>
      </c>
      <c r="CH9" s="50">
        <v>91.428571428571402</v>
      </c>
      <c r="CI9" s="50">
        <v>91.714285714285694</v>
      </c>
      <c r="CJ9" s="50">
        <v>92</v>
      </c>
      <c r="CK9" s="50">
        <v>92.285714285714306</v>
      </c>
      <c r="CL9" s="50">
        <v>92.571428571428598</v>
      </c>
      <c r="CM9" s="50">
        <v>92.857142857142904</v>
      </c>
      <c r="CN9" s="50">
        <v>93.142857142857096</v>
      </c>
      <c r="CO9" s="50">
        <v>93.428571428571402</v>
      </c>
      <c r="CP9" s="50">
        <v>93.714285714285694</v>
      </c>
      <c r="CQ9" s="50">
        <v>94</v>
      </c>
      <c r="CR9" s="50">
        <v>94.285714285714306</v>
      </c>
      <c r="CS9" s="50">
        <v>94.571428571428598</v>
      </c>
      <c r="CT9" s="50">
        <v>94.857142857142904</v>
      </c>
      <c r="CU9" s="50">
        <v>95.142857142857096</v>
      </c>
      <c r="CV9" s="50">
        <v>95.428571428571402</v>
      </c>
      <c r="CW9" s="50">
        <v>95.714285714285694</v>
      </c>
      <c r="CX9" s="50">
        <v>96</v>
      </c>
      <c r="CY9" s="50">
        <v>96.285714285714306</v>
      </c>
      <c r="CZ9" s="50">
        <v>96.571428571428598</v>
      </c>
      <c r="DA9" s="50">
        <v>96.857142857142904</v>
      </c>
      <c r="DB9" s="50">
        <v>97.142857142857096</v>
      </c>
      <c r="DC9" s="50">
        <v>97.428571428571402</v>
      </c>
      <c r="DD9" s="50">
        <v>97.714285714285694</v>
      </c>
      <c r="DE9" s="50">
        <v>98</v>
      </c>
      <c r="DF9" s="50">
        <v>98.285714285714306</v>
      </c>
      <c r="DG9" s="50">
        <v>98.571428571428598</v>
      </c>
      <c r="DH9" s="50">
        <v>98.857142857142904</v>
      </c>
      <c r="DI9" s="50">
        <v>99.142857142857096</v>
      </c>
      <c r="DJ9" s="50">
        <v>99.428571428571402</v>
      </c>
      <c r="DK9" s="50">
        <v>99.714285714285694</v>
      </c>
      <c r="DL9" s="50">
        <v>100</v>
      </c>
      <c r="DM9" s="50">
        <v>100.28571428571399</v>
      </c>
      <c r="DN9" s="50">
        <v>100.571428571429</v>
      </c>
      <c r="DO9" s="50">
        <v>100.857142857143</v>
      </c>
      <c r="DP9" s="50">
        <v>101.142857142857</v>
      </c>
      <c r="DQ9" s="50">
        <v>101.428571428571</v>
      </c>
      <c r="DR9" s="50">
        <v>101.71428571428601</v>
      </c>
      <c r="DS9" s="50">
        <v>102</v>
      </c>
      <c r="DT9" s="50">
        <v>102.28571428571399</v>
      </c>
      <c r="DU9" s="50">
        <v>102.571428571429</v>
      </c>
      <c r="DV9" s="50">
        <v>102.857142857143</v>
      </c>
      <c r="DW9" s="50">
        <v>103.142857142857</v>
      </c>
      <c r="DX9" s="50">
        <v>103.428571428571</v>
      </c>
      <c r="DY9" s="50">
        <v>103.71428571428601</v>
      </c>
      <c r="DZ9" s="50">
        <v>104</v>
      </c>
      <c r="EA9" s="50">
        <v>104.28571428571399</v>
      </c>
      <c r="EB9" s="50">
        <v>104.571428571429</v>
      </c>
      <c r="EC9" s="50">
        <v>104.857142857143</v>
      </c>
      <c r="ED9" s="50">
        <v>105.142857142857</v>
      </c>
      <c r="EE9" s="50">
        <v>105.428571428571</v>
      </c>
      <c r="EF9" s="50">
        <v>105.71428571428601</v>
      </c>
      <c r="EG9" s="50">
        <v>106</v>
      </c>
      <c r="EH9" s="50">
        <v>106.28571428571399</v>
      </c>
      <c r="EI9" s="50">
        <v>106.571428571429</v>
      </c>
      <c r="EJ9" s="50">
        <v>106.857142857143</v>
      </c>
      <c r="EK9" s="50">
        <v>107.142857142857</v>
      </c>
      <c r="EL9" s="50">
        <v>107.428571428571</v>
      </c>
      <c r="EM9" s="50">
        <v>107.71428571428601</v>
      </c>
      <c r="EN9" s="50">
        <v>108</v>
      </c>
      <c r="EO9" s="50">
        <v>108.28571428571399</v>
      </c>
      <c r="EP9" s="50">
        <v>108.571428571429</v>
      </c>
      <c r="EQ9" s="50">
        <v>108.857142857143</v>
      </c>
      <c r="ER9" s="50">
        <v>109.142857142857</v>
      </c>
      <c r="ES9" s="50">
        <v>109.428571428571</v>
      </c>
      <c r="ET9" s="50">
        <v>109.714285714285</v>
      </c>
      <c r="EU9" s="50">
        <v>110</v>
      </c>
    </row>
    <row r="10" spans="1:151" x14ac:dyDescent="0.5">
      <c r="A10" s="50">
        <v>8</v>
      </c>
      <c r="B10" s="50">
        <v>0</v>
      </c>
      <c r="C10" s="50">
        <v>0.96968459858781397</v>
      </c>
      <c r="D10" s="50">
        <v>2.2277502065275598</v>
      </c>
      <c r="E10" s="50">
        <v>3.6238983183884801</v>
      </c>
      <c r="F10" s="50">
        <v>5.1180259951650298</v>
      </c>
      <c r="G10" s="50">
        <v>6.6895130146685897</v>
      </c>
      <c r="H10" s="50">
        <v>8.3255320740187297</v>
      </c>
      <c r="I10" s="50">
        <v>10.0172415406524</v>
      </c>
      <c r="J10" s="50">
        <v>11.7581360829563</v>
      </c>
      <c r="K10" s="50">
        <v>13.5432067717115</v>
      </c>
      <c r="L10" s="50">
        <v>15.3684651913621</v>
      </c>
      <c r="M10" s="50">
        <v>17.230652346416498</v>
      </c>
      <c r="N10" s="50">
        <v>19.1270499958007</v>
      </c>
      <c r="O10" s="50">
        <v>21.055352692848199</v>
      </c>
      <c r="P10" s="50">
        <v>23.013577758710699</v>
      </c>
      <c r="Q10" s="50">
        <v>25</v>
      </c>
      <c r="R10" s="50">
        <v>26.4251482375698</v>
      </c>
      <c r="S10" s="50">
        <v>27.843360843482699</v>
      </c>
      <c r="T10" s="50">
        <v>29.254499422892401</v>
      </c>
      <c r="U10" s="50">
        <v>30.658419207741002</v>
      </c>
      <c r="V10" s="50">
        <v>32.054968588169501</v>
      </c>
      <c r="W10" s="50">
        <v>33.443988595903797</v>
      </c>
      <c r="X10" s="50">
        <v>34.825312333223899</v>
      </c>
      <c r="Y10" s="50">
        <v>36.198764340071598</v>
      </c>
      <c r="Z10" s="50">
        <v>37.5641598905789</v>
      </c>
      <c r="AA10" s="50">
        <v>38.921304208774401</v>
      </c>
      <c r="AB10" s="50">
        <v>40.269991591369397</v>
      </c>
      <c r="AC10" s="50">
        <v>41.610004423268897</v>
      </c>
      <c r="AD10" s="50">
        <v>42.941112068679999</v>
      </c>
      <c r="AE10" s="50">
        <v>44.263069617275697</v>
      </c>
      <c r="AF10" s="50">
        <v>45.575616460623202</v>
      </c>
      <c r="AG10" s="50">
        <v>46.878474668771403</v>
      </c>
      <c r="AH10" s="50">
        <v>48.171347130195798</v>
      </c>
      <c r="AI10" s="50">
        <v>49.453915409772002</v>
      </c>
      <c r="AJ10" s="50">
        <v>50.725837268526803</v>
      </c>
      <c r="AK10" s="50">
        <v>51.986743774758502</v>
      </c>
      <c r="AL10" s="50">
        <v>53.2362359175969</v>
      </c>
      <c r="AM10" s="50">
        <v>54.473880609570898</v>
      </c>
      <c r="AN10" s="50">
        <v>55.6992059319291</v>
      </c>
      <c r="AO10" s="50">
        <v>56.911695431911902</v>
      </c>
      <c r="AP10" s="50">
        <v>58.1107812198318</v>
      </c>
      <c r="AQ10" s="50">
        <v>59.295835527979499</v>
      </c>
      <c r="AR10" s="50">
        <v>60.466160271110802</v>
      </c>
      <c r="AS10" s="50">
        <v>61.620973970662803</v>
      </c>
      <c r="AT10" s="50">
        <v>62.759395141076403</v>
      </c>
      <c r="AU10" s="50">
        <v>63.880420834983298</v>
      </c>
      <c r="AV10" s="50">
        <v>64.982898414919006</v>
      </c>
      <c r="AW10" s="50">
        <v>66.065487601189204</v>
      </c>
      <c r="AX10" s="50">
        <v>67.126608134589503</v>
      </c>
      <c r="AY10" s="50">
        <v>68.164365386393797</v>
      </c>
      <c r="AZ10" s="50">
        <v>69.176440676903496</v>
      </c>
      <c r="BA10" s="50">
        <v>70.159922047139403</v>
      </c>
      <c r="BB10" s="50">
        <v>71.111027599219497</v>
      </c>
      <c r="BC10" s="50">
        <v>72.024617218319307</v>
      </c>
      <c r="BD10" s="50">
        <v>72.893233705870003</v>
      </c>
      <c r="BE10" s="50">
        <v>73.704889421693196</v>
      </c>
      <c r="BF10" s="50">
        <v>74.436270378262094</v>
      </c>
      <c r="BG10" s="50">
        <v>75</v>
      </c>
      <c r="BH10" s="50">
        <v>75.681818181818201</v>
      </c>
      <c r="BI10" s="50">
        <v>76.363636363636402</v>
      </c>
      <c r="BJ10" s="50">
        <v>77.045454545454504</v>
      </c>
      <c r="BK10" s="50">
        <v>77.727272727272705</v>
      </c>
      <c r="BL10" s="50">
        <v>78.409090909090907</v>
      </c>
      <c r="BM10" s="50">
        <v>79.090909090909093</v>
      </c>
      <c r="BN10" s="50">
        <v>79.772727272727295</v>
      </c>
      <c r="BO10" s="50">
        <v>80.454545454545496</v>
      </c>
      <c r="BP10" s="50">
        <v>81.136363636363598</v>
      </c>
      <c r="BQ10" s="50">
        <v>81.818181818181799</v>
      </c>
      <c r="BR10" s="50">
        <v>82.5</v>
      </c>
      <c r="BS10" s="50">
        <v>83.181818181818201</v>
      </c>
      <c r="BT10" s="50">
        <v>83.863636363636402</v>
      </c>
      <c r="BU10" s="50">
        <v>84.545454545454504</v>
      </c>
      <c r="BV10" s="50">
        <v>85.227272727272705</v>
      </c>
      <c r="BW10" s="50">
        <v>85.909090909090907</v>
      </c>
      <c r="BX10" s="50">
        <v>86.590909090909093</v>
      </c>
      <c r="BY10" s="50">
        <v>87.272727272727295</v>
      </c>
      <c r="BZ10" s="50">
        <v>87.954545454545496</v>
      </c>
      <c r="CA10" s="50">
        <v>88.636363636363598</v>
      </c>
      <c r="CB10" s="50">
        <v>89.318181818181799</v>
      </c>
      <c r="CC10" s="50">
        <v>90</v>
      </c>
      <c r="CD10" s="50">
        <v>90.285714285714306</v>
      </c>
      <c r="CE10" s="50">
        <v>90.571428571428598</v>
      </c>
      <c r="CF10" s="50">
        <v>90.857142857142904</v>
      </c>
      <c r="CG10" s="50">
        <v>91.142857142857096</v>
      </c>
      <c r="CH10" s="50">
        <v>91.428571428571402</v>
      </c>
      <c r="CI10" s="50">
        <v>91.714285714285694</v>
      </c>
      <c r="CJ10" s="50">
        <v>92</v>
      </c>
      <c r="CK10" s="50">
        <v>92.285714285714306</v>
      </c>
      <c r="CL10" s="50">
        <v>92.571428571428598</v>
      </c>
      <c r="CM10" s="50">
        <v>92.857142857142904</v>
      </c>
      <c r="CN10" s="50">
        <v>93.142857142857096</v>
      </c>
      <c r="CO10" s="50">
        <v>93.428571428571402</v>
      </c>
      <c r="CP10" s="50">
        <v>93.714285714285694</v>
      </c>
      <c r="CQ10" s="50">
        <v>94</v>
      </c>
      <c r="CR10" s="50">
        <v>94.285714285714306</v>
      </c>
      <c r="CS10" s="50">
        <v>94.571428571428598</v>
      </c>
      <c r="CT10" s="50">
        <v>94.857142857142904</v>
      </c>
      <c r="CU10" s="50">
        <v>95.142857142857096</v>
      </c>
      <c r="CV10" s="50">
        <v>95.428571428571402</v>
      </c>
      <c r="CW10" s="50">
        <v>95.714285714285694</v>
      </c>
      <c r="CX10" s="50">
        <v>96</v>
      </c>
      <c r="CY10" s="50">
        <v>96.285714285714306</v>
      </c>
      <c r="CZ10" s="50">
        <v>96.571428571428598</v>
      </c>
      <c r="DA10" s="50">
        <v>96.857142857142904</v>
      </c>
      <c r="DB10" s="50">
        <v>97.142857142857096</v>
      </c>
      <c r="DC10" s="50">
        <v>97.428571428571402</v>
      </c>
      <c r="DD10" s="50">
        <v>97.714285714285694</v>
      </c>
      <c r="DE10" s="50">
        <v>98</v>
      </c>
      <c r="DF10" s="50">
        <v>98.285714285714306</v>
      </c>
      <c r="DG10" s="50">
        <v>98.571428571428598</v>
      </c>
      <c r="DH10" s="50">
        <v>98.857142857142904</v>
      </c>
      <c r="DI10" s="50">
        <v>99.142857142857096</v>
      </c>
      <c r="DJ10" s="50">
        <v>99.428571428571402</v>
      </c>
      <c r="DK10" s="50">
        <v>99.714285714285694</v>
      </c>
      <c r="DL10" s="50">
        <v>100</v>
      </c>
      <c r="DM10" s="50">
        <v>100.28571428571399</v>
      </c>
      <c r="DN10" s="50">
        <v>100.571428571429</v>
      </c>
      <c r="DO10" s="50">
        <v>100.857142857143</v>
      </c>
      <c r="DP10" s="50">
        <v>101.142857142857</v>
      </c>
      <c r="DQ10" s="50">
        <v>101.428571428571</v>
      </c>
      <c r="DR10" s="50">
        <v>101.71428571428601</v>
      </c>
      <c r="DS10" s="50">
        <v>102</v>
      </c>
      <c r="DT10" s="50">
        <v>102.28571428571399</v>
      </c>
      <c r="DU10" s="50">
        <v>102.571428571429</v>
      </c>
      <c r="DV10" s="50">
        <v>102.857142857143</v>
      </c>
      <c r="DW10" s="50">
        <v>103.142857142857</v>
      </c>
      <c r="DX10" s="50">
        <v>103.428571428571</v>
      </c>
      <c r="DY10" s="50">
        <v>103.71428571428601</v>
      </c>
      <c r="DZ10" s="50">
        <v>104</v>
      </c>
      <c r="EA10" s="50">
        <v>104.28571428571399</v>
      </c>
      <c r="EB10" s="50">
        <v>104.571428571429</v>
      </c>
      <c r="EC10" s="50">
        <v>104.857142857143</v>
      </c>
      <c r="ED10" s="50">
        <v>105.142857142857</v>
      </c>
      <c r="EE10" s="50">
        <v>105.428571428571</v>
      </c>
      <c r="EF10" s="50">
        <v>105.71428571428601</v>
      </c>
      <c r="EG10" s="50">
        <v>106</v>
      </c>
      <c r="EH10" s="50">
        <v>106.28571428571399</v>
      </c>
      <c r="EI10" s="50">
        <v>106.571428571429</v>
      </c>
      <c r="EJ10" s="50">
        <v>106.857142857143</v>
      </c>
      <c r="EK10" s="50">
        <v>107.142857142857</v>
      </c>
      <c r="EL10" s="50">
        <v>107.428571428571</v>
      </c>
      <c r="EM10" s="50">
        <v>107.71428571428601</v>
      </c>
      <c r="EN10" s="50">
        <v>108</v>
      </c>
      <c r="EO10" s="50">
        <v>108.28571428571399</v>
      </c>
      <c r="EP10" s="50">
        <v>108.571428571429</v>
      </c>
      <c r="EQ10" s="50">
        <v>108.857142857143</v>
      </c>
      <c r="ER10" s="50">
        <v>109.142857142857</v>
      </c>
      <c r="ES10" s="50">
        <v>109.428571428571</v>
      </c>
      <c r="ET10" s="50">
        <v>109.714285714285</v>
      </c>
      <c r="EU10" s="50">
        <v>110</v>
      </c>
    </row>
    <row r="11" spans="1:151" x14ac:dyDescent="0.5">
      <c r="A11" s="50">
        <v>9</v>
      </c>
      <c r="B11" s="50">
        <v>0</v>
      </c>
      <c r="C11" s="50">
        <v>0.58415173981932</v>
      </c>
      <c r="D11" s="50">
        <v>1.3420282851982199</v>
      </c>
      <c r="E11" s="50">
        <v>2.18308768716948</v>
      </c>
      <c r="F11" s="50">
        <v>3.08317136713337</v>
      </c>
      <c r="G11" s="50">
        <v>4.0298574111144498</v>
      </c>
      <c r="H11" s="50">
        <v>5.0154184701317401</v>
      </c>
      <c r="I11" s="50">
        <v>6.0345282194688199</v>
      </c>
      <c r="J11" s="50">
        <v>7.0832677552001302</v>
      </c>
      <c r="K11" s="50">
        <v>8.1586196274021194</v>
      </c>
      <c r="L11" s="50">
        <v>9.2581811580395605</v>
      </c>
      <c r="M11" s="50">
        <v>10.379989082057699</v>
      </c>
      <c r="N11" s="50">
        <v>11.5224058925241</v>
      </c>
      <c r="O11" s="50">
        <v>12.6840427557052</v>
      </c>
      <c r="P11" s="50">
        <v>13.863705277774001</v>
      </c>
      <c r="Q11" s="50">
        <v>15.060354177792499</v>
      </c>
      <c r="R11" s="50">
        <v>16.2730760368039</v>
      </c>
      <c r="S11" s="50">
        <v>17.501061065780601</v>
      </c>
      <c r="T11" s="50">
        <v>18.743585890086699</v>
      </c>
      <c r="U11" s="50">
        <v>20</v>
      </c>
      <c r="V11" s="50">
        <v>21.795469657698899</v>
      </c>
      <c r="W11" s="50">
        <v>23.581754443841699</v>
      </c>
      <c r="X11" s="50">
        <v>25.358661456820201</v>
      </c>
      <c r="Y11" s="50">
        <v>27.125988432507299</v>
      </c>
      <c r="Z11" s="50">
        <v>28.883523017703698</v>
      </c>
      <c r="AA11" s="50">
        <v>30.6310419648735</v>
      </c>
      <c r="AB11" s="50">
        <v>32.368310237078497</v>
      </c>
      <c r="AC11" s="50">
        <v>34.095080010078199</v>
      </c>
      <c r="AD11" s="50">
        <v>35.811089556202099</v>
      </c>
      <c r="AE11" s="50">
        <v>37.516061991729401</v>
      </c>
      <c r="AF11" s="50">
        <v>39.209703865985503</v>
      </c>
      <c r="AG11" s="50">
        <v>40.891703566016801</v>
      </c>
      <c r="AH11" s="50">
        <v>42.561729505300903</v>
      </c>
      <c r="AI11" s="50">
        <v>44.219428058190601</v>
      </c>
      <c r="AJ11" s="50">
        <v>45.864421193261002</v>
      </c>
      <c r="AK11" s="50">
        <v>47.496303747892398</v>
      </c>
      <c r="AL11" s="50">
        <v>49.114640272511799</v>
      </c>
      <c r="AM11" s="50">
        <v>50.718961354911201</v>
      </c>
      <c r="AN11" s="50">
        <v>52.308759311493098</v>
      </c>
      <c r="AO11" s="50">
        <v>53.883483101116298</v>
      </c>
      <c r="AP11" s="50">
        <v>55.442532275453701</v>
      </c>
      <c r="AQ11" s="50">
        <v>56.9852497230967</v>
      </c>
      <c r="AR11" s="50">
        <v>58.510912886588898</v>
      </c>
      <c r="AS11" s="50">
        <v>60.018723022354997</v>
      </c>
      <c r="AT11" s="50">
        <v>61.5077919179312</v>
      </c>
      <c r="AU11" s="50">
        <v>62.9771252549221</v>
      </c>
      <c r="AV11" s="50">
        <v>64.425601470500197</v>
      </c>
      <c r="AW11" s="50">
        <v>65.851944459260807</v>
      </c>
      <c r="AX11" s="50">
        <v>67.2546876568112</v>
      </c>
      <c r="AY11" s="50">
        <v>68.632125751171998</v>
      </c>
      <c r="AZ11" s="50">
        <v>69.982248091161097</v>
      </c>
      <c r="BA11" s="50">
        <v>71.302644035867701</v>
      </c>
      <c r="BB11" s="50">
        <v>72.590363400876498</v>
      </c>
      <c r="BC11" s="50">
        <v>73.841701139732294</v>
      </c>
      <c r="BD11" s="50">
        <v>75.051845334601694</v>
      </c>
      <c r="BE11" s="50">
        <v>76.214255933118807</v>
      </c>
      <c r="BF11" s="50">
        <v>77.319444729124001</v>
      </c>
      <c r="BG11" s="50">
        <v>78.352159185040804</v>
      </c>
      <c r="BH11" s="50">
        <v>79.2827356251575</v>
      </c>
      <c r="BI11" s="50">
        <v>80</v>
      </c>
      <c r="BJ11" s="50">
        <v>80.75</v>
      </c>
      <c r="BK11" s="50">
        <v>81.5</v>
      </c>
      <c r="BL11" s="50">
        <v>82.25</v>
      </c>
      <c r="BM11" s="50">
        <v>83</v>
      </c>
      <c r="BN11" s="50">
        <v>83.75</v>
      </c>
      <c r="BO11" s="50">
        <v>84.5</v>
      </c>
      <c r="BP11" s="50">
        <v>85.25</v>
      </c>
      <c r="BQ11" s="50">
        <v>86</v>
      </c>
      <c r="BR11" s="50">
        <v>86.75</v>
      </c>
      <c r="BS11" s="50">
        <v>87.5</v>
      </c>
      <c r="BT11" s="50">
        <v>88.25</v>
      </c>
      <c r="BU11" s="50">
        <v>89</v>
      </c>
      <c r="BV11" s="50">
        <v>89.75</v>
      </c>
      <c r="BW11" s="50">
        <v>90.5</v>
      </c>
      <c r="BX11" s="50">
        <v>91.25</v>
      </c>
      <c r="BY11" s="50">
        <v>92</v>
      </c>
      <c r="BZ11" s="50">
        <v>92.75</v>
      </c>
      <c r="CA11" s="50">
        <v>93.5</v>
      </c>
      <c r="CB11" s="50">
        <v>94.25</v>
      </c>
      <c r="CC11" s="50">
        <v>95</v>
      </c>
      <c r="CD11" s="50">
        <v>95.263157894736807</v>
      </c>
      <c r="CE11" s="50">
        <v>95.526315789473699</v>
      </c>
      <c r="CF11" s="50">
        <v>95.789473684210506</v>
      </c>
      <c r="CG11" s="50">
        <v>96.052631578947398</v>
      </c>
      <c r="CH11" s="50">
        <v>96.315789473684205</v>
      </c>
      <c r="CI11" s="50">
        <v>96.578947368421098</v>
      </c>
      <c r="CJ11" s="50">
        <v>96.842105263157904</v>
      </c>
      <c r="CK11" s="50">
        <v>97.105263157894697</v>
      </c>
      <c r="CL11" s="50">
        <v>97.368421052631604</v>
      </c>
      <c r="CM11" s="50">
        <v>97.631578947368396</v>
      </c>
      <c r="CN11" s="50">
        <v>97.894736842105303</v>
      </c>
      <c r="CO11" s="50">
        <v>98.157894736842096</v>
      </c>
      <c r="CP11" s="50">
        <v>98.421052631578902</v>
      </c>
      <c r="CQ11" s="50">
        <v>98.684210526315795</v>
      </c>
      <c r="CR11" s="50">
        <v>98.947368421052602</v>
      </c>
      <c r="CS11" s="50">
        <v>99.210526315789494</v>
      </c>
      <c r="CT11" s="50">
        <v>99.473684210526301</v>
      </c>
      <c r="CU11" s="50">
        <v>99.736842105263193</v>
      </c>
      <c r="CV11" s="50">
        <v>100</v>
      </c>
      <c r="CW11" s="50">
        <v>100</v>
      </c>
      <c r="CX11" s="50">
        <v>100</v>
      </c>
      <c r="CY11" s="50">
        <v>100</v>
      </c>
      <c r="CZ11" s="50">
        <v>100</v>
      </c>
      <c r="DA11" s="50">
        <v>100</v>
      </c>
      <c r="DB11" s="50">
        <v>100</v>
      </c>
      <c r="DC11" s="50">
        <v>100</v>
      </c>
      <c r="DD11" s="50">
        <v>100</v>
      </c>
      <c r="DE11" s="50">
        <v>100</v>
      </c>
      <c r="DF11" s="50">
        <v>100</v>
      </c>
      <c r="DG11" s="50">
        <v>100</v>
      </c>
      <c r="DH11" s="50">
        <v>100</v>
      </c>
      <c r="DI11" s="50">
        <v>100</v>
      </c>
      <c r="DJ11" s="50">
        <v>100</v>
      </c>
      <c r="DK11" s="50">
        <v>100</v>
      </c>
      <c r="DL11" s="50">
        <v>100</v>
      </c>
      <c r="DM11" s="50">
        <v>100</v>
      </c>
      <c r="DN11" s="50">
        <v>100</v>
      </c>
      <c r="DO11" s="50">
        <v>100</v>
      </c>
      <c r="DP11" s="50">
        <v>100</v>
      </c>
      <c r="DQ11" s="50">
        <v>100</v>
      </c>
      <c r="DR11" s="50">
        <v>100</v>
      </c>
      <c r="DS11" s="50">
        <v>100</v>
      </c>
      <c r="DT11" s="50">
        <v>100</v>
      </c>
      <c r="DU11" s="50">
        <v>100</v>
      </c>
      <c r="DV11" s="50">
        <v>100</v>
      </c>
      <c r="DW11" s="50">
        <v>100</v>
      </c>
      <c r="DX11" s="50">
        <v>100</v>
      </c>
      <c r="DY11" s="50">
        <v>100</v>
      </c>
      <c r="DZ11" s="50">
        <v>100</v>
      </c>
      <c r="EA11" s="50">
        <v>100</v>
      </c>
      <c r="EB11" s="50">
        <v>100</v>
      </c>
      <c r="EC11" s="50">
        <v>100</v>
      </c>
      <c r="ED11" s="50">
        <v>100</v>
      </c>
      <c r="EE11" s="50">
        <v>100</v>
      </c>
      <c r="EF11" s="50">
        <v>100</v>
      </c>
      <c r="EG11" s="50">
        <v>100</v>
      </c>
      <c r="EH11" s="50">
        <v>100</v>
      </c>
      <c r="EI11" s="50">
        <v>100</v>
      </c>
      <c r="EJ11" s="50">
        <v>100</v>
      </c>
      <c r="EK11" s="50">
        <v>100</v>
      </c>
      <c r="EL11" s="50">
        <v>100</v>
      </c>
      <c r="EM11" s="50">
        <v>100</v>
      </c>
      <c r="EN11" s="50">
        <v>100</v>
      </c>
      <c r="EO11" s="50">
        <v>100</v>
      </c>
      <c r="EP11" s="50">
        <v>100</v>
      </c>
      <c r="EQ11" s="50">
        <v>100</v>
      </c>
      <c r="ER11" s="50">
        <v>100</v>
      </c>
      <c r="ES11" s="50">
        <v>100</v>
      </c>
      <c r="ET11" s="50">
        <v>100</v>
      </c>
      <c r="EU11" s="50">
        <v>100</v>
      </c>
    </row>
    <row r="12" spans="1:151" x14ac:dyDescent="0.5">
      <c r="A12" s="50">
        <v>10</v>
      </c>
      <c r="B12" s="50">
        <v>0</v>
      </c>
      <c r="C12" s="50">
        <v>0.71428571428571397</v>
      </c>
      <c r="D12" s="50">
        <v>1.4285714285714299</v>
      </c>
      <c r="E12" s="50">
        <v>2.1428571428571401</v>
      </c>
      <c r="F12" s="50">
        <v>2.8571428571428599</v>
      </c>
      <c r="G12" s="50">
        <v>3.5714285714285698</v>
      </c>
      <c r="H12" s="50">
        <v>4.28571428571429</v>
      </c>
      <c r="I12" s="50">
        <v>5</v>
      </c>
      <c r="J12" s="50">
        <v>5.71428571428571</v>
      </c>
      <c r="K12" s="50">
        <v>6.4285714285714297</v>
      </c>
      <c r="L12" s="50">
        <v>7.1428571428571397</v>
      </c>
      <c r="M12" s="50">
        <v>7.8571428571428603</v>
      </c>
      <c r="N12" s="50">
        <v>8.5714285714285694</v>
      </c>
      <c r="O12" s="50">
        <v>9.28571428571429</v>
      </c>
      <c r="P12" s="50">
        <v>10</v>
      </c>
      <c r="Q12" s="50">
        <v>12.6666666666667</v>
      </c>
      <c r="R12" s="50">
        <v>15.3333333333333</v>
      </c>
      <c r="S12" s="50">
        <v>18</v>
      </c>
      <c r="T12" s="50">
        <v>20.6666666666667</v>
      </c>
      <c r="U12" s="50">
        <v>23.3333333333333</v>
      </c>
      <c r="V12" s="50">
        <v>26</v>
      </c>
      <c r="W12" s="50">
        <v>28.6666666666667</v>
      </c>
      <c r="X12" s="50">
        <v>31.3333333333333</v>
      </c>
      <c r="Y12" s="50">
        <v>34</v>
      </c>
      <c r="Z12" s="50">
        <v>36.6666666666667</v>
      </c>
      <c r="AA12" s="50">
        <v>39.3333333333333</v>
      </c>
      <c r="AB12" s="50">
        <v>42</v>
      </c>
      <c r="AC12" s="50">
        <v>44.6666666666667</v>
      </c>
      <c r="AD12" s="50">
        <v>47.3333333333333</v>
      </c>
      <c r="AE12" s="50">
        <v>50</v>
      </c>
      <c r="AF12" s="50">
        <v>50.5</v>
      </c>
      <c r="AG12" s="50">
        <v>51</v>
      </c>
      <c r="AH12" s="50">
        <v>51.5</v>
      </c>
      <c r="AI12" s="50">
        <v>52</v>
      </c>
      <c r="AJ12" s="50">
        <v>52.5</v>
      </c>
      <c r="AK12" s="50">
        <v>53</v>
      </c>
      <c r="AL12" s="50">
        <v>53.5</v>
      </c>
      <c r="AM12" s="50">
        <v>54</v>
      </c>
      <c r="AN12" s="50">
        <v>54.5</v>
      </c>
      <c r="AO12" s="50">
        <v>55</v>
      </c>
      <c r="AP12" s="50">
        <v>55.5</v>
      </c>
      <c r="AQ12" s="50">
        <v>56</v>
      </c>
      <c r="AR12" s="50">
        <v>56.5</v>
      </c>
      <c r="AS12" s="50">
        <v>57</v>
      </c>
      <c r="AT12" s="50">
        <v>57.5</v>
      </c>
      <c r="AU12" s="50">
        <v>58</v>
      </c>
      <c r="AV12" s="50">
        <v>58.5</v>
      </c>
      <c r="AW12" s="50">
        <v>59</v>
      </c>
      <c r="AX12" s="50">
        <v>59.5</v>
      </c>
      <c r="AY12" s="50">
        <v>60</v>
      </c>
      <c r="AZ12" s="50">
        <v>60.2040816326531</v>
      </c>
      <c r="BA12" s="50">
        <v>60.408163265306101</v>
      </c>
      <c r="BB12" s="50">
        <v>60.612244897959201</v>
      </c>
      <c r="BC12" s="50">
        <v>60.816326530612201</v>
      </c>
      <c r="BD12" s="50">
        <v>61.020408163265301</v>
      </c>
      <c r="BE12" s="50">
        <v>61.224489795918402</v>
      </c>
      <c r="BF12" s="50">
        <v>61.428571428571402</v>
      </c>
      <c r="BG12" s="50">
        <v>61.632653061224502</v>
      </c>
      <c r="BH12" s="50">
        <v>61.836734693877602</v>
      </c>
      <c r="BI12" s="50">
        <v>62.040816326530603</v>
      </c>
      <c r="BJ12" s="50">
        <v>62.244897959183703</v>
      </c>
      <c r="BK12" s="50">
        <v>62.448979591836697</v>
      </c>
      <c r="BL12" s="50">
        <v>62.653061224489797</v>
      </c>
      <c r="BM12" s="50">
        <v>62.857142857142897</v>
      </c>
      <c r="BN12" s="50">
        <v>63.061224489795897</v>
      </c>
      <c r="BO12" s="50">
        <v>63.265306122448997</v>
      </c>
      <c r="BP12" s="50">
        <v>63.469387755101998</v>
      </c>
      <c r="BQ12" s="50">
        <v>63.673469387755098</v>
      </c>
      <c r="BR12" s="50">
        <v>63.877551020408198</v>
      </c>
      <c r="BS12" s="50">
        <v>64.081632653061206</v>
      </c>
      <c r="BT12" s="50">
        <v>64.285714285714306</v>
      </c>
      <c r="BU12" s="50">
        <v>64.489795918367307</v>
      </c>
      <c r="BV12" s="50">
        <v>64.693877551020407</v>
      </c>
      <c r="BW12" s="50">
        <v>64.897959183673507</v>
      </c>
      <c r="BX12" s="50">
        <v>65.102040816326493</v>
      </c>
      <c r="BY12" s="50">
        <v>65.306122448979593</v>
      </c>
      <c r="BZ12" s="50">
        <v>65.510204081632693</v>
      </c>
      <c r="CA12" s="50">
        <v>65.714285714285694</v>
      </c>
      <c r="CB12" s="50">
        <v>65.918367346938794</v>
      </c>
      <c r="CC12" s="50">
        <v>66.122448979591795</v>
      </c>
      <c r="CD12" s="50">
        <v>66.326530612244895</v>
      </c>
      <c r="CE12" s="50">
        <v>66.530612244897995</v>
      </c>
      <c r="CF12" s="50">
        <v>66.734693877550995</v>
      </c>
      <c r="CG12" s="50">
        <v>66.938775510204096</v>
      </c>
      <c r="CH12" s="50">
        <v>67.142857142857096</v>
      </c>
      <c r="CI12" s="50">
        <v>67.346938775510196</v>
      </c>
      <c r="CJ12" s="50">
        <v>67.551020408163296</v>
      </c>
      <c r="CK12" s="50">
        <v>67.755102040816297</v>
      </c>
      <c r="CL12" s="50">
        <v>67.959183673469397</v>
      </c>
      <c r="CM12" s="50">
        <v>68.163265306122497</v>
      </c>
      <c r="CN12" s="50">
        <v>68.367346938775498</v>
      </c>
      <c r="CO12" s="50">
        <v>68.571428571428598</v>
      </c>
      <c r="CP12" s="50">
        <v>68.775510204081598</v>
      </c>
      <c r="CQ12" s="50">
        <v>68.979591836734699</v>
      </c>
      <c r="CR12" s="50">
        <v>69.183673469387799</v>
      </c>
      <c r="CS12" s="50">
        <v>69.387755102040799</v>
      </c>
      <c r="CT12" s="50">
        <v>69.591836734693899</v>
      </c>
      <c r="CU12" s="50">
        <v>69.7959183673469</v>
      </c>
      <c r="CV12" s="50">
        <v>70</v>
      </c>
      <c r="CW12" s="50">
        <v>70</v>
      </c>
      <c r="CX12" s="50">
        <v>70</v>
      </c>
      <c r="CY12" s="50">
        <v>70</v>
      </c>
      <c r="CZ12" s="50">
        <v>70</v>
      </c>
      <c r="DA12" s="50">
        <v>70</v>
      </c>
      <c r="DB12" s="50">
        <v>70</v>
      </c>
      <c r="DC12" s="50">
        <v>70</v>
      </c>
      <c r="DD12" s="50">
        <v>70</v>
      </c>
      <c r="DE12" s="50">
        <v>70</v>
      </c>
      <c r="DF12" s="50">
        <v>70</v>
      </c>
      <c r="DG12" s="50">
        <v>70</v>
      </c>
      <c r="DH12" s="50">
        <v>70</v>
      </c>
      <c r="DI12" s="50">
        <v>70</v>
      </c>
      <c r="DJ12" s="50">
        <v>70</v>
      </c>
      <c r="DK12" s="50">
        <v>70</v>
      </c>
      <c r="DL12" s="50">
        <v>70</v>
      </c>
      <c r="DM12" s="50">
        <v>70</v>
      </c>
      <c r="DN12" s="50">
        <v>70</v>
      </c>
      <c r="DO12" s="50">
        <v>70</v>
      </c>
      <c r="DP12" s="50">
        <v>70</v>
      </c>
      <c r="DQ12" s="50">
        <v>70</v>
      </c>
      <c r="DR12" s="50">
        <v>70</v>
      </c>
      <c r="DS12" s="50">
        <v>70</v>
      </c>
      <c r="DT12" s="50">
        <v>70</v>
      </c>
      <c r="DU12" s="50">
        <v>70</v>
      </c>
      <c r="DV12" s="50">
        <v>70</v>
      </c>
      <c r="DW12" s="50">
        <v>70</v>
      </c>
      <c r="DX12" s="50">
        <v>70</v>
      </c>
      <c r="DY12" s="50">
        <v>70</v>
      </c>
      <c r="DZ12" s="50">
        <v>70</v>
      </c>
      <c r="EA12" s="50">
        <v>70</v>
      </c>
      <c r="EB12" s="50">
        <v>70</v>
      </c>
      <c r="EC12" s="50">
        <v>70</v>
      </c>
      <c r="ED12" s="50">
        <v>70</v>
      </c>
      <c r="EE12" s="50">
        <v>70</v>
      </c>
      <c r="EF12" s="50">
        <v>70</v>
      </c>
      <c r="EG12" s="50">
        <v>70</v>
      </c>
      <c r="EH12" s="50">
        <v>70</v>
      </c>
      <c r="EI12" s="50">
        <v>70</v>
      </c>
      <c r="EJ12" s="50">
        <v>70</v>
      </c>
      <c r="EK12" s="50">
        <v>70</v>
      </c>
      <c r="EL12" s="50">
        <v>70</v>
      </c>
      <c r="EM12" s="50">
        <v>70</v>
      </c>
      <c r="EN12" s="50">
        <v>70</v>
      </c>
      <c r="EO12" s="50">
        <v>70</v>
      </c>
      <c r="EP12" s="50">
        <v>70</v>
      </c>
      <c r="EQ12" s="50">
        <v>70</v>
      </c>
      <c r="ER12" s="50">
        <v>70</v>
      </c>
      <c r="ES12" s="50">
        <v>70</v>
      </c>
      <c r="ET12" s="50">
        <v>70</v>
      </c>
      <c r="EU12" s="50">
        <v>70</v>
      </c>
    </row>
    <row r="13" spans="1:151" x14ac:dyDescent="0.5">
      <c r="A13" s="50">
        <v>11</v>
      </c>
      <c r="B13" s="50">
        <v>0</v>
      </c>
      <c r="C13" s="50">
        <v>0.25</v>
      </c>
      <c r="D13" s="50">
        <v>0.5</v>
      </c>
      <c r="E13" s="50">
        <v>0.75</v>
      </c>
      <c r="F13" s="50">
        <v>1</v>
      </c>
      <c r="G13" s="50">
        <v>1.25</v>
      </c>
      <c r="H13" s="50">
        <v>1.5</v>
      </c>
      <c r="I13" s="50">
        <v>1.75</v>
      </c>
      <c r="J13" s="50">
        <v>2</v>
      </c>
      <c r="K13" s="50">
        <v>2.25</v>
      </c>
      <c r="L13" s="50">
        <v>2.5</v>
      </c>
      <c r="M13" s="50">
        <v>2.75</v>
      </c>
      <c r="N13" s="50">
        <v>3</v>
      </c>
      <c r="O13" s="50">
        <v>3.25</v>
      </c>
      <c r="P13" s="50">
        <v>3.5</v>
      </c>
      <c r="Q13" s="50">
        <v>3.75</v>
      </c>
      <c r="R13" s="50">
        <v>4</v>
      </c>
      <c r="S13" s="50">
        <v>4.25</v>
      </c>
      <c r="T13" s="50">
        <v>4.5</v>
      </c>
      <c r="U13" s="50">
        <v>4.75</v>
      </c>
      <c r="V13" s="50">
        <v>5</v>
      </c>
      <c r="W13" s="50">
        <v>5.25</v>
      </c>
      <c r="X13" s="50">
        <v>5.5</v>
      </c>
      <c r="Y13" s="50">
        <v>5.75</v>
      </c>
      <c r="Z13" s="50">
        <v>6</v>
      </c>
      <c r="AA13" s="50">
        <v>6.45</v>
      </c>
      <c r="AB13" s="50">
        <v>6.9</v>
      </c>
      <c r="AC13" s="50">
        <v>7.35</v>
      </c>
      <c r="AD13" s="50">
        <v>7.8</v>
      </c>
      <c r="AE13" s="50">
        <v>8.25</v>
      </c>
      <c r="AF13" s="50">
        <v>8.6999999999999993</v>
      </c>
      <c r="AG13" s="50">
        <v>9.15</v>
      </c>
      <c r="AH13" s="50">
        <v>9.6</v>
      </c>
      <c r="AI13" s="50">
        <v>10.050000000000001</v>
      </c>
      <c r="AJ13" s="50">
        <v>10.5</v>
      </c>
      <c r="AK13" s="50">
        <v>10.95</v>
      </c>
      <c r="AL13" s="50">
        <v>11.4</v>
      </c>
      <c r="AM13" s="50">
        <v>11.85</v>
      </c>
      <c r="AN13" s="50">
        <v>12.3</v>
      </c>
      <c r="AO13" s="50">
        <v>12.75</v>
      </c>
      <c r="AP13" s="50">
        <v>13.2</v>
      </c>
      <c r="AQ13" s="50">
        <v>13.65</v>
      </c>
      <c r="AR13" s="50">
        <v>14.1</v>
      </c>
      <c r="AS13" s="50">
        <v>14.55</v>
      </c>
      <c r="AT13" s="50">
        <v>15</v>
      </c>
      <c r="AU13" s="50">
        <v>15.2</v>
      </c>
      <c r="AV13" s="50">
        <v>15.4</v>
      </c>
      <c r="AW13" s="50">
        <v>15.6</v>
      </c>
      <c r="AX13" s="50">
        <v>15.8</v>
      </c>
      <c r="AY13" s="50">
        <v>16</v>
      </c>
      <c r="AZ13" s="50">
        <v>16.2</v>
      </c>
      <c r="BA13" s="50">
        <v>16.399999999999999</v>
      </c>
      <c r="BB13" s="50">
        <v>16.600000000000001</v>
      </c>
      <c r="BC13" s="50">
        <v>16.8</v>
      </c>
      <c r="BD13" s="50">
        <v>17</v>
      </c>
      <c r="BE13" s="50">
        <v>17.2</v>
      </c>
      <c r="BF13" s="50">
        <v>17.399999999999999</v>
      </c>
      <c r="BG13" s="50">
        <v>17.600000000000001</v>
      </c>
      <c r="BH13" s="50">
        <v>17.8</v>
      </c>
      <c r="BI13" s="50">
        <v>18</v>
      </c>
      <c r="BJ13" s="50">
        <v>18.051282051282101</v>
      </c>
      <c r="BK13" s="50">
        <v>18.102564102564099</v>
      </c>
      <c r="BL13" s="50">
        <v>18.153846153846199</v>
      </c>
      <c r="BM13" s="50">
        <v>18.205128205128201</v>
      </c>
      <c r="BN13" s="50">
        <v>18.256410256410302</v>
      </c>
      <c r="BO13" s="50">
        <v>18.307692307692299</v>
      </c>
      <c r="BP13" s="50">
        <v>18.3589743589744</v>
      </c>
      <c r="BQ13" s="50">
        <v>18.410256410256402</v>
      </c>
      <c r="BR13" s="50">
        <v>18.461538461538499</v>
      </c>
      <c r="BS13" s="50">
        <v>18.5128205128205</v>
      </c>
      <c r="BT13" s="50">
        <v>18.564102564102601</v>
      </c>
      <c r="BU13" s="50">
        <v>18.615384615384599</v>
      </c>
      <c r="BV13" s="50">
        <v>18.6666666666667</v>
      </c>
      <c r="BW13" s="50">
        <v>18.717948717948701</v>
      </c>
      <c r="BX13" s="50">
        <v>18.769230769230798</v>
      </c>
      <c r="BY13" s="50">
        <v>18.8205128205128</v>
      </c>
      <c r="BZ13" s="50">
        <v>18.871794871794901</v>
      </c>
      <c r="CA13" s="50">
        <v>18.923076923076898</v>
      </c>
      <c r="CB13" s="50">
        <v>18.974358974358999</v>
      </c>
      <c r="CC13" s="50">
        <v>19.025641025641001</v>
      </c>
      <c r="CD13" s="50">
        <v>19.076923076923102</v>
      </c>
      <c r="CE13" s="50">
        <v>19.128205128205099</v>
      </c>
      <c r="CF13" s="50">
        <v>19.1794871794872</v>
      </c>
      <c r="CG13" s="50">
        <v>19.230769230769202</v>
      </c>
      <c r="CH13" s="50">
        <v>19.282051282051299</v>
      </c>
      <c r="CI13" s="50">
        <v>19.3333333333333</v>
      </c>
      <c r="CJ13" s="50">
        <v>19.384615384615401</v>
      </c>
      <c r="CK13" s="50">
        <v>19.435897435897399</v>
      </c>
      <c r="CL13" s="50">
        <v>19.4871794871795</v>
      </c>
      <c r="CM13" s="50">
        <v>19.538461538461501</v>
      </c>
      <c r="CN13" s="50">
        <v>19.589743589743598</v>
      </c>
      <c r="CO13" s="50">
        <v>19.6410256410256</v>
      </c>
      <c r="CP13" s="50">
        <v>19.692307692307701</v>
      </c>
      <c r="CQ13" s="50">
        <v>19.743589743589698</v>
      </c>
      <c r="CR13" s="50">
        <v>19.794871794871799</v>
      </c>
      <c r="CS13" s="50">
        <v>19.846153846153801</v>
      </c>
      <c r="CT13" s="50">
        <v>19.897435897435901</v>
      </c>
      <c r="CU13" s="50">
        <v>19.948717948717899</v>
      </c>
      <c r="CV13" s="50">
        <v>20</v>
      </c>
      <c r="CW13" s="50">
        <v>20</v>
      </c>
      <c r="CX13" s="50">
        <v>20</v>
      </c>
      <c r="CY13" s="50">
        <v>20</v>
      </c>
      <c r="CZ13" s="50">
        <v>20</v>
      </c>
      <c r="DA13" s="50">
        <v>20</v>
      </c>
      <c r="DB13" s="50">
        <v>20</v>
      </c>
      <c r="DC13" s="50">
        <v>20</v>
      </c>
      <c r="DD13" s="50">
        <v>20</v>
      </c>
      <c r="DE13" s="50">
        <v>20</v>
      </c>
      <c r="DF13" s="50">
        <v>20</v>
      </c>
      <c r="DG13" s="50">
        <v>20</v>
      </c>
      <c r="DH13" s="50">
        <v>20</v>
      </c>
      <c r="DI13" s="50">
        <v>20</v>
      </c>
      <c r="DJ13" s="50">
        <v>20</v>
      </c>
      <c r="DK13" s="50">
        <v>20</v>
      </c>
      <c r="DL13" s="50">
        <v>20</v>
      </c>
      <c r="DM13" s="50">
        <v>20</v>
      </c>
      <c r="DN13" s="50">
        <v>20</v>
      </c>
      <c r="DO13" s="50">
        <v>20</v>
      </c>
      <c r="DP13" s="50">
        <v>20</v>
      </c>
      <c r="DQ13" s="50">
        <v>20</v>
      </c>
      <c r="DR13" s="50">
        <v>20</v>
      </c>
      <c r="DS13" s="50">
        <v>20</v>
      </c>
      <c r="DT13" s="50">
        <v>20</v>
      </c>
      <c r="DU13" s="50">
        <v>20</v>
      </c>
      <c r="DV13" s="50">
        <v>20</v>
      </c>
      <c r="DW13" s="50">
        <v>20</v>
      </c>
      <c r="DX13" s="50">
        <v>20</v>
      </c>
      <c r="DY13" s="50">
        <v>20</v>
      </c>
      <c r="DZ13" s="50">
        <v>20</v>
      </c>
      <c r="EA13" s="50">
        <v>20</v>
      </c>
      <c r="EB13" s="50">
        <v>20</v>
      </c>
      <c r="EC13" s="50">
        <v>20</v>
      </c>
      <c r="ED13" s="50">
        <v>20</v>
      </c>
      <c r="EE13" s="50">
        <v>20</v>
      </c>
      <c r="EF13" s="50">
        <v>20</v>
      </c>
      <c r="EG13" s="50">
        <v>20</v>
      </c>
      <c r="EH13" s="50">
        <v>20</v>
      </c>
      <c r="EI13" s="50">
        <v>20</v>
      </c>
      <c r="EJ13" s="50">
        <v>20</v>
      </c>
      <c r="EK13" s="50">
        <v>20</v>
      </c>
      <c r="EL13" s="50">
        <v>20</v>
      </c>
      <c r="EM13" s="50">
        <v>20</v>
      </c>
      <c r="EN13" s="50">
        <v>20</v>
      </c>
      <c r="EO13" s="50">
        <v>20</v>
      </c>
      <c r="EP13" s="50">
        <v>20</v>
      </c>
      <c r="EQ13" s="50">
        <v>20</v>
      </c>
      <c r="ER13" s="50">
        <v>20</v>
      </c>
      <c r="ES13" s="50">
        <v>20</v>
      </c>
      <c r="ET13" s="50">
        <v>20</v>
      </c>
      <c r="EU13" s="50">
        <v>20</v>
      </c>
    </row>
    <row r="14" spans="1:151" x14ac:dyDescent="0.5">
      <c r="A14" s="50">
        <v>12</v>
      </c>
      <c r="B14" s="50">
        <v>0</v>
      </c>
      <c r="C14" s="50">
        <v>0.71428571428571397</v>
      </c>
      <c r="D14" s="50">
        <v>1.4285714285714299</v>
      </c>
      <c r="E14" s="50">
        <v>2.1428571428571401</v>
      </c>
      <c r="F14" s="50">
        <v>2.8571428571428599</v>
      </c>
      <c r="G14" s="50">
        <v>3.5714285714285698</v>
      </c>
      <c r="H14" s="50">
        <v>4.28571428571429</v>
      </c>
      <c r="I14" s="50">
        <v>5</v>
      </c>
      <c r="J14" s="50">
        <v>5.71428571428571</v>
      </c>
      <c r="K14" s="50">
        <v>6.4285714285714297</v>
      </c>
      <c r="L14" s="50">
        <v>7.1428571428571397</v>
      </c>
      <c r="M14" s="50">
        <v>7.8571428571428603</v>
      </c>
      <c r="N14" s="50">
        <v>8.5714285714285694</v>
      </c>
      <c r="O14" s="50">
        <v>9.28571428571429</v>
      </c>
      <c r="P14" s="50">
        <v>10</v>
      </c>
      <c r="Q14" s="50">
        <v>13</v>
      </c>
      <c r="R14" s="50">
        <v>16</v>
      </c>
      <c r="S14" s="50">
        <v>19</v>
      </c>
      <c r="T14" s="50">
        <v>22</v>
      </c>
      <c r="U14" s="50">
        <v>25</v>
      </c>
      <c r="V14" s="50">
        <v>28</v>
      </c>
      <c r="W14" s="50">
        <v>31</v>
      </c>
      <c r="X14" s="50">
        <v>34</v>
      </c>
      <c r="Y14" s="50">
        <v>37</v>
      </c>
      <c r="Z14" s="50">
        <v>40</v>
      </c>
      <c r="AA14" s="50">
        <v>43</v>
      </c>
      <c r="AB14" s="50">
        <v>46</v>
      </c>
      <c r="AC14" s="50">
        <v>49</v>
      </c>
      <c r="AD14" s="50">
        <v>52</v>
      </c>
      <c r="AE14" s="50">
        <v>55</v>
      </c>
      <c r="AF14" s="50">
        <v>56.538461538461497</v>
      </c>
      <c r="AG14" s="50">
        <v>58.076923076923102</v>
      </c>
      <c r="AH14" s="50">
        <v>59.615384615384599</v>
      </c>
      <c r="AI14" s="50">
        <v>61.153846153846203</v>
      </c>
      <c r="AJ14" s="50">
        <v>62.692307692307701</v>
      </c>
      <c r="AK14" s="50">
        <v>64.230769230769198</v>
      </c>
      <c r="AL14" s="50">
        <v>65.769230769230802</v>
      </c>
      <c r="AM14" s="50">
        <v>67.307692307692307</v>
      </c>
      <c r="AN14" s="50">
        <v>68.846153846153797</v>
      </c>
      <c r="AO14" s="50">
        <v>70.384615384615401</v>
      </c>
      <c r="AP14" s="50">
        <v>71.923076923076906</v>
      </c>
      <c r="AQ14" s="50">
        <v>73.461538461538495</v>
      </c>
      <c r="AR14" s="50">
        <v>75</v>
      </c>
      <c r="AS14" s="50">
        <v>75.446428571428598</v>
      </c>
      <c r="AT14" s="50">
        <v>75.892857142857096</v>
      </c>
      <c r="AU14" s="50">
        <v>76.339285714285694</v>
      </c>
      <c r="AV14" s="50">
        <v>76.785714285714306</v>
      </c>
      <c r="AW14" s="50">
        <v>77.232142857142904</v>
      </c>
      <c r="AX14" s="50">
        <v>77.678571428571402</v>
      </c>
      <c r="AY14" s="50">
        <v>78.125</v>
      </c>
      <c r="AZ14" s="50">
        <v>78.571428571428598</v>
      </c>
      <c r="BA14" s="50">
        <v>79.017857142857096</v>
      </c>
      <c r="BB14" s="50">
        <v>79.464285714285694</v>
      </c>
      <c r="BC14" s="50">
        <v>79.910714285714306</v>
      </c>
      <c r="BD14" s="50">
        <v>80.357142857142904</v>
      </c>
      <c r="BE14" s="50">
        <v>80.803571428571402</v>
      </c>
      <c r="BF14" s="50">
        <v>81.25</v>
      </c>
      <c r="BG14" s="50">
        <v>81.696428571428598</v>
      </c>
      <c r="BH14" s="50">
        <v>82.142857142857096</v>
      </c>
      <c r="BI14" s="50">
        <v>82.589285714285694</v>
      </c>
      <c r="BJ14" s="50">
        <v>83.035714285714306</v>
      </c>
      <c r="BK14" s="50">
        <v>83.482142857142904</v>
      </c>
      <c r="BL14" s="50">
        <v>83.928571428571402</v>
      </c>
      <c r="BM14" s="50">
        <v>84.375</v>
      </c>
      <c r="BN14" s="50">
        <v>84.821428571428598</v>
      </c>
      <c r="BO14" s="50">
        <v>85.267857142857096</v>
      </c>
      <c r="BP14" s="50">
        <v>85.714285714285694</v>
      </c>
      <c r="BQ14" s="50">
        <v>86.160714285714306</v>
      </c>
      <c r="BR14" s="50">
        <v>86.607142857142904</v>
      </c>
      <c r="BS14" s="50">
        <v>87.053571428571402</v>
      </c>
      <c r="BT14" s="50">
        <v>87.5</v>
      </c>
      <c r="BU14" s="50">
        <v>87.946428571428598</v>
      </c>
      <c r="BV14" s="50">
        <v>88.392857142857096</v>
      </c>
      <c r="BW14" s="50">
        <v>88.839285714285694</v>
      </c>
      <c r="BX14" s="50">
        <v>89.285714285714306</v>
      </c>
      <c r="BY14" s="50">
        <v>89.732142857142904</v>
      </c>
      <c r="BZ14" s="50">
        <v>90.178571428571402</v>
      </c>
      <c r="CA14" s="50">
        <v>90.625</v>
      </c>
      <c r="CB14" s="50">
        <v>91.071428571428598</v>
      </c>
      <c r="CC14" s="50">
        <v>91.517857142857096</v>
      </c>
      <c r="CD14" s="50">
        <v>91.964285714285694</v>
      </c>
      <c r="CE14" s="50">
        <v>92.410714285714306</v>
      </c>
      <c r="CF14" s="50">
        <v>92.857142857142904</v>
      </c>
      <c r="CG14" s="50">
        <v>93.303571428571402</v>
      </c>
      <c r="CH14" s="50">
        <v>93.75</v>
      </c>
      <c r="CI14" s="50">
        <v>94.196428571428598</v>
      </c>
      <c r="CJ14" s="50">
        <v>94.642857142857096</v>
      </c>
      <c r="CK14" s="50">
        <v>95.089285714285694</v>
      </c>
      <c r="CL14" s="50">
        <v>95.535714285714306</v>
      </c>
      <c r="CM14" s="50">
        <v>95.982142857142904</v>
      </c>
      <c r="CN14" s="50">
        <v>96.428571428571402</v>
      </c>
      <c r="CO14" s="50">
        <v>96.875</v>
      </c>
      <c r="CP14" s="50">
        <v>97.321428571428598</v>
      </c>
      <c r="CQ14" s="50">
        <v>97.767857142857096</v>
      </c>
      <c r="CR14" s="50">
        <v>98.214285714285694</v>
      </c>
      <c r="CS14" s="50">
        <v>98.660714285714306</v>
      </c>
      <c r="CT14" s="50">
        <v>99.107142857142904</v>
      </c>
      <c r="CU14" s="50">
        <v>99.553571428571402</v>
      </c>
      <c r="CV14" s="50">
        <v>100</v>
      </c>
      <c r="CW14" s="50">
        <v>100</v>
      </c>
      <c r="CX14" s="50">
        <v>100</v>
      </c>
      <c r="CY14" s="50">
        <v>100</v>
      </c>
      <c r="CZ14" s="50">
        <v>100</v>
      </c>
      <c r="DA14" s="50">
        <v>100</v>
      </c>
      <c r="DB14" s="50">
        <v>100</v>
      </c>
      <c r="DC14" s="50">
        <v>100</v>
      </c>
      <c r="DD14" s="50">
        <v>100</v>
      </c>
      <c r="DE14" s="50">
        <v>100</v>
      </c>
      <c r="DF14" s="50">
        <v>100</v>
      </c>
      <c r="DG14" s="50">
        <v>100</v>
      </c>
      <c r="DH14" s="50">
        <v>100</v>
      </c>
      <c r="DI14" s="50">
        <v>100</v>
      </c>
      <c r="DJ14" s="50">
        <v>100</v>
      </c>
      <c r="DK14" s="50">
        <v>100</v>
      </c>
      <c r="DL14" s="50">
        <v>100</v>
      </c>
      <c r="DM14" s="50">
        <v>100</v>
      </c>
      <c r="DN14" s="50">
        <v>100</v>
      </c>
      <c r="DO14" s="50">
        <v>100</v>
      </c>
      <c r="DP14" s="50">
        <v>100</v>
      </c>
      <c r="DQ14" s="50">
        <v>100</v>
      </c>
      <c r="DR14" s="50">
        <v>100</v>
      </c>
      <c r="DS14" s="50">
        <v>100</v>
      </c>
      <c r="DT14" s="50">
        <v>100</v>
      </c>
      <c r="DU14" s="50">
        <v>100</v>
      </c>
      <c r="DV14" s="50">
        <v>100</v>
      </c>
      <c r="DW14" s="50">
        <v>100</v>
      </c>
      <c r="DX14" s="50">
        <v>100</v>
      </c>
      <c r="DY14" s="50">
        <v>100</v>
      </c>
      <c r="DZ14" s="50">
        <v>100</v>
      </c>
      <c r="EA14" s="50">
        <v>100</v>
      </c>
      <c r="EB14" s="50">
        <v>100</v>
      </c>
      <c r="EC14" s="50">
        <v>100</v>
      </c>
      <c r="ED14" s="50">
        <v>100</v>
      </c>
      <c r="EE14" s="50">
        <v>100</v>
      </c>
      <c r="EF14" s="50">
        <v>100</v>
      </c>
      <c r="EG14" s="50">
        <v>100</v>
      </c>
      <c r="EH14" s="50">
        <v>100</v>
      </c>
      <c r="EI14" s="50">
        <v>100</v>
      </c>
      <c r="EJ14" s="50">
        <v>100</v>
      </c>
      <c r="EK14" s="50">
        <v>100</v>
      </c>
      <c r="EL14" s="50">
        <v>100</v>
      </c>
      <c r="EM14" s="50">
        <v>100</v>
      </c>
      <c r="EN14" s="50">
        <v>100</v>
      </c>
      <c r="EO14" s="50">
        <v>100</v>
      </c>
      <c r="EP14" s="50">
        <v>100</v>
      </c>
      <c r="EQ14" s="50">
        <v>100</v>
      </c>
      <c r="ER14" s="50">
        <v>100</v>
      </c>
      <c r="ES14" s="50">
        <v>100</v>
      </c>
      <c r="ET14" s="50">
        <v>100</v>
      </c>
      <c r="EU14" s="50">
        <v>100</v>
      </c>
    </row>
    <row r="15" spans="1:151" x14ac:dyDescent="0.5">
      <c r="A15" s="50">
        <v>13</v>
      </c>
      <c r="B15" s="50">
        <v>0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0</v>
      </c>
      <c r="Y15" s="50">
        <v>0</v>
      </c>
      <c r="Z15" s="50">
        <v>0</v>
      </c>
      <c r="AA15" s="50">
        <v>7</v>
      </c>
      <c r="AB15" s="50">
        <v>14</v>
      </c>
      <c r="AC15" s="50">
        <v>21</v>
      </c>
      <c r="AD15" s="50">
        <v>28</v>
      </c>
      <c r="AE15" s="50">
        <v>35</v>
      </c>
      <c r="AF15" s="50">
        <v>36.1</v>
      </c>
      <c r="AG15" s="50">
        <v>37.200000000000003</v>
      </c>
      <c r="AH15" s="50">
        <v>38.299999999999997</v>
      </c>
      <c r="AI15" s="50">
        <v>39.4</v>
      </c>
      <c r="AJ15" s="50">
        <v>40.5</v>
      </c>
      <c r="AK15" s="50">
        <v>41.6</v>
      </c>
      <c r="AL15" s="50">
        <v>42.7</v>
      </c>
      <c r="AM15" s="50">
        <v>43.8</v>
      </c>
      <c r="AN15" s="50">
        <v>44.9</v>
      </c>
      <c r="AO15" s="50">
        <v>46</v>
      </c>
      <c r="AP15" s="50">
        <v>47.1</v>
      </c>
      <c r="AQ15" s="50">
        <v>48.2</v>
      </c>
      <c r="AR15" s="50">
        <v>49.3</v>
      </c>
      <c r="AS15" s="50">
        <v>50.4</v>
      </c>
      <c r="AT15" s="50">
        <v>51.5</v>
      </c>
      <c r="AU15" s="50">
        <v>52.6</v>
      </c>
      <c r="AV15" s="50">
        <v>53.7</v>
      </c>
      <c r="AW15" s="50">
        <v>54.8</v>
      </c>
      <c r="AX15" s="50">
        <v>55.9</v>
      </c>
      <c r="AY15" s="50">
        <v>57</v>
      </c>
      <c r="AZ15" s="50">
        <v>58.1</v>
      </c>
      <c r="BA15" s="50">
        <v>59.2</v>
      </c>
      <c r="BB15" s="50">
        <v>60.3</v>
      </c>
      <c r="BC15" s="50">
        <v>61.4</v>
      </c>
      <c r="BD15" s="50">
        <v>62.5</v>
      </c>
      <c r="BE15" s="50">
        <v>63.6</v>
      </c>
      <c r="BF15" s="50">
        <v>64.7</v>
      </c>
      <c r="BG15" s="50">
        <v>65.8</v>
      </c>
      <c r="BH15" s="50">
        <v>66.900000000000006</v>
      </c>
      <c r="BI15" s="50">
        <v>68</v>
      </c>
      <c r="BJ15" s="50">
        <v>69.099999999999994</v>
      </c>
      <c r="BK15" s="50">
        <v>70.2</v>
      </c>
      <c r="BL15" s="50">
        <v>71.3</v>
      </c>
      <c r="BM15" s="50">
        <v>72.400000000000006</v>
      </c>
      <c r="BN15" s="50">
        <v>73.5</v>
      </c>
      <c r="BO15" s="50">
        <v>74.599999999999994</v>
      </c>
      <c r="BP15" s="50">
        <v>75.7</v>
      </c>
      <c r="BQ15" s="50">
        <v>76.8</v>
      </c>
      <c r="BR15" s="50">
        <v>77.900000000000006</v>
      </c>
      <c r="BS15" s="50">
        <v>79</v>
      </c>
      <c r="BT15" s="50">
        <v>80.099999999999994</v>
      </c>
      <c r="BU15" s="50">
        <v>81.2</v>
      </c>
      <c r="BV15" s="50">
        <v>82.3</v>
      </c>
      <c r="BW15" s="50">
        <v>83.4</v>
      </c>
      <c r="BX15" s="50">
        <v>84.5</v>
      </c>
      <c r="BY15" s="50">
        <v>85.6</v>
      </c>
      <c r="BZ15" s="50">
        <v>86.7</v>
      </c>
      <c r="CA15" s="50">
        <v>87.8</v>
      </c>
      <c r="CB15" s="50">
        <v>88.9</v>
      </c>
      <c r="CC15" s="50">
        <v>90</v>
      </c>
      <c r="CD15" s="50">
        <v>90.526315789473699</v>
      </c>
      <c r="CE15" s="50">
        <v>91.052631578947398</v>
      </c>
      <c r="CF15" s="50">
        <v>91.578947368421098</v>
      </c>
      <c r="CG15" s="50">
        <v>92.105263157894697</v>
      </c>
      <c r="CH15" s="50">
        <v>92.631578947368396</v>
      </c>
      <c r="CI15" s="50">
        <v>93.157894736842096</v>
      </c>
      <c r="CJ15" s="50">
        <v>93.684210526315795</v>
      </c>
      <c r="CK15" s="50">
        <v>94.210526315789494</v>
      </c>
      <c r="CL15" s="50">
        <v>94.736842105263193</v>
      </c>
      <c r="CM15" s="50">
        <v>95.263157894736807</v>
      </c>
      <c r="CN15" s="50">
        <v>95.789473684210506</v>
      </c>
      <c r="CO15" s="50">
        <v>96.315789473684205</v>
      </c>
      <c r="CP15" s="50">
        <v>96.842105263157904</v>
      </c>
      <c r="CQ15" s="50">
        <v>97.368421052631604</v>
      </c>
      <c r="CR15" s="50">
        <v>97.894736842105303</v>
      </c>
      <c r="CS15" s="50">
        <v>98.421052631578902</v>
      </c>
      <c r="CT15" s="50">
        <v>98.947368421052602</v>
      </c>
      <c r="CU15" s="50">
        <v>99.473684210526301</v>
      </c>
      <c r="CV15" s="50">
        <v>100</v>
      </c>
      <c r="CW15" s="50">
        <v>100</v>
      </c>
      <c r="CX15" s="50">
        <v>100</v>
      </c>
      <c r="CY15" s="50">
        <v>100</v>
      </c>
      <c r="CZ15" s="50">
        <v>100</v>
      </c>
      <c r="DA15" s="50">
        <v>100</v>
      </c>
      <c r="DB15" s="50">
        <v>100</v>
      </c>
      <c r="DC15" s="50">
        <v>100</v>
      </c>
      <c r="DD15" s="50">
        <v>100</v>
      </c>
      <c r="DE15" s="50">
        <v>100</v>
      </c>
      <c r="DF15" s="50">
        <v>100</v>
      </c>
      <c r="DG15" s="50">
        <v>100</v>
      </c>
      <c r="DH15" s="50">
        <v>100</v>
      </c>
      <c r="DI15" s="50">
        <v>100</v>
      </c>
      <c r="DJ15" s="50">
        <v>100</v>
      </c>
      <c r="DK15" s="50">
        <v>100</v>
      </c>
      <c r="DL15" s="50">
        <v>100</v>
      </c>
      <c r="DM15" s="50">
        <v>100</v>
      </c>
      <c r="DN15" s="50">
        <v>100</v>
      </c>
      <c r="DO15" s="50">
        <v>100</v>
      </c>
      <c r="DP15" s="50">
        <v>100</v>
      </c>
      <c r="DQ15" s="50">
        <v>100</v>
      </c>
      <c r="DR15" s="50">
        <v>100</v>
      </c>
      <c r="DS15" s="50">
        <v>100</v>
      </c>
      <c r="DT15" s="50">
        <v>100</v>
      </c>
      <c r="DU15" s="50">
        <v>100</v>
      </c>
      <c r="DV15" s="50">
        <v>100</v>
      </c>
      <c r="DW15" s="50">
        <v>100</v>
      </c>
      <c r="DX15" s="50">
        <v>100</v>
      </c>
      <c r="DY15" s="50">
        <v>100</v>
      </c>
      <c r="DZ15" s="50">
        <v>100</v>
      </c>
      <c r="EA15" s="50">
        <v>100</v>
      </c>
      <c r="EB15" s="50">
        <v>100</v>
      </c>
      <c r="EC15" s="50">
        <v>100</v>
      </c>
      <c r="ED15" s="50">
        <v>100</v>
      </c>
      <c r="EE15" s="50">
        <v>100</v>
      </c>
      <c r="EF15" s="50">
        <v>100</v>
      </c>
      <c r="EG15" s="50">
        <v>100</v>
      </c>
      <c r="EH15" s="50">
        <v>100</v>
      </c>
      <c r="EI15" s="50">
        <v>100</v>
      </c>
      <c r="EJ15" s="50">
        <v>100</v>
      </c>
      <c r="EK15" s="50">
        <v>100</v>
      </c>
      <c r="EL15" s="50">
        <v>100</v>
      </c>
      <c r="EM15" s="50">
        <v>100</v>
      </c>
      <c r="EN15" s="50">
        <v>100</v>
      </c>
      <c r="EO15" s="50">
        <v>100</v>
      </c>
      <c r="EP15" s="50">
        <v>100</v>
      </c>
      <c r="EQ15" s="50">
        <v>100</v>
      </c>
      <c r="ER15" s="50">
        <v>100</v>
      </c>
      <c r="ES15" s="50">
        <v>100</v>
      </c>
      <c r="ET15" s="50">
        <v>100</v>
      </c>
      <c r="EU15" s="50">
        <v>100</v>
      </c>
    </row>
    <row r="16" spans="1:151" x14ac:dyDescent="0.5">
      <c r="A16" s="50">
        <v>14</v>
      </c>
      <c r="B16" s="50">
        <v>0</v>
      </c>
      <c r="C16" s="50">
        <v>2.1052631578947398</v>
      </c>
      <c r="D16" s="50">
        <v>4.2105263157894699</v>
      </c>
      <c r="E16" s="50">
        <v>6.3157894736842097</v>
      </c>
      <c r="F16" s="50">
        <v>8.4210526315789505</v>
      </c>
      <c r="G16" s="50">
        <v>10.526315789473699</v>
      </c>
      <c r="H16" s="50">
        <v>12.6315789473684</v>
      </c>
      <c r="I16" s="50">
        <v>14.7368421052632</v>
      </c>
      <c r="J16" s="50">
        <v>16.842105263157901</v>
      </c>
      <c r="K16" s="50">
        <v>18.947368421052602</v>
      </c>
      <c r="L16" s="50">
        <v>21.052631578947398</v>
      </c>
      <c r="M16" s="50">
        <v>23.157894736842099</v>
      </c>
      <c r="N16" s="50">
        <v>25.2631578947368</v>
      </c>
      <c r="O16" s="50">
        <v>27.3684210526316</v>
      </c>
      <c r="P16" s="50">
        <v>29.473684210526301</v>
      </c>
      <c r="Q16" s="50">
        <v>31.578947368421101</v>
      </c>
      <c r="R16" s="50">
        <v>33.684210526315802</v>
      </c>
      <c r="S16" s="50">
        <v>35.789473684210499</v>
      </c>
      <c r="T16" s="50">
        <v>37.894736842105303</v>
      </c>
      <c r="U16" s="50">
        <v>40</v>
      </c>
      <c r="V16" s="50">
        <v>41</v>
      </c>
      <c r="W16" s="50">
        <v>42</v>
      </c>
      <c r="X16" s="50">
        <v>43</v>
      </c>
      <c r="Y16" s="50">
        <v>44</v>
      </c>
      <c r="Z16" s="50">
        <v>45</v>
      </c>
      <c r="AA16" s="50">
        <v>46</v>
      </c>
      <c r="AB16" s="50">
        <v>47</v>
      </c>
      <c r="AC16" s="50">
        <v>48</v>
      </c>
      <c r="AD16" s="50">
        <v>49</v>
      </c>
      <c r="AE16" s="50">
        <v>50</v>
      </c>
      <c r="AF16" s="50">
        <v>51</v>
      </c>
      <c r="AG16" s="50">
        <v>52</v>
      </c>
      <c r="AH16" s="50">
        <v>53</v>
      </c>
      <c r="AI16" s="50">
        <v>54</v>
      </c>
      <c r="AJ16" s="50">
        <v>55</v>
      </c>
      <c r="AK16" s="50">
        <v>56</v>
      </c>
      <c r="AL16" s="50">
        <v>57</v>
      </c>
      <c r="AM16" s="50">
        <v>58</v>
      </c>
      <c r="AN16" s="50">
        <v>59</v>
      </c>
      <c r="AO16" s="50">
        <v>60</v>
      </c>
      <c r="AP16" s="50">
        <v>60.625</v>
      </c>
      <c r="AQ16" s="50">
        <v>61.25</v>
      </c>
      <c r="AR16" s="50">
        <v>61.875</v>
      </c>
      <c r="AS16" s="50">
        <v>62.5</v>
      </c>
      <c r="AT16" s="50">
        <v>63.125</v>
      </c>
      <c r="AU16" s="50">
        <v>63.75</v>
      </c>
      <c r="AV16" s="50">
        <v>64.375</v>
      </c>
      <c r="AW16" s="50">
        <v>65</v>
      </c>
      <c r="AX16" s="50">
        <v>65.625</v>
      </c>
      <c r="AY16" s="50">
        <v>66.25</v>
      </c>
      <c r="AZ16" s="50">
        <v>66.875</v>
      </c>
      <c r="BA16" s="50">
        <v>67.5</v>
      </c>
      <c r="BB16" s="50">
        <v>68.125</v>
      </c>
      <c r="BC16" s="50">
        <v>68.75</v>
      </c>
      <c r="BD16" s="50">
        <v>69.375</v>
      </c>
      <c r="BE16" s="50">
        <v>70</v>
      </c>
      <c r="BF16" s="50">
        <v>70.625</v>
      </c>
      <c r="BG16" s="50">
        <v>71.25</v>
      </c>
      <c r="BH16" s="50">
        <v>71.875</v>
      </c>
      <c r="BI16" s="50">
        <v>72.5</v>
      </c>
      <c r="BJ16" s="50">
        <v>73.125</v>
      </c>
      <c r="BK16" s="50">
        <v>73.75</v>
      </c>
      <c r="BL16" s="50">
        <v>74.375</v>
      </c>
      <c r="BM16" s="50">
        <v>75</v>
      </c>
      <c r="BN16" s="50">
        <v>75.625</v>
      </c>
      <c r="BO16" s="50">
        <v>76.25</v>
      </c>
      <c r="BP16" s="50">
        <v>76.875</v>
      </c>
      <c r="BQ16" s="50">
        <v>77.5</v>
      </c>
      <c r="BR16" s="50">
        <v>78.125</v>
      </c>
      <c r="BS16" s="50">
        <v>78.75</v>
      </c>
      <c r="BT16" s="50">
        <v>79.375</v>
      </c>
      <c r="BU16" s="50">
        <v>80</v>
      </c>
      <c r="BV16" s="50">
        <v>80.625</v>
      </c>
      <c r="BW16" s="50">
        <v>81.25</v>
      </c>
      <c r="BX16" s="50">
        <v>81.875</v>
      </c>
      <c r="BY16" s="50">
        <v>82.5</v>
      </c>
      <c r="BZ16" s="50">
        <v>83.125</v>
      </c>
      <c r="CA16" s="50">
        <v>83.75</v>
      </c>
      <c r="CB16" s="50">
        <v>84.375</v>
      </c>
      <c r="CC16" s="50">
        <v>85</v>
      </c>
      <c r="CD16" s="50">
        <v>85.789473684210506</v>
      </c>
      <c r="CE16" s="50">
        <v>86.578947368421098</v>
      </c>
      <c r="CF16" s="50">
        <v>87.368421052631604</v>
      </c>
      <c r="CG16" s="50">
        <v>88.157894736842096</v>
      </c>
      <c r="CH16" s="50">
        <v>88.947368421052602</v>
      </c>
      <c r="CI16" s="50">
        <v>89.736842105263193</v>
      </c>
      <c r="CJ16" s="50">
        <v>90.526315789473699</v>
      </c>
      <c r="CK16" s="50">
        <v>91.315789473684205</v>
      </c>
      <c r="CL16" s="50">
        <v>92.105263157894697</v>
      </c>
      <c r="CM16" s="50">
        <v>92.894736842105303</v>
      </c>
      <c r="CN16" s="50">
        <v>93.684210526315795</v>
      </c>
      <c r="CO16" s="50">
        <v>94.473684210526301</v>
      </c>
      <c r="CP16" s="50">
        <v>95.263157894736807</v>
      </c>
      <c r="CQ16" s="50">
        <v>96.052631578947398</v>
      </c>
      <c r="CR16" s="50">
        <v>96.842105263157904</v>
      </c>
      <c r="CS16" s="50">
        <v>97.631578947368396</v>
      </c>
      <c r="CT16" s="50">
        <v>98.421052631578902</v>
      </c>
      <c r="CU16" s="50">
        <v>99.210526315789494</v>
      </c>
      <c r="CV16" s="50">
        <v>100</v>
      </c>
      <c r="CW16" s="50">
        <v>100</v>
      </c>
      <c r="CX16" s="50">
        <v>100</v>
      </c>
      <c r="CY16" s="50">
        <v>100</v>
      </c>
      <c r="CZ16" s="50">
        <v>100</v>
      </c>
      <c r="DA16" s="50">
        <v>100</v>
      </c>
      <c r="DB16" s="50">
        <v>100</v>
      </c>
      <c r="DC16" s="50">
        <v>100</v>
      </c>
      <c r="DD16" s="50">
        <v>100</v>
      </c>
      <c r="DE16" s="50">
        <v>100</v>
      </c>
      <c r="DF16" s="50">
        <v>100</v>
      </c>
      <c r="DG16" s="50">
        <v>100</v>
      </c>
      <c r="DH16" s="50">
        <v>100</v>
      </c>
      <c r="DI16" s="50">
        <v>100</v>
      </c>
      <c r="DJ16" s="50">
        <v>100</v>
      </c>
      <c r="DK16" s="50">
        <v>100</v>
      </c>
      <c r="DL16" s="50">
        <v>100</v>
      </c>
      <c r="DM16" s="50">
        <v>100</v>
      </c>
      <c r="DN16" s="50">
        <v>100</v>
      </c>
      <c r="DO16" s="50">
        <v>100</v>
      </c>
      <c r="DP16" s="50">
        <v>100</v>
      </c>
      <c r="DQ16" s="50">
        <v>100</v>
      </c>
      <c r="DR16" s="50">
        <v>100</v>
      </c>
      <c r="DS16" s="50">
        <v>100</v>
      </c>
      <c r="DT16" s="50">
        <v>100</v>
      </c>
      <c r="DU16" s="50">
        <v>100</v>
      </c>
      <c r="DV16" s="50">
        <v>100</v>
      </c>
      <c r="DW16" s="50">
        <v>100</v>
      </c>
      <c r="DX16" s="50">
        <v>100</v>
      </c>
      <c r="DY16" s="50">
        <v>100</v>
      </c>
      <c r="DZ16" s="50">
        <v>100</v>
      </c>
      <c r="EA16" s="50">
        <v>100</v>
      </c>
      <c r="EB16" s="50">
        <v>100</v>
      </c>
      <c r="EC16" s="50">
        <v>100</v>
      </c>
      <c r="ED16" s="50">
        <v>100</v>
      </c>
      <c r="EE16" s="50">
        <v>100</v>
      </c>
      <c r="EF16" s="50">
        <v>100</v>
      </c>
      <c r="EG16" s="50">
        <v>100</v>
      </c>
      <c r="EH16" s="50">
        <v>100</v>
      </c>
      <c r="EI16" s="50">
        <v>100</v>
      </c>
      <c r="EJ16" s="50">
        <v>100</v>
      </c>
      <c r="EK16" s="50">
        <v>100</v>
      </c>
      <c r="EL16" s="50">
        <v>100</v>
      </c>
      <c r="EM16" s="50">
        <v>100</v>
      </c>
      <c r="EN16" s="50">
        <v>100</v>
      </c>
      <c r="EO16" s="50">
        <v>100</v>
      </c>
      <c r="EP16" s="50">
        <v>100</v>
      </c>
      <c r="EQ16" s="50">
        <v>100</v>
      </c>
      <c r="ER16" s="50">
        <v>100</v>
      </c>
      <c r="ES16" s="50">
        <v>100</v>
      </c>
      <c r="ET16" s="50">
        <v>100</v>
      </c>
      <c r="EU16" s="50">
        <v>100</v>
      </c>
    </row>
    <row r="17" spans="1:151" x14ac:dyDescent="0.5">
      <c r="A17" s="50">
        <v>15</v>
      </c>
      <c r="B17" s="50">
        <v>0</v>
      </c>
      <c r="C17" s="50">
        <v>1.0416666666666701</v>
      </c>
      <c r="D17" s="50">
        <v>2.0833333333333299</v>
      </c>
      <c r="E17" s="50">
        <v>3.125</v>
      </c>
      <c r="F17" s="50">
        <v>4.1666666666666696</v>
      </c>
      <c r="G17" s="50">
        <v>5.2083333333333304</v>
      </c>
      <c r="H17" s="50">
        <v>6.25</v>
      </c>
      <c r="I17" s="50">
        <v>7.2916666666666696</v>
      </c>
      <c r="J17" s="50">
        <v>8.3333333333333304</v>
      </c>
      <c r="K17" s="50">
        <v>9.375</v>
      </c>
      <c r="L17" s="50">
        <v>10.4166666666667</v>
      </c>
      <c r="M17" s="50">
        <v>11.4583333333333</v>
      </c>
      <c r="N17" s="50">
        <v>12.5</v>
      </c>
      <c r="O17" s="50">
        <v>13.5416666666667</v>
      </c>
      <c r="P17" s="50">
        <v>14.5833333333333</v>
      </c>
      <c r="Q17" s="50">
        <v>15.625</v>
      </c>
      <c r="R17" s="50">
        <v>16.6666666666667</v>
      </c>
      <c r="S17" s="50">
        <v>17.7083333333333</v>
      </c>
      <c r="T17" s="50">
        <v>18.75</v>
      </c>
      <c r="U17" s="50">
        <v>19.7916666666667</v>
      </c>
      <c r="V17" s="50">
        <v>20.8333333333333</v>
      </c>
      <c r="W17" s="50">
        <v>21.875</v>
      </c>
      <c r="X17" s="50">
        <v>22.9166666666667</v>
      </c>
      <c r="Y17" s="50">
        <v>23.9583333333333</v>
      </c>
      <c r="Z17" s="50">
        <v>25</v>
      </c>
      <c r="AA17" s="50">
        <v>26.1428571428571</v>
      </c>
      <c r="AB17" s="50">
        <v>27.285714285714299</v>
      </c>
      <c r="AC17" s="50">
        <v>28.428571428571399</v>
      </c>
      <c r="AD17" s="50">
        <v>29.571428571428601</v>
      </c>
      <c r="AE17" s="50">
        <v>30.714285714285701</v>
      </c>
      <c r="AF17" s="50">
        <v>31.8571428571429</v>
      </c>
      <c r="AG17" s="50">
        <v>33</v>
      </c>
      <c r="AH17" s="50">
        <v>34.142857142857103</v>
      </c>
      <c r="AI17" s="50">
        <v>35.285714285714299</v>
      </c>
      <c r="AJ17" s="50">
        <v>36.428571428571402</v>
      </c>
      <c r="AK17" s="50">
        <v>37.571428571428598</v>
      </c>
      <c r="AL17" s="50">
        <v>38.714285714285701</v>
      </c>
      <c r="AM17" s="50">
        <v>39.857142857142897</v>
      </c>
      <c r="AN17" s="50">
        <v>41</v>
      </c>
      <c r="AO17" s="50">
        <v>42.142857142857103</v>
      </c>
      <c r="AP17" s="50">
        <v>43.285714285714299</v>
      </c>
      <c r="AQ17" s="50">
        <v>44.428571428571402</v>
      </c>
      <c r="AR17" s="50">
        <v>45.571428571428598</v>
      </c>
      <c r="AS17" s="50">
        <v>46.714285714285701</v>
      </c>
      <c r="AT17" s="50">
        <v>47.857142857142897</v>
      </c>
      <c r="AU17" s="50">
        <v>49</v>
      </c>
      <c r="AV17" s="50">
        <v>50.142857142857103</v>
      </c>
      <c r="AW17" s="50">
        <v>51.285714285714299</v>
      </c>
      <c r="AX17" s="50">
        <v>52.428571428571402</v>
      </c>
      <c r="AY17" s="50">
        <v>53.571428571428598</v>
      </c>
      <c r="AZ17" s="50">
        <v>54.714285714285701</v>
      </c>
      <c r="BA17" s="50">
        <v>55.857142857142897</v>
      </c>
      <c r="BB17" s="50">
        <v>57</v>
      </c>
      <c r="BC17" s="50">
        <v>58.142857142857103</v>
      </c>
      <c r="BD17" s="50">
        <v>59.285714285714299</v>
      </c>
      <c r="BE17" s="50">
        <v>60.428571428571402</v>
      </c>
      <c r="BF17" s="50">
        <v>61.571428571428598</v>
      </c>
      <c r="BG17" s="50">
        <v>62.714285714285701</v>
      </c>
      <c r="BH17" s="50">
        <v>63.857142857142897</v>
      </c>
      <c r="BI17" s="50">
        <v>65</v>
      </c>
      <c r="BJ17" s="50">
        <v>66.5</v>
      </c>
      <c r="BK17" s="50">
        <v>68</v>
      </c>
      <c r="BL17" s="50">
        <v>69.5</v>
      </c>
      <c r="BM17" s="50">
        <v>71</v>
      </c>
      <c r="BN17" s="50">
        <v>72.5</v>
      </c>
      <c r="BO17" s="50">
        <v>74</v>
      </c>
      <c r="BP17" s="50">
        <v>75.5</v>
      </c>
      <c r="BQ17" s="50">
        <v>77</v>
      </c>
      <c r="BR17" s="50">
        <v>78.5</v>
      </c>
      <c r="BS17" s="50">
        <v>80</v>
      </c>
      <c r="BT17" s="50">
        <v>81.5</v>
      </c>
      <c r="BU17" s="50">
        <v>83</v>
      </c>
      <c r="BV17" s="50">
        <v>84.5</v>
      </c>
      <c r="BW17" s="50">
        <v>86</v>
      </c>
      <c r="BX17" s="50">
        <v>87.5</v>
      </c>
      <c r="BY17" s="50">
        <v>89</v>
      </c>
      <c r="BZ17" s="50">
        <v>90.5</v>
      </c>
      <c r="CA17" s="50">
        <v>92</v>
      </c>
      <c r="CB17" s="50">
        <v>93.5</v>
      </c>
      <c r="CC17" s="50">
        <v>95</v>
      </c>
      <c r="CD17" s="50">
        <v>95.263157894736807</v>
      </c>
      <c r="CE17" s="50">
        <v>95.526315789473699</v>
      </c>
      <c r="CF17" s="50">
        <v>95.789473684210506</v>
      </c>
      <c r="CG17" s="50">
        <v>96.052631578947398</v>
      </c>
      <c r="CH17" s="50">
        <v>96.315789473684205</v>
      </c>
      <c r="CI17" s="50">
        <v>96.578947368421098</v>
      </c>
      <c r="CJ17" s="50">
        <v>96.842105263157904</v>
      </c>
      <c r="CK17" s="50">
        <v>97.105263157894697</v>
      </c>
      <c r="CL17" s="50">
        <v>97.368421052631604</v>
      </c>
      <c r="CM17" s="50">
        <v>97.631578947368396</v>
      </c>
      <c r="CN17" s="50">
        <v>97.894736842105303</v>
      </c>
      <c r="CO17" s="50">
        <v>98.157894736842096</v>
      </c>
      <c r="CP17" s="50">
        <v>98.421052631578902</v>
      </c>
      <c r="CQ17" s="50">
        <v>98.684210526315795</v>
      </c>
      <c r="CR17" s="50">
        <v>98.947368421052602</v>
      </c>
      <c r="CS17" s="50">
        <v>99.210526315789494</v>
      </c>
      <c r="CT17" s="50">
        <v>99.473684210526301</v>
      </c>
      <c r="CU17" s="50">
        <v>99.736842105263193</v>
      </c>
      <c r="CV17" s="50">
        <v>100</v>
      </c>
      <c r="CW17" s="50">
        <v>100</v>
      </c>
      <c r="CX17" s="50">
        <v>100</v>
      </c>
      <c r="CY17" s="50">
        <v>100</v>
      </c>
      <c r="CZ17" s="50">
        <v>100</v>
      </c>
      <c r="DA17" s="50">
        <v>100</v>
      </c>
      <c r="DB17" s="50">
        <v>100</v>
      </c>
      <c r="DC17" s="50">
        <v>100</v>
      </c>
      <c r="DD17" s="50">
        <v>100</v>
      </c>
      <c r="DE17" s="50">
        <v>100</v>
      </c>
      <c r="DF17" s="50">
        <v>100</v>
      </c>
      <c r="DG17" s="50">
        <v>100</v>
      </c>
      <c r="DH17" s="50">
        <v>100</v>
      </c>
      <c r="DI17" s="50">
        <v>100</v>
      </c>
      <c r="DJ17" s="50">
        <v>100</v>
      </c>
      <c r="DK17" s="50">
        <v>100</v>
      </c>
      <c r="DL17" s="50">
        <v>100</v>
      </c>
      <c r="DM17" s="50">
        <v>100</v>
      </c>
      <c r="DN17" s="50">
        <v>100</v>
      </c>
      <c r="DO17" s="50">
        <v>100</v>
      </c>
      <c r="DP17" s="50">
        <v>100</v>
      </c>
      <c r="DQ17" s="50">
        <v>100</v>
      </c>
      <c r="DR17" s="50">
        <v>100</v>
      </c>
      <c r="DS17" s="50">
        <v>100</v>
      </c>
      <c r="DT17" s="50">
        <v>100</v>
      </c>
      <c r="DU17" s="50">
        <v>100</v>
      </c>
      <c r="DV17" s="50">
        <v>100</v>
      </c>
      <c r="DW17" s="50">
        <v>100</v>
      </c>
      <c r="DX17" s="50">
        <v>100</v>
      </c>
      <c r="DY17" s="50">
        <v>100</v>
      </c>
      <c r="DZ17" s="50">
        <v>100</v>
      </c>
      <c r="EA17" s="50">
        <v>100</v>
      </c>
      <c r="EB17" s="50">
        <v>100</v>
      </c>
      <c r="EC17" s="50">
        <v>100</v>
      </c>
      <c r="ED17" s="50">
        <v>100</v>
      </c>
      <c r="EE17" s="50">
        <v>100</v>
      </c>
      <c r="EF17" s="50">
        <v>100</v>
      </c>
      <c r="EG17" s="50">
        <v>100</v>
      </c>
      <c r="EH17" s="50">
        <v>100</v>
      </c>
      <c r="EI17" s="50">
        <v>100</v>
      </c>
      <c r="EJ17" s="50">
        <v>100</v>
      </c>
      <c r="EK17" s="50">
        <v>100</v>
      </c>
      <c r="EL17" s="50">
        <v>100</v>
      </c>
      <c r="EM17" s="50">
        <v>100</v>
      </c>
      <c r="EN17" s="50">
        <v>100</v>
      </c>
      <c r="EO17" s="50">
        <v>100</v>
      </c>
      <c r="EP17" s="50">
        <v>100</v>
      </c>
      <c r="EQ17" s="50">
        <v>100</v>
      </c>
      <c r="ER17" s="50">
        <v>100</v>
      </c>
      <c r="ES17" s="50">
        <v>100</v>
      </c>
      <c r="ET17" s="50">
        <v>100</v>
      </c>
      <c r="EU17" s="50">
        <v>100</v>
      </c>
    </row>
    <row r="18" spans="1:151" x14ac:dyDescent="0.5">
      <c r="A18" s="50">
        <v>16</v>
      </c>
      <c r="B18" s="50">
        <v>0</v>
      </c>
      <c r="C18" s="50">
        <v>1.1764705882352899</v>
      </c>
      <c r="D18" s="50">
        <v>2.3529411764705901</v>
      </c>
      <c r="E18" s="50">
        <v>3.52941176470588</v>
      </c>
      <c r="F18" s="50">
        <v>4.7058823529411802</v>
      </c>
      <c r="G18" s="50">
        <v>5.8823529411764701</v>
      </c>
      <c r="H18" s="50">
        <v>7.0588235294117601</v>
      </c>
      <c r="I18" s="50">
        <v>8.2352941176470598</v>
      </c>
      <c r="J18" s="50">
        <v>9.4117647058823497</v>
      </c>
      <c r="K18" s="50">
        <v>10.588235294117601</v>
      </c>
      <c r="L18" s="50">
        <v>11.764705882352899</v>
      </c>
      <c r="M18" s="50">
        <v>12.9411764705882</v>
      </c>
      <c r="N18" s="50">
        <v>14.117647058823501</v>
      </c>
      <c r="O18" s="50">
        <v>15.294117647058799</v>
      </c>
      <c r="P18" s="50">
        <v>16.470588235294102</v>
      </c>
      <c r="Q18" s="50">
        <v>17.647058823529399</v>
      </c>
      <c r="R18" s="50">
        <v>18.823529411764699</v>
      </c>
      <c r="S18" s="50">
        <v>20</v>
      </c>
      <c r="T18" s="50">
        <v>21.3095238095238</v>
      </c>
      <c r="U18" s="50">
        <v>22.619047619047599</v>
      </c>
      <c r="V18" s="50">
        <v>23.928571428571399</v>
      </c>
      <c r="W18" s="50">
        <v>25.238095238095202</v>
      </c>
      <c r="X18" s="50">
        <v>26.547619047619001</v>
      </c>
      <c r="Y18" s="50">
        <v>27.8571428571429</v>
      </c>
      <c r="Z18" s="50">
        <v>29.1666666666667</v>
      </c>
      <c r="AA18" s="50">
        <v>30.476190476190499</v>
      </c>
      <c r="AB18" s="50">
        <v>31.785714285714299</v>
      </c>
      <c r="AC18" s="50">
        <v>33.095238095238102</v>
      </c>
      <c r="AD18" s="50">
        <v>34.404761904761898</v>
      </c>
      <c r="AE18" s="50">
        <v>35.714285714285701</v>
      </c>
      <c r="AF18" s="50">
        <v>37.023809523809497</v>
      </c>
      <c r="AG18" s="50">
        <v>38.3333333333333</v>
      </c>
      <c r="AH18" s="50">
        <v>39.642857142857103</v>
      </c>
      <c r="AI18" s="50">
        <v>40.952380952380899</v>
      </c>
      <c r="AJ18" s="50">
        <v>42.261904761904802</v>
      </c>
      <c r="AK18" s="50">
        <v>43.571428571428598</v>
      </c>
      <c r="AL18" s="50">
        <v>44.880952380952401</v>
      </c>
      <c r="AM18" s="50">
        <v>46.190476190476197</v>
      </c>
      <c r="AN18" s="50">
        <v>47.5</v>
      </c>
      <c r="AO18" s="50">
        <v>48.809523809523803</v>
      </c>
      <c r="AP18" s="50">
        <v>50.119047619047599</v>
      </c>
      <c r="AQ18" s="50">
        <v>51.428571428571402</v>
      </c>
      <c r="AR18" s="50">
        <v>52.738095238095198</v>
      </c>
      <c r="AS18" s="50">
        <v>54.047619047619101</v>
      </c>
      <c r="AT18" s="50">
        <v>55.357142857142897</v>
      </c>
      <c r="AU18" s="50">
        <v>56.6666666666667</v>
      </c>
      <c r="AV18" s="50">
        <v>57.976190476190503</v>
      </c>
      <c r="AW18" s="50">
        <v>59.285714285714299</v>
      </c>
      <c r="AX18" s="50">
        <v>60.595238095238102</v>
      </c>
      <c r="AY18" s="50">
        <v>61.904761904761898</v>
      </c>
      <c r="AZ18" s="50">
        <v>63.214285714285701</v>
      </c>
      <c r="BA18" s="50">
        <v>64.523809523809504</v>
      </c>
      <c r="BB18" s="50">
        <v>65.8333333333333</v>
      </c>
      <c r="BC18" s="50">
        <v>67.142857142857096</v>
      </c>
      <c r="BD18" s="50">
        <v>68.452380952381006</v>
      </c>
      <c r="BE18" s="50">
        <v>69.761904761904802</v>
      </c>
      <c r="BF18" s="50">
        <v>71.071428571428598</v>
      </c>
      <c r="BG18" s="50">
        <v>72.380952380952394</v>
      </c>
      <c r="BH18" s="50">
        <v>73.690476190476204</v>
      </c>
      <c r="BI18" s="50">
        <v>75</v>
      </c>
      <c r="BJ18" s="50">
        <v>75.75</v>
      </c>
      <c r="BK18" s="50">
        <v>76.5</v>
      </c>
      <c r="BL18" s="50">
        <v>77.25</v>
      </c>
      <c r="BM18" s="50">
        <v>78</v>
      </c>
      <c r="BN18" s="50">
        <v>78.75</v>
      </c>
      <c r="BO18" s="50">
        <v>79.5</v>
      </c>
      <c r="BP18" s="50">
        <v>80.25</v>
      </c>
      <c r="BQ18" s="50">
        <v>81</v>
      </c>
      <c r="BR18" s="50">
        <v>81.75</v>
      </c>
      <c r="BS18" s="50">
        <v>82.5</v>
      </c>
      <c r="BT18" s="50">
        <v>83.25</v>
      </c>
      <c r="BU18" s="50">
        <v>84</v>
      </c>
      <c r="BV18" s="50">
        <v>84.75</v>
      </c>
      <c r="BW18" s="50">
        <v>85.5</v>
      </c>
      <c r="BX18" s="50">
        <v>86.25</v>
      </c>
      <c r="BY18" s="50">
        <v>87</v>
      </c>
      <c r="BZ18" s="50">
        <v>87.75</v>
      </c>
      <c r="CA18" s="50">
        <v>88.5</v>
      </c>
      <c r="CB18" s="50">
        <v>89.25</v>
      </c>
      <c r="CC18" s="50">
        <v>90</v>
      </c>
      <c r="CD18" s="50">
        <v>90.526315789473699</v>
      </c>
      <c r="CE18" s="50">
        <v>91.052631578947398</v>
      </c>
      <c r="CF18" s="50">
        <v>91.578947368421098</v>
      </c>
      <c r="CG18" s="50">
        <v>92.105263157894697</v>
      </c>
      <c r="CH18" s="50">
        <v>92.631578947368396</v>
      </c>
      <c r="CI18" s="50">
        <v>93.157894736842096</v>
      </c>
      <c r="CJ18" s="50">
        <v>93.684210526315795</v>
      </c>
      <c r="CK18" s="50">
        <v>94.210526315789494</v>
      </c>
      <c r="CL18" s="50">
        <v>94.736842105263193</v>
      </c>
      <c r="CM18" s="50">
        <v>95.263157894736807</v>
      </c>
      <c r="CN18" s="50">
        <v>95.789473684210506</v>
      </c>
      <c r="CO18" s="50">
        <v>96.315789473684205</v>
      </c>
      <c r="CP18" s="50">
        <v>96.842105263157904</v>
      </c>
      <c r="CQ18" s="50">
        <v>97.368421052631604</v>
      </c>
      <c r="CR18" s="50">
        <v>97.894736842105303</v>
      </c>
      <c r="CS18" s="50">
        <v>98.421052631578902</v>
      </c>
      <c r="CT18" s="50">
        <v>98.947368421052602</v>
      </c>
      <c r="CU18" s="50">
        <v>99.473684210526301</v>
      </c>
      <c r="CV18" s="50">
        <v>100</v>
      </c>
      <c r="CW18" s="50">
        <v>100</v>
      </c>
      <c r="CX18" s="50">
        <v>100</v>
      </c>
      <c r="CY18" s="50">
        <v>100</v>
      </c>
      <c r="CZ18" s="50">
        <v>100</v>
      </c>
      <c r="DA18" s="50">
        <v>100</v>
      </c>
      <c r="DB18" s="50">
        <v>100</v>
      </c>
      <c r="DC18" s="50">
        <v>100</v>
      </c>
      <c r="DD18" s="50">
        <v>100</v>
      </c>
      <c r="DE18" s="50">
        <v>100</v>
      </c>
      <c r="DF18" s="50">
        <v>100</v>
      </c>
      <c r="DG18" s="50">
        <v>100</v>
      </c>
      <c r="DH18" s="50">
        <v>100</v>
      </c>
      <c r="DI18" s="50">
        <v>100</v>
      </c>
      <c r="DJ18" s="50">
        <v>100</v>
      </c>
      <c r="DK18" s="50">
        <v>100</v>
      </c>
      <c r="DL18" s="50">
        <v>100</v>
      </c>
      <c r="DM18" s="50">
        <v>100</v>
      </c>
      <c r="DN18" s="50">
        <v>100</v>
      </c>
      <c r="DO18" s="50">
        <v>100</v>
      </c>
      <c r="DP18" s="50">
        <v>100</v>
      </c>
      <c r="DQ18" s="50">
        <v>100</v>
      </c>
      <c r="DR18" s="50">
        <v>100</v>
      </c>
      <c r="DS18" s="50">
        <v>100</v>
      </c>
      <c r="DT18" s="50">
        <v>100</v>
      </c>
      <c r="DU18" s="50">
        <v>100</v>
      </c>
      <c r="DV18" s="50">
        <v>100</v>
      </c>
      <c r="DW18" s="50">
        <v>100</v>
      </c>
      <c r="DX18" s="50">
        <v>100</v>
      </c>
      <c r="DY18" s="50">
        <v>100</v>
      </c>
      <c r="DZ18" s="50">
        <v>100</v>
      </c>
      <c r="EA18" s="50">
        <v>100</v>
      </c>
      <c r="EB18" s="50">
        <v>100</v>
      </c>
      <c r="EC18" s="50">
        <v>100</v>
      </c>
      <c r="ED18" s="50">
        <v>100</v>
      </c>
      <c r="EE18" s="50">
        <v>100</v>
      </c>
      <c r="EF18" s="50">
        <v>100</v>
      </c>
      <c r="EG18" s="50">
        <v>100</v>
      </c>
      <c r="EH18" s="50">
        <v>100</v>
      </c>
      <c r="EI18" s="50">
        <v>100</v>
      </c>
      <c r="EJ18" s="50">
        <v>100</v>
      </c>
      <c r="EK18" s="50">
        <v>100</v>
      </c>
      <c r="EL18" s="50">
        <v>100</v>
      </c>
      <c r="EM18" s="50">
        <v>100</v>
      </c>
      <c r="EN18" s="50">
        <v>100</v>
      </c>
      <c r="EO18" s="50">
        <v>100</v>
      </c>
      <c r="EP18" s="50">
        <v>100</v>
      </c>
      <c r="EQ18" s="50">
        <v>100</v>
      </c>
      <c r="ER18" s="50">
        <v>100</v>
      </c>
      <c r="ES18" s="50">
        <v>100</v>
      </c>
      <c r="ET18" s="50">
        <v>100</v>
      </c>
      <c r="EU18" s="50">
        <v>100</v>
      </c>
    </row>
    <row r="19" spans="1:151" x14ac:dyDescent="0.3">
      <c r="A19" s="49" t="s">
        <v>496</v>
      </c>
      <c r="B19" s="49">
        <v>0</v>
      </c>
      <c r="C19" s="49">
        <v>1</v>
      </c>
      <c r="D19" s="49">
        <v>2</v>
      </c>
      <c r="E19" s="49">
        <v>3</v>
      </c>
      <c r="F19" s="49">
        <v>4</v>
      </c>
      <c r="G19" s="49">
        <v>5</v>
      </c>
      <c r="H19" s="49">
        <v>6</v>
      </c>
      <c r="I19" s="49">
        <v>7</v>
      </c>
      <c r="J19" s="49">
        <v>8</v>
      </c>
      <c r="K19" s="49">
        <v>9</v>
      </c>
      <c r="L19" s="49">
        <v>10</v>
      </c>
      <c r="M19" s="49">
        <v>11</v>
      </c>
      <c r="N19" s="49">
        <v>12</v>
      </c>
      <c r="O19" s="49">
        <v>13</v>
      </c>
      <c r="P19" s="49">
        <v>14</v>
      </c>
      <c r="Q19" s="49">
        <v>15</v>
      </c>
      <c r="R19" s="49">
        <v>16</v>
      </c>
      <c r="S19" s="49">
        <v>17</v>
      </c>
      <c r="T19" s="49">
        <v>18</v>
      </c>
      <c r="U19" s="49">
        <v>19</v>
      </c>
      <c r="V19" s="49">
        <v>20</v>
      </c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49"/>
      <c r="CU19" s="49"/>
      <c r="CV19" s="49"/>
      <c r="CW19" s="49"/>
      <c r="CX19" s="49"/>
      <c r="CY19" s="49"/>
      <c r="CZ19" s="49"/>
      <c r="DA19" s="49"/>
      <c r="DB19" s="49"/>
      <c r="DC19" s="49"/>
      <c r="DD19" s="49"/>
      <c r="DE19" s="49"/>
      <c r="DF19" s="49"/>
      <c r="DG19" s="49"/>
      <c r="DH19" s="49"/>
      <c r="DI19" s="49"/>
      <c r="DJ19" s="49"/>
      <c r="DK19" s="49"/>
      <c r="DL19" s="49"/>
      <c r="DM19" s="49"/>
      <c r="DN19" s="49"/>
      <c r="DO19" s="49"/>
      <c r="DP19" s="49"/>
      <c r="DQ19" s="49"/>
      <c r="DR19" s="49"/>
      <c r="DS19" s="49"/>
      <c r="DT19" s="49"/>
      <c r="DU19" s="49"/>
      <c r="DV19" s="49"/>
      <c r="DW19" s="49"/>
      <c r="DX19" s="49"/>
      <c r="DY19" s="49"/>
      <c r="DZ19" s="49"/>
      <c r="EA19" s="49"/>
      <c r="EB19" s="49"/>
      <c r="EC19" s="49"/>
      <c r="ED19" s="49"/>
      <c r="EE19" s="49"/>
      <c r="EF19" s="49"/>
      <c r="EG19" s="49"/>
      <c r="EH19" s="49"/>
      <c r="EI19" s="49"/>
      <c r="EJ19" s="49"/>
      <c r="EK19" s="49"/>
      <c r="EL19" s="49"/>
      <c r="EM19" s="49"/>
      <c r="EN19" s="49"/>
      <c r="EO19" s="49"/>
      <c r="EP19" s="49"/>
      <c r="EQ19" s="49"/>
      <c r="ER19" s="49"/>
      <c r="ES19" s="49"/>
      <c r="ET19" s="49"/>
      <c r="EU19" s="49"/>
    </row>
    <row r="20" spans="1:151" x14ac:dyDescent="0.3">
      <c r="A20" s="49" t="s">
        <v>494</v>
      </c>
      <c r="B20" s="49">
        <v>1</v>
      </c>
      <c r="C20" s="49">
        <v>1.1000000000000001</v>
      </c>
      <c r="D20" s="49">
        <v>1.2</v>
      </c>
      <c r="E20" s="49">
        <v>1.25</v>
      </c>
      <c r="F20" s="49">
        <v>1.3</v>
      </c>
      <c r="G20" s="49">
        <v>1.35</v>
      </c>
      <c r="H20" s="49">
        <v>1.425</v>
      </c>
      <c r="I20" s="49">
        <v>1.5</v>
      </c>
      <c r="J20" s="49">
        <v>1.55</v>
      </c>
      <c r="K20" s="49">
        <v>1.6</v>
      </c>
      <c r="L20" s="49">
        <v>1.65</v>
      </c>
      <c r="M20" s="49">
        <v>1.75</v>
      </c>
      <c r="N20" s="49">
        <v>1.85</v>
      </c>
      <c r="O20" s="49">
        <v>1.875</v>
      </c>
      <c r="P20" s="49">
        <v>1.9</v>
      </c>
      <c r="Q20" s="49">
        <v>1.925</v>
      </c>
      <c r="R20" s="49">
        <v>1.95</v>
      </c>
      <c r="S20" s="49">
        <v>1.9750000000000001</v>
      </c>
      <c r="T20" s="49">
        <v>2</v>
      </c>
      <c r="U20" s="49">
        <v>2.0249999999999999</v>
      </c>
      <c r="V20" s="49">
        <v>2.0499999999999998</v>
      </c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49"/>
      <c r="BN20" s="49"/>
      <c r="BO20" s="49"/>
      <c r="BP20" s="49"/>
      <c r="BQ20" s="49"/>
      <c r="BR20" s="49"/>
      <c r="BS20" s="49"/>
      <c r="BT20" s="49"/>
      <c r="BU20" s="49"/>
      <c r="BV20" s="49"/>
      <c r="BW20" s="49"/>
      <c r="BX20" s="49"/>
      <c r="BY20" s="49"/>
      <c r="BZ20" s="49"/>
      <c r="CA20" s="49"/>
      <c r="CB20" s="49"/>
      <c r="CC20" s="49"/>
      <c r="CD20" s="49"/>
      <c r="CE20" s="49"/>
      <c r="CF20" s="49"/>
      <c r="CG20" s="49"/>
      <c r="CH20" s="49"/>
      <c r="CI20" s="49"/>
      <c r="CJ20" s="49"/>
      <c r="CK20" s="49"/>
      <c r="CL20" s="49"/>
      <c r="CM20" s="49"/>
      <c r="CN20" s="49"/>
      <c r="CO20" s="49"/>
      <c r="CP20" s="49"/>
      <c r="CQ20" s="49"/>
      <c r="CR20" s="49"/>
      <c r="CS20" s="49"/>
      <c r="CT20" s="49"/>
      <c r="CU20" s="49"/>
      <c r="CV20" s="49"/>
      <c r="CW20" s="49"/>
      <c r="CX20" s="49"/>
      <c r="CY20" s="49"/>
      <c r="CZ20" s="49"/>
      <c r="DA20" s="49"/>
      <c r="DB20" s="49"/>
      <c r="DC20" s="49"/>
      <c r="DD20" s="49"/>
      <c r="DE20" s="49"/>
      <c r="DF20" s="49"/>
      <c r="DG20" s="49"/>
      <c r="DH20" s="49"/>
      <c r="DI20" s="49"/>
      <c r="DJ20" s="49"/>
      <c r="DK20" s="49"/>
      <c r="DL20" s="49"/>
      <c r="DM20" s="49"/>
      <c r="DN20" s="49"/>
      <c r="DO20" s="49"/>
      <c r="DP20" s="49"/>
      <c r="DQ20" s="49"/>
      <c r="DR20" s="49"/>
      <c r="DS20" s="49"/>
      <c r="DT20" s="49"/>
      <c r="DU20" s="49"/>
      <c r="DV20" s="49"/>
      <c r="DW20" s="49"/>
      <c r="DX20" s="49"/>
      <c r="DY20" s="49"/>
      <c r="DZ20" s="49"/>
      <c r="EA20" s="49"/>
      <c r="EB20" s="49"/>
      <c r="EC20" s="49"/>
      <c r="ED20" s="49"/>
      <c r="EE20" s="49"/>
      <c r="EF20" s="49"/>
      <c r="EG20" s="49"/>
      <c r="EH20" s="49"/>
      <c r="EI20" s="49"/>
      <c r="EJ20" s="49"/>
      <c r="EK20" s="49"/>
      <c r="EL20" s="49"/>
      <c r="EM20" s="49"/>
      <c r="EN20" s="49"/>
      <c r="EO20" s="49"/>
      <c r="EP20" s="49"/>
      <c r="EQ20" s="49"/>
      <c r="ER20" s="49"/>
      <c r="ES20" s="49"/>
      <c r="ET20" s="49"/>
      <c r="EU20" s="49"/>
    </row>
    <row r="21" spans="1:151" x14ac:dyDescent="0.3">
      <c r="A21" s="49" t="s">
        <v>495</v>
      </c>
      <c r="B21" s="49">
        <v>1</v>
      </c>
      <c r="C21" s="49">
        <v>0.90909094000000001</v>
      </c>
      <c r="D21" s="49">
        <v>0.83333330000000005</v>
      </c>
      <c r="E21" s="49">
        <v>0.8</v>
      </c>
      <c r="F21" s="49">
        <v>0.76923079999999999</v>
      </c>
      <c r="G21" s="49">
        <v>0.74074070000000003</v>
      </c>
      <c r="H21" s="49">
        <v>0.7017544</v>
      </c>
      <c r="I21" s="49">
        <v>0.66666669999999995</v>
      </c>
      <c r="J21" s="49">
        <v>0.64516130000000005</v>
      </c>
      <c r="K21" s="49">
        <v>0.625</v>
      </c>
      <c r="L21" s="49">
        <v>0.60606059999999995</v>
      </c>
      <c r="M21" s="49">
        <v>0.57142859999999995</v>
      </c>
      <c r="N21" s="49">
        <v>0.54054049999999998</v>
      </c>
      <c r="O21" s="49">
        <v>0.53333335999999998</v>
      </c>
      <c r="P21" s="49">
        <v>0.5263158</v>
      </c>
      <c r="Q21" s="49">
        <v>0.51948050000000001</v>
      </c>
      <c r="R21" s="49">
        <v>0.51282053999999999</v>
      </c>
      <c r="S21" s="49">
        <v>0.50632909999999998</v>
      </c>
      <c r="T21" s="49">
        <v>0.5</v>
      </c>
      <c r="U21" s="49">
        <v>0.49382715999999999</v>
      </c>
      <c r="V21" s="49">
        <v>0.48780489999999999</v>
      </c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49"/>
      <c r="BL21" s="49"/>
      <c r="BM21" s="49"/>
      <c r="BN21" s="49"/>
      <c r="BO21" s="49"/>
      <c r="BP21" s="49"/>
      <c r="BQ21" s="49"/>
      <c r="BR21" s="49"/>
      <c r="BS21" s="49"/>
      <c r="BT21" s="49"/>
      <c r="BU21" s="49"/>
      <c r="BV21" s="49"/>
      <c r="BW21" s="49"/>
      <c r="BX21" s="49"/>
      <c r="BY21" s="49"/>
      <c r="BZ21" s="49"/>
      <c r="CA21" s="49"/>
      <c r="CB21" s="49"/>
      <c r="CC21" s="49"/>
      <c r="CD21" s="49"/>
      <c r="CE21" s="49"/>
      <c r="CF21" s="49"/>
      <c r="CG21" s="49"/>
      <c r="CH21" s="49"/>
      <c r="CI21" s="49"/>
      <c r="CJ21" s="49"/>
      <c r="CK21" s="49"/>
      <c r="CL21" s="49"/>
      <c r="CM21" s="49"/>
      <c r="CN21" s="49"/>
      <c r="CO21" s="49"/>
      <c r="CP21" s="49"/>
      <c r="CQ21" s="49"/>
      <c r="CR21" s="49"/>
      <c r="CS21" s="49"/>
      <c r="CT21" s="49"/>
      <c r="CU21" s="49"/>
      <c r="CV21" s="49"/>
      <c r="CW21" s="49"/>
      <c r="CX21" s="49"/>
      <c r="CY21" s="49"/>
      <c r="CZ21" s="49"/>
      <c r="DA21" s="49"/>
      <c r="DB21" s="49"/>
      <c r="DC21" s="49"/>
      <c r="DD21" s="49"/>
      <c r="DE21" s="49"/>
      <c r="DF21" s="49"/>
      <c r="DG21" s="49"/>
      <c r="DH21" s="49"/>
      <c r="DI21" s="49"/>
      <c r="DJ21" s="49"/>
      <c r="DK21" s="49"/>
      <c r="DL21" s="49"/>
      <c r="DM21" s="49"/>
      <c r="DN21" s="49"/>
      <c r="DO21" s="49"/>
      <c r="DP21" s="49"/>
      <c r="DQ21" s="49"/>
      <c r="DR21" s="49"/>
      <c r="DS21" s="49"/>
      <c r="DT21" s="49"/>
      <c r="DU21" s="49"/>
      <c r="DV21" s="49"/>
      <c r="DW21" s="49"/>
      <c r="DX21" s="49"/>
      <c r="DY21" s="49"/>
      <c r="DZ21" s="49"/>
      <c r="EA21" s="49"/>
      <c r="EB21" s="49"/>
      <c r="EC21" s="49"/>
      <c r="ED21" s="49"/>
      <c r="EE21" s="49"/>
      <c r="EF21" s="49"/>
      <c r="EG21" s="49"/>
      <c r="EH21" s="49"/>
      <c r="EI21" s="49"/>
      <c r="EJ21" s="49"/>
      <c r="EK21" s="49"/>
      <c r="EL21" s="49"/>
      <c r="EM21" s="49"/>
      <c r="EN21" s="49"/>
      <c r="EO21" s="49"/>
      <c r="EP21" s="49"/>
      <c r="EQ21" s="49"/>
      <c r="ER21" s="49"/>
      <c r="ES21" s="49"/>
      <c r="ET21" s="49"/>
      <c r="EU21" s="49"/>
    </row>
    <row r="33" spans="1:13" s="18" customFormat="1" x14ac:dyDescent="0.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s="18" customFormat="1" ht="14.15" x14ac:dyDescent="0.3"/>
    <row r="35" spans="1:13" s="18" customFormat="1" ht="14.15" x14ac:dyDescent="0.3"/>
    <row r="36" spans="1:13" s="18" customFormat="1" ht="14.15" x14ac:dyDescent="0.3"/>
    <row r="37" spans="1:13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</row>
  </sheetData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命名范围</vt:lpstr>
      </vt:variant>
      <vt:variant>
        <vt:i4>6</vt:i4>
      </vt:variant>
    </vt:vector>
  </HeadingPairs>
  <TitlesOfParts>
    <vt:vector size="17" baseType="lpstr">
      <vt:lpstr>法术计算器</vt:lpstr>
      <vt:lpstr>对比计算</vt:lpstr>
      <vt:lpstr>敌人数据</vt:lpstr>
      <vt:lpstr>AtkParam</vt:lpstr>
      <vt:lpstr>SpellData</vt:lpstr>
      <vt:lpstr>AtkCorrect</vt:lpstr>
      <vt:lpstr>Weapon</vt:lpstr>
      <vt:lpstr>WeaponUP</vt:lpstr>
      <vt:lpstr>List</vt:lpstr>
      <vt:lpstr>Buff</vt:lpstr>
      <vt:lpstr>Curve</vt:lpstr>
      <vt:lpstr>副手类buff</vt:lpstr>
      <vt:lpstr>减防debuff</vt:lpstr>
      <vt:lpstr>立誓类buff</vt:lpstr>
      <vt:lpstr>身体类buff</vt:lpstr>
      <vt:lpstr>通用buff</vt:lpstr>
      <vt:lpstr>装备buff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vivo X7Plus</dc:creator>
  <cp:lastModifiedBy>Chen Mingxin</cp:lastModifiedBy>
  <dcterms:created xsi:type="dcterms:W3CDTF">2013-05-05T18:19:00Z</dcterms:created>
  <dcterms:modified xsi:type="dcterms:W3CDTF">2025-01-31T16:42:45Z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KSOProductBuildVer">
    <vt:lpwstr>2052-11.1.0.12598</vt:lpwstr>
  </property>
  <property fmtid="{D5CDD505-2E9C-101B-9397-08002B2CF9AE}" pid="4" name="ICV">
    <vt:lpwstr>C54172A6F79443D991F7F0318EB6CF0F</vt:lpwstr>
  </property>
</Properties>
</file>