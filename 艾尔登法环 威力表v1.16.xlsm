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老头环\表\"/>
    </mc:Choice>
  </mc:AlternateContent>
  <xr:revisionPtr revIDLastSave="0" documentId="13_ncr:1_{D6A63255-EBBB-4BC6-BCCD-3EAB3FEB74B1}" xr6:coauthVersionLast="47" xr6:coauthVersionMax="47" xr10:uidLastSave="{00000000-0000-0000-0000-000000000000}"/>
  <bookViews>
    <workbookView xWindow="-103" yWindow="-103" windowWidth="22149" windowHeight="13200" activeTab="2" xr2:uid="{00000000-000D-0000-FFFF-FFFF00000000}"/>
  </bookViews>
  <sheets>
    <sheet name="战灰" sheetId="1" r:id="rId1"/>
    <sheet name="战灰（dlc）" sheetId="12" state="hidden" r:id="rId2"/>
    <sheet name="专用战技" sheetId="2" r:id="rId3"/>
    <sheet name="专属战技（dlc)" sheetId="13" state="hidden" r:id="rId4"/>
    <sheet name="特殊重击（未更新）" sheetId="3" state="hidden" r:id="rId5"/>
    <sheet name="魔法" sheetId="9" r:id="rId6"/>
    <sheet name="祷告" sheetId="10" r:id="rId7"/>
    <sheet name="辅助类" sheetId="11" r:id="rId8"/>
    <sheet name="计算器" sheetId="4" state="hidden" r:id="rId9"/>
    <sheet name="强化等级" sheetId="5" state="hidden" r:id="rId10"/>
  </sheets>
  <definedNames>
    <definedName name="_xlnm._FilterDatabase" localSheetId="6" hidden="1">祷告!$A$4:$H$91</definedName>
    <definedName name="_xlnm._FilterDatabase" localSheetId="5" hidden="1">魔法!$A$4:$H$74</definedName>
    <definedName name="_xlnm._FilterDatabase" localSheetId="9" hidden="1">强化等级!$A$1:$AN$851</definedName>
    <definedName name="_xlnm._FilterDatabase" localSheetId="0" hidden="1">战灰!$A$4:$K$205</definedName>
    <definedName name="_xlnm._FilterDatabase" localSheetId="2" hidden="1">专用战技!$A$3:$K$328</definedName>
    <definedName name="_xlpm.k" hidden="1" xlm="1">#NAME?</definedName>
    <definedName name="_xlpm.p" hidden="1" xlm="1">#NAME?</definedName>
    <definedName name="_xlpm.x" hidden="1" xlm="1">#NAME?</definedName>
    <definedName name="_xlnm.Print_Area" localSheetId="6">祷告!$A$1:$H$91</definedName>
    <definedName name="_xlnm.Print_Area" localSheetId="0">战灰!$A$1:$K$206</definedName>
    <definedName name="_xlnm.Print_Area" localSheetId="2">专用战技!$A$1:$K$328</definedName>
    <definedName name="_xlnm.Print_Titles" localSheetId="0">战灰!$1:$1</definedName>
    <definedName name="_xlnm.Print_Titles" localSheetId="2">专用战技!$1:$1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4" l="1"/>
  <c r="D17" i="4"/>
  <c r="C17" i="4"/>
  <c r="G16" i="4"/>
  <c r="D16" i="4"/>
  <c r="C16" i="4"/>
  <c r="A16" i="4"/>
  <c r="G15" i="4"/>
  <c r="D15" i="4"/>
  <c r="C15" i="4"/>
  <c r="A15" i="4"/>
  <c r="U14" i="4"/>
  <c r="G14" i="4"/>
  <c r="D14" i="4"/>
  <c r="C14" i="4"/>
  <c r="B14" i="4"/>
  <c r="A14" i="4"/>
  <c r="G13" i="4"/>
  <c r="D13" i="4"/>
  <c r="C13" i="4"/>
  <c r="B13" i="4"/>
  <c r="G12" i="4"/>
  <c r="R9" i="4"/>
  <c r="Q9" i="4"/>
  <c r="P9" i="4"/>
  <c r="O9" i="4"/>
  <c r="N9" i="4"/>
  <c r="M9" i="4"/>
  <c r="L9" i="4"/>
  <c r="I9" i="4"/>
  <c r="R8" i="4"/>
  <c r="Q8" i="4"/>
  <c r="P8" i="4"/>
  <c r="O8" i="4"/>
  <c r="N8" i="4"/>
  <c r="M8" i="4"/>
  <c r="L8" i="4"/>
  <c r="I8" i="4"/>
  <c r="H8" i="4"/>
  <c r="R7" i="4"/>
  <c r="Q7" i="4"/>
  <c r="P7" i="4"/>
  <c r="O7" i="4"/>
  <c r="N7" i="4"/>
  <c r="M7" i="4"/>
  <c r="L7" i="4"/>
  <c r="I7" i="4"/>
  <c r="H7" i="4"/>
  <c r="A7" i="4"/>
  <c r="R6" i="4"/>
  <c r="Q6" i="4"/>
  <c r="P6" i="4"/>
  <c r="O6" i="4"/>
  <c r="N6" i="4"/>
  <c r="M6" i="4"/>
  <c r="L6" i="4"/>
  <c r="I6" i="4"/>
  <c r="R5" i="4"/>
  <c r="Q5" i="4"/>
  <c r="P5" i="4"/>
  <c r="O5" i="4"/>
  <c r="N5" i="4"/>
  <c r="M5" i="4"/>
  <c r="L5" i="4"/>
  <c r="I5" i="4"/>
  <c r="H5" i="4"/>
  <c r="R4" i="4"/>
  <c r="Q4" i="4"/>
  <c r="P4" i="4"/>
  <c r="O4" i="4"/>
  <c r="N4" i="4"/>
  <c r="M4" i="4"/>
  <c r="L4" i="4"/>
  <c r="I4" i="4"/>
  <c r="H4" i="4"/>
  <c r="R3" i="4"/>
  <c r="Q3" i="4"/>
  <c r="P3" i="4"/>
  <c r="O3" i="4"/>
  <c r="N3" i="4"/>
  <c r="M3" i="4"/>
  <c r="L3" i="4"/>
  <c r="I3" i="4"/>
  <c r="H3" i="4"/>
  <c r="R2" i="4"/>
  <c r="Q2" i="4"/>
  <c r="P2" i="4"/>
  <c r="O2" i="4"/>
  <c r="N2" i="4"/>
  <c r="M2" i="4"/>
  <c r="L2" i="4"/>
  <c r="I2" i="4"/>
  <c r="H2" i="4"/>
</calcChain>
</file>

<file path=xl/sharedStrings.xml><?xml version="1.0" encoding="utf-8"?>
<sst xmlns="http://schemas.openxmlformats.org/spreadsheetml/2006/main" count="6529" uniqueCount="2586">
  <si>
    <t>厚重战灰
（B类补正：力）</t>
  </si>
  <si>
    <t>动作</t>
  </si>
  <si>
    <t>耗蓝</t>
  </si>
  <si>
    <t>类型</t>
  </si>
  <si>
    <t>攻击倍率（A类)
基础攻击力（B类）</t>
  </si>
  <si>
    <t>伤害类型（B类）</t>
  </si>
  <si>
    <t>削韧倍率/削韧</t>
  </si>
  <si>
    <t>备注</t>
  </si>
  <si>
    <t>箭步（上砍）</t>
  </si>
  <si>
    <t>接重击</t>
  </si>
  <si>
    <t>A</t>
  </si>
  <si>
    <t>箭步（回旋斩）</t>
  </si>
  <si>
    <t>92%+112%</t>
  </si>
  <si>
    <t>150%+250%</t>
  </si>
  <si>
    <t>盲击</t>
  </si>
  <si>
    <t>右砍</t>
  </si>
  <si>
    <t>126%（轻）
107%（其他）</t>
  </si>
  <si>
    <t>100%（轻武器）
90%（其他）</t>
  </si>
  <si>
    <t>左砍</t>
  </si>
  <si>
    <t>接轻击</t>
  </si>
  <si>
    <t>52%+183%（轻）
45%+154%（其他）</t>
  </si>
  <si>
    <t>100%+400%（轻武器）
90%+400%（其他）</t>
  </si>
  <si>
    <t>52%+243%（轻）
44%+203%（其他）</t>
  </si>
  <si>
    <t>100%+600%（轻武器）
90%+600%（其他）</t>
  </si>
  <si>
    <t>狮子斩</t>
  </si>
  <si>
    <t>岩石剑</t>
  </si>
  <si>
    <t>100%+80%</t>
  </si>
  <si>
    <t>100%+100%</t>
  </si>
  <si>
    <t>踢击</t>
  </si>
  <si>
    <t>M</t>
  </si>
  <si>
    <t>打击</t>
  </si>
  <si>
    <t>坠落震击</t>
  </si>
  <si>
    <t>B</t>
  </si>
  <si>
    <t>贴脸264/远175</t>
  </si>
  <si>
    <t>打击/普通</t>
  </si>
  <si>
    <t>贴脸36/远12</t>
  </si>
  <si>
    <t>撼地</t>
  </si>
  <si>
    <t>插地</t>
  </si>
  <si>
    <t>插地二段</t>
  </si>
  <si>
    <t>震波</t>
  </si>
  <si>
    <t>普通</t>
  </si>
  <si>
    <t>荷莱露的撼地</t>
  </si>
  <si>
    <t>一段</t>
  </si>
  <si>
    <t>15+1×5+20</t>
  </si>
  <si>
    <t>二段</t>
  </si>
  <si>
    <t>山妖咆哮</t>
  </si>
  <si>
    <t>咆哮</t>
  </si>
  <si>
    <t>贴脸195/远155</t>
  </si>
  <si>
    <t>贴脸40/远9</t>
  </si>
  <si>
    <t>180%/80%（震波）</t>
  </si>
  <si>
    <t>600%/100%（震波）</t>
  </si>
  <si>
    <t>战吼</t>
  </si>
  <si>
    <t>其他</t>
  </si>
  <si>
    <t>野蛮咆哮</t>
  </si>
  <si>
    <t>夸耀咆哮</t>
  </si>
  <si>
    <t>忍耐</t>
  </si>
  <si>
    <t>/</t>
  </si>
  <si>
    <t>锋利战灰
（B类补正：敏）</t>
  </si>
  <si>
    <t>碎步</t>
  </si>
  <si>
    <t>进行位移</t>
  </si>
  <si>
    <t>进行较远的位移</t>
  </si>
  <si>
    <t>潜雾猛禽</t>
  </si>
  <si>
    <t>使用后受到伤害时，免疫伤害、消失并出现在空中</t>
  </si>
  <si>
    <t>回旋斩</t>
  </si>
  <si>
    <t>贯穿</t>
  </si>
  <si>
    <t>盾牌格挡伤害减少85%</t>
  </si>
  <si>
    <t>突刺</t>
  </si>
  <si>
    <t>无视盾牌</t>
  </si>
  <si>
    <t>连击</t>
  </si>
  <si>
    <t>70%+40%×2+70%（短剑）
90%+50%×2+110%（其他）</t>
  </si>
  <si>
    <t>200%+40%×2+100%</t>
  </si>
  <si>
    <t>二连斩</t>
  </si>
  <si>
    <t>92%+105%</t>
  </si>
  <si>
    <t>75%+100%</t>
  </si>
  <si>
    <t>84%+86%+115%</t>
  </si>
  <si>
    <t>75%+75%+100%</t>
  </si>
  <si>
    <t>三段</t>
  </si>
  <si>
    <t>剑舞</t>
  </si>
  <si>
    <t>同攻击倍率</t>
  </si>
  <si>
    <t>居合</t>
  </si>
  <si>
    <t>野兽咆哮</t>
  </si>
  <si>
    <t>直接命中</t>
  </si>
  <si>
    <t>伤害随距离衰减</t>
  </si>
  <si>
    <t>溅射</t>
  </si>
  <si>
    <t>同上</t>
  </si>
  <si>
    <t>突击</t>
  </si>
  <si>
    <t>未蓄力</t>
  </si>
  <si>
    <t>35%+145%</t>
  </si>
  <si>
    <t>50%+150%</t>
  </si>
  <si>
    <t>蓄力</t>
  </si>
  <si>
    <t>35%×4+145%</t>
  </si>
  <si>
    <t>50%×4+200%</t>
  </si>
  <si>
    <t>回旋击</t>
  </si>
  <si>
    <t>转圈</t>
  </si>
  <si>
    <t>84%+115%</t>
  </si>
  <si>
    <t>80%+110%</t>
  </si>
  <si>
    <t>99%+189%</t>
  </si>
  <si>
    <t>95%+180%</t>
  </si>
  <si>
    <t>狩猎巨人</t>
  </si>
  <si>
    <t>风暴刃</t>
  </si>
  <si>
    <t>10（后续6）</t>
  </si>
  <si>
    <t>风暴袭击</t>
  </si>
  <si>
    <t>风</t>
  </si>
  <si>
    <t>算法特殊，类似B类战技（力敏基础补正被替换为15，因此伤害很低）</t>
  </si>
  <si>
    <t>唤起风暴</t>
  </si>
  <si>
    <t>92%+94%+97%</t>
  </si>
  <si>
    <t>98%+100%</t>
  </si>
  <si>
    <t>103%+115%</t>
  </si>
  <si>
    <t>风暴足</t>
  </si>
  <si>
    <t>真空斩</t>
  </si>
  <si>
    <t>幻影共击</t>
  </si>
  <si>
    <t>一段灵体</t>
  </si>
  <si>
    <t>一段本体</t>
  </si>
  <si>
    <t>二段灵体</t>
  </si>
  <si>
    <t>二段本体</t>
  </si>
  <si>
    <t>决心</t>
  </si>
  <si>
    <t>10秒内下一次攻击伤害增加60%（处决仅增加20%），削精增加200%</t>
  </si>
  <si>
    <t>侍王骑士的决心</t>
  </si>
  <si>
    <t>10秒内下一次攻击伤害增加80%（处决仅增加35%），削精增加300%</t>
  </si>
  <si>
    <t>辉石魔砾</t>
  </si>
  <si>
    <t>魔砾</t>
  </si>
  <si>
    <t>魔</t>
  </si>
  <si>
    <t>[160%+45魔]</t>
  </si>
  <si>
    <t>辉剑圆阵</t>
  </si>
  <si>
    <t>卡利亚大剑</t>
  </si>
  <si>
    <t>不蓄力</t>
  </si>
  <si>
    <t>伟哉卡利亚</t>
  </si>
  <si>
    <t>二段蓄力</t>
  </si>
  <si>
    <t>转啊转</t>
  </si>
  <si>
    <t>70%+58%*5+70%</t>
  </si>
  <si>
    <t>40%×7</t>
  </si>
  <si>
    <t>女王杖的转啊转和这个不一样</t>
  </si>
  <si>
    <t>罗蕾塔的斩击</t>
  </si>
  <si>
    <t>（战灰版）</t>
  </si>
  <si>
    <t>[40%+30魔]+[100%+60魔]</t>
  </si>
  <si>
    <t>250%+200%</t>
  </si>
  <si>
    <t>重力</t>
  </si>
  <si>
    <t>重力波</t>
  </si>
  <si>
    <t>60×3</t>
  </si>
  <si>
    <t>距离越远段数越低</t>
  </si>
  <si>
    <t>黑暗波动</t>
  </si>
  <si>
    <t>[100%+60魔]</t>
  </si>
  <si>
    <t>120×3</t>
  </si>
  <si>
    <t>8×3</t>
  </si>
  <si>
    <t>壶哥碎片不能加伤</t>
  </si>
  <si>
    <t>卡利亚式奉还</t>
  </si>
  <si>
    <t>炎击</t>
  </si>
  <si>
    <t>喷火</t>
  </si>
  <si>
    <t>火</t>
  </si>
  <si>
    <t>为武器附魔90火攻击力，持续40秒</t>
  </si>
  <si>
    <t>红狮子火焰</t>
  </si>
  <si>
    <t>熔岩火浆</t>
  </si>
  <si>
    <t>下砸</t>
  </si>
  <si>
    <t>上挑</t>
  </si>
  <si>
    <t>岩浆</t>
  </si>
  <si>
    <t>每次40</t>
  </si>
  <si>
    <t>黑焰漩涡</t>
  </si>
  <si>
    <t>启动</t>
  </si>
  <si>
    <t>不蓄力为50%×2</t>
  </si>
  <si>
    <t>后续</t>
  </si>
  <si>
    <t>每次旋转65+下戳170</t>
  </si>
  <si>
    <t>每次旋转5，下戳0</t>
  </si>
  <si>
    <t>主教冲锋</t>
  </si>
  <si>
    <t>[100%+35火]</t>
  </si>
  <si>
    <t>爆炸</t>
  </si>
  <si>
    <t>冲锋</t>
  </si>
  <si>
    <t>每次7</t>
  </si>
  <si>
    <t>每次5%</t>
  </si>
  <si>
    <t>火焰</t>
  </si>
  <si>
    <t>一次战技同一个敌人最多受到4次火焰伤害</t>
  </si>
  <si>
    <t>[80%+35火]</t>
  </si>
  <si>
    <t>落雷</t>
  </si>
  <si>
    <t>雷</t>
  </si>
  <si>
    <t>雷击斩</t>
  </si>
  <si>
    <t>踩地</t>
  </si>
  <si>
    <t>为武器附魔85雷攻击力，持续40秒</t>
  </si>
  <si>
    <t>斩击</t>
  </si>
  <si>
    <t>雷电羊球</t>
  </si>
  <si>
    <t>普通+雷</t>
  </si>
  <si>
    <t>神圣刀刃</t>
  </si>
  <si>
    <t>圣</t>
  </si>
  <si>
    <t>为武器附魔90圣攻击力，对骷髅伤害提升100%并阻止复活，持续40秒</t>
  </si>
  <si>
    <t>祈祷一击</t>
  </si>
  <si>
    <t>神圣光环</t>
  </si>
  <si>
    <t>起手</t>
  </si>
  <si>
    <t>光环</t>
  </si>
  <si>
    <t>黄金大地</t>
  </si>
  <si>
    <t>球</t>
  </si>
  <si>
    <t>82×6</t>
  </si>
  <si>
    <t>1×6</t>
  </si>
  <si>
    <t>黄金坠落震击</t>
  </si>
  <si>
    <t>308贴脸/220远</t>
  </si>
  <si>
    <t>36贴脸/12远</t>
  </si>
  <si>
    <t>圣律</t>
  </si>
  <si>
    <t>共享圣律</t>
  </si>
  <si>
    <t>黄金树立誓</t>
  </si>
  <si>
    <t>圣域</t>
  </si>
  <si>
    <t>法阵内友方增加20%减伤率，每秒回复10点生命，法阵持续35秒，走出后buff保留1.5秒</t>
  </si>
  <si>
    <t>无敌</t>
  </si>
  <si>
    <t>毒雾</t>
  </si>
  <si>
    <t>雾</t>
  </si>
  <si>
    <t>双吻毒蛾</t>
  </si>
  <si>
    <t>切腹</t>
  </si>
  <si>
    <t>血刃</t>
  </si>
  <si>
    <t>鲜血斩击</t>
  </si>
  <si>
    <t>鲜血征收</t>
  </si>
  <si>
    <t>77%+44%×2+77%（短剑）
88%+44%×2+110%（其他）</t>
  </si>
  <si>
    <t>100%+40%×2+100%</t>
  </si>
  <si>
    <t>前三次回复2%+25生命，最后一次回复4%+45生命</t>
  </si>
  <si>
    <t>冰枪</t>
  </si>
  <si>
    <t>寒气冻雾</t>
  </si>
  <si>
    <t>冻霜踏地</t>
  </si>
  <si>
    <t>夺命拳</t>
  </si>
  <si>
    <t>投技命中</t>
  </si>
  <si>
    <t>[62%+42魔]×3+[91%+42魔]×2</t>
  </si>
  <si>
    <t>物理面板算法特殊（基础值只有70%且力敏补正降低），每段附魔倍率为100%，命中后一共回血30%</t>
  </si>
  <si>
    <t>投技未命中</t>
  </si>
  <si>
    <t>[73%+42魔]</t>
  </si>
  <si>
    <t>幻影枪</t>
  </si>
  <si>
    <t>暗杀办法</t>
  </si>
  <si>
    <t>白影诱惑</t>
  </si>
  <si>
    <t>吸引敌方注意，持续7秒</t>
  </si>
  <si>
    <t>无属性战灰</t>
  </si>
  <si>
    <t>盾牌冲击</t>
  </si>
  <si>
    <t>突进冲击</t>
  </si>
  <si>
    <t>75%每次突进+125%</t>
  </si>
  <si>
    <t>铁壁盾防</t>
  </si>
  <si>
    <t>拉满弓</t>
  </si>
  <si>
    <t>盾牌格挡伤害减少50%</t>
  </si>
  <si>
    <t>贯穿射击</t>
  </si>
  <si>
    <t>连续射击</t>
  </si>
  <si>
    <t>对空射击</t>
  </si>
  <si>
    <t>宿灵射击</t>
  </si>
  <si>
    <t>箭雨</t>
  </si>
  <si>
    <t>小箭70%每发，大箭50%每发，约20发</t>
  </si>
  <si>
    <t>小箭30%每发，大箭35%每发，约20发</t>
  </si>
  <si>
    <t>短剑类</t>
  </si>
  <si>
    <t>战技</t>
  </si>
  <si>
    <t>伤害类型</t>
  </si>
  <si>
    <t>人物补正</t>
  </si>
  <si>
    <t>辉石克力士</t>
  </si>
  <si>
    <t>辉石彗砾</t>
  </si>
  <si>
    <t>魔砾（不蓄力）</t>
  </si>
  <si>
    <t>魔砾（蓄力）</t>
  </si>
  <si>
    <t>突刺+魔</t>
  </si>
  <si>
    <t>逆刺</t>
  </si>
  <si>
    <t>逆刺血刃</t>
  </si>
  <si>
    <t>贴脸</t>
  </si>
  <si>
    <t>剑气</t>
  </si>
  <si>
    <r>
      <rPr>
        <sz val="11"/>
        <color rgb="FF000000"/>
        <rFont val="微软雅黑"/>
        <family val="2"/>
        <charset val="134"/>
      </rPr>
      <t>143%，</t>
    </r>
    <r>
      <rPr>
        <sz val="11"/>
        <color rgb="FFC00000"/>
        <rFont val="微软雅黑"/>
        <family val="2"/>
        <charset val="134"/>
      </rPr>
      <t>90出血值（感应补正）</t>
    </r>
  </si>
  <si>
    <t>黑刀</t>
  </si>
  <si>
    <t>死亡刀刃</t>
  </si>
  <si>
    <t>命定之死（与黑剑等不同）：命中后每0.1秒扣血0.045%+4，持续5秒（可叠加）；扣减10%最大生命上限，持续45秒</t>
  </si>
  <si>
    <t>使命短刀</t>
  </si>
  <si>
    <t>黄金刀刃</t>
  </si>
  <si>
    <t>直剑类</t>
  </si>
  <si>
    <t>削韧倍率/削韧
（基础：5）</t>
  </si>
  <si>
    <t>欧赫剑舞</t>
  </si>
  <si>
    <t>35%×7+82%+95%</t>
  </si>
  <si>
    <t>普通+魔</t>
  </si>
  <si>
    <t>40%×10+100%+100%</t>
  </si>
  <si>
    <t>秘文剑</t>
  </si>
  <si>
    <t>不可挡之刃</t>
  </si>
  <si>
    <t>托莉娜剑</t>
  </si>
  <si>
    <t>催眠烟雾</t>
  </si>
  <si>
    <t>夜与火之剑</t>
  </si>
  <si>
    <t>A'</t>
  </si>
  <si>
    <t>800%（火）</t>
  </si>
  <si>
    <t>黄金剑技</t>
  </si>
  <si>
    <t>黄金墓碑</t>
  </si>
  <si>
    <t>哀悼墓碑</t>
  </si>
  <si>
    <t>大剑类</t>
  </si>
  <si>
    <t>削韧倍率/削韧
（基础：5.5）</t>
  </si>
  <si>
    <t>石像鬼黑剑</t>
  </si>
  <si>
    <t>尸蜡斩击</t>
  </si>
  <si>
    <t>奥陶琵斯大剑</t>
  </si>
  <si>
    <t>奥陶琵斯的漩涡</t>
  </si>
  <si>
    <t>154%+77%</t>
  </si>
  <si>
    <t>普通+圣</t>
  </si>
  <si>
    <t>160%+66%×2+77%</t>
  </si>
  <si>
    <t>赫芬尖塔剑</t>
  </si>
  <si>
    <t>毁灭灵火</t>
  </si>
  <si>
    <r>
      <rPr>
        <sz val="11"/>
        <color rgb="FF000000"/>
        <rFont val="微软雅黑"/>
        <family val="2"/>
        <charset val="134"/>
      </rPr>
      <t>为武器附魔110魔攻击力与</t>
    </r>
    <r>
      <rPr>
        <sz val="11"/>
        <color rgb="FF2F5597"/>
        <rFont val="微软雅黑"/>
        <family val="2"/>
        <charset val="134"/>
      </rPr>
      <t>80冰冻值（固定）</t>
    </r>
    <r>
      <rPr>
        <sz val="11"/>
        <color rgb="FF000000"/>
        <rFont val="微软雅黑"/>
        <family val="2"/>
        <charset val="134"/>
      </rPr>
      <t>，持续60秒</t>
    </r>
  </si>
  <si>
    <t>死亡钩棒</t>
  </si>
  <si>
    <t>点燃灵火</t>
  </si>
  <si>
    <t>点燃</t>
  </si>
  <si>
    <t>1.5×4+4</t>
  </si>
  <si>
    <t>接轻击（挥砍）</t>
  </si>
  <si>
    <t>接轻击（燃烧）</t>
  </si>
  <si>
    <t>灭洛斯剑</t>
  </si>
  <si>
    <t>灭洛斯的狂嚎</t>
  </si>
  <si>
    <t>白王剑</t>
  </si>
  <si>
    <t>白王引力波</t>
  </si>
  <si>
    <t>与重力不一样，不管距离远近伤害都一样</t>
  </si>
  <si>
    <t>暗月大剑</t>
  </si>
  <si>
    <t>月光剑</t>
  </si>
  <si>
    <t>单手重击（剑身）</t>
  </si>
  <si>
    <t>剑身不属于战技</t>
  </si>
  <si>
    <t>双手重击（剑身）</t>
  </si>
  <si>
    <t>重击（剑气）</t>
  </si>
  <si>
    <t>剑气属于战技，可被壶哥碎片加成</t>
  </si>
  <si>
    <t>单手蓄力重击（剑身）</t>
  </si>
  <si>
    <t>蓄力重击（剑气）</t>
  </si>
  <si>
    <t>可被壶哥碎片、葛孚雷肖像加成</t>
  </si>
  <si>
    <t>亵渎圣剑</t>
  </si>
  <si>
    <t>掠夺火焰</t>
  </si>
  <si>
    <t>510%（火）</t>
  </si>
  <si>
    <t>黄金律法大剑</t>
  </si>
  <si>
    <t>高举黄金律法</t>
  </si>
  <si>
    <t>200%（圣）</t>
  </si>
  <si>
    <t>二段砍</t>
  </si>
  <si>
    <t>二段剑气</t>
  </si>
  <si>
    <t>300%（圣）</t>
  </si>
  <si>
    <t>神躯化剑</t>
  </si>
  <si>
    <t>黄金波动</t>
  </si>
  <si>
    <t>近</t>
  </si>
  <si>
    <t>远</t>
  </si>
  <si>
    <t>特大剑类</t>
  </si>
  <si>
    <t>削韧倍率/削韧
（基础：6）</t>
  </si>
  <si>
    <t>王室巨剑</t>
  </si>
  <si>
    <t>狼袭</t>
  </si>
  <si>
    <t>剑骸大剑</t>
  </si>
  <si>
    <t>复仇誓言</t>
  </si>
  <si>
    <t>遗迹大剑</t>
  </si>
  <si>
    <t>崩坏波</t>
  </si>
  <si>
    <t>碎星大剑</t>
  </si>
  <si>
    <t>唤星</t>
  </si>
  <si>
    <t>[60%+50魔]</t>
  </si>
  <si>
    <t>[240%+50魔]</t>
  </si>
  <si>
    <t>狩猎神祇大剑</t>
  </si>
  <si>
    <t>女王黑焰</t>
  </si>
  <si>
    <t>[75%+60火]</t>
  </si>
  <si>
    <t>普通+火</t>
  </si>
  <si>
    <t>黑焰：命中后每0.1秒扣血0.1%+1，持续2秒（可叠加）</t>
  </si>
  <si>
    <t>黑焰（同上）</t>
  </si>
  <si>
    <t>玛利喀斯的黑剑</t>
  </si>
  <si>
    <t>命定之死</t>
  </si>
  <si>
    <t>80%+90%（突刺）+45%×3</t>
  </si>
  <si>
    <t>普通+突刺+圣</t>
  </si>
  <si>
    <t>鲜血旋流</t>
  </si>
  <si>
    <t>王朝剑技</t>
  </si>
  <si>
    <t>5+7</t>
  </si>
  <si>
    <t>接二段重击</t>
  </si>
  <si>
    <t>90%（突刺）+95%</t>
  </si>
  <si>
    <t>龙王岩剑</t>
  </si>
  <si>
    <t>雷云化身</t>
  </si>
  <si>
    <t>雷云</t>
  </si>
  <si>
    <t>每次25</t>
  </si>
  <si>
    <t>不蓄力1段，蓄力为6段</t>
  </si>
  <si>
    <t>不蓄力突刺</t>
  </si>
  <si>
    <t>[190%+20雷]</t>
  </si>
  <si>
    <t>突刺+雷</t>
  </si>
  <si>
    <t>蓄力突刺</t>
  </si>
  <si>
    <t>[256%+20雷]</t>
  </si>
  <si>
    <t>曲剑类</t>
  </si>
  <si>
    <t>诺克斯流体剑</t>
  </si>
  <si>
    <t>流体化</t>
  </si>
  <si>
    <t>熔岩刀</t>
  </si>
  <si>
    <t>泼洒岩浆</t>
  </si>
  <si>
    <t>每次30</t>
  </si>
  <si>
    <t>65%+120%</t>
  </si>
  <si>
    <t>艾丝缇薄翼</t>
  </si>
  <si>
    <t>星云</t>
  </si>
  <si>
    <t>每个100</t>
  </si>
  <si>
    <t>每个13</t>
  </si>
  <si>
    <t>死亡闪焰</t>
  </si>
  <si>
    <t>附魔</t>
  </si>
  <si>
    <t>斩击+圣</t>
  </si>
  <si>
    <t>大曲剑类</t>
  </si>
  <si>
    <t>黑王大剑</t>
  </si>
  <si>
    <t>黑王推力波</t>
  </si>
  <si>
    <t>推力波</t>
  </si>
  <si>
    <t>猎犬长牙</t>
  </si>
  <si>
    <t>猎犬剑技</t>
  </si>
  <si>
    <t>土龙鳞剑</t>
  </si>
  <si>
    <t>熔岩断首</t>
  </si>
  <si>
    <t>每次35</t>
  </si>
  <si>
    <t>二段砍+后拉</t>
  </si>
  <si>
    <t>80%+180%</t>
  </si>
  <si>
    <t>萨米尔弯刀</t>
  </si>
  <si>
    <t>萨米尔冰风暴</t>
  </si>
  <si>
    <t>风暴</t>
  </si>
  <si>
    <t>2×5</t>
  </si>
  <si>
    <t>蒙葛特咒剑</t>
  </si>
  <si>
    <t>咒血斩击</t>
  </si>
  <si>
    <t>一、二段</t>
  </si>
  <si>
    <t>20+20</t>
  </si>
  <si>
    <t>[100%+50火]</t>
  </si>
  <si>
    <t>斩击+火</t>
  </si>
  <si>
    <t>刀类</t>
  </si>
  <si>
    <t>名刀月隐</t>
  </si>
  <si>
    <t>隙间月影</t>
  </si>
  <si>
    <t>斩击+魔</t>
  </si>
  <si>
    <t>尸山血海</t>
  </si>
  <si>
    <t>尸横遍野</t>
  </si>
  <si>
    <t>96%+99%（剑身）
66%+67%（剑气）</t>
  </si>
  <si>
    <t>88%+90%+108%（剑身）
60%+61%+72%（剑气）</t>
  </si>
  <si>
    <t>155%（剑身）
105%（剑气）</t>
  </si>
  <si>
    <t>龙鳞刀</t>
  </si>
  <si>
    <t>冰雷剑</t>
  </si>
  <si>
    <r>
      <rPr>
        <sz val="11"/>
        <color rgb="FF000000"/>
        <rFont val="微软雅黑"/>
        <family val="2"/>
        <charset val="134"/>
      </rPr>
      <t>为武器附魔160雷攻击力与</t>
    </r>
    <r>
      <rPr>
        <sz val="11"/>
        <color rgb="FF2F5597"/>
        <rFont val="微软雅黑"/>
        <family val="2"/>
        <charset val="134"/>
      </rPr>
      <t>80冰冻值（固定值）</t>
    </r>
    <r>
      <rPr>
        <sz val="11"/>
        <color rgb="FF000000"/>
        <rFont val="微软雅黑"/>
        <family val="2"/>
        <charset val="134"/>
      </rPr>
      <t>，持续45秒</t>
    </r>
  </si>
  <si>
    <t>算法特殊，伤害很低</t>
  </si>
  <si>
    <t>玛莲妮亚的义手刀</t>
  </si>
  <si>
    <t>水鸟乱舞</t>
  </si>
  <si>
    <t>70%×3+85%</t>
  </si>
  <si>
    <t>100%+150%</t>
  </si>
  <si>
    <t>80%×2+130%+100%</t>
  </si>
  <si>
    <t>双头剑类</t>
  </si>
  <si>
    <t>艾琉诺拉双头刀</t>
  </si>
  <si>
    <t>血刃乱舞</t>
  </si>
  <si>
    <t>70%×4+100%</t>
  </si>
  <si>
    <t>80%+120%</t>
  </si>
  <si>
    <t>槌类</t>
  </si>
  <si>
    <t>削韧倍率/削韧
（基础：6.5）</t>
  </si>
  <si>
    <t>诺克斯流体锤</t>
  </si>
  <si>
    <t>100%+110%</t>
  </si>
  <si>
    <t>150%×2</t>
  </si>
  <si>
    <t>众使者的笛子</t>
  </si>
  <si>
    <t>神谕泡泡</t>
  </si>
  <si>
    <t>泡泡战技</t>
  </si>
  <si>
    <t>戒指指头</t>
  </si>
  <si>
    <t>弹指</t>
  </si>
  <si>
    <t>200%+400%</t>
  </si>
  <si>
    <t>玛莉卡的石槌</t>
  </si>
  <si>
    <t>黄金碎击</t>
  </si>
  <si>
    <t>92%+253%</t>
  </si>
  <si>
    <t>打击+圣</t>
  </si>
  <si>
    <t>百智权杖</t>
  </si>
  <si>
    <t>百智的世界</t>
  </si>
  <si>
    <t>所有单位受到魔、圣伤害增加10%，持续60秒（不与其它减伤冲突）</t>
  </si>
  <si>
    <t>大槌类</t>
  </si>
  <si>
    <t>众使者的长笛子</t>
  </si>
  <si>
    <t>倾注泡泡</t>
  </si>
  <si>
    <t>尊容烛台</t>
  </si>
  <si>
    <t>信仰喷发</t>
  </si>
  <si>
    <t>爆炸230，火球55</t>
  </si>
  <si>
    <t>兽爪大锤</t>
  </si>
  <si>
    <t>兽王爪</t>
  </si>
  <si>
    <t>锤地</t>
  </si>
  <si>
    <t>爪</t>
  </si>
  <si>
    <t>力、敏、信均参与补正，因此补正非常高</t>
  </si>
  <si>
    <t>吞世权杖</t>
  </si>
  <si>
    <t>吞世</t>
  </si>
  <si>
    <t>200%（火）</t>
  </si>
  <si>
    <t>连枷类</t>
  </si>
  <si>
    <t>回旋锁链</t>
  </si>
  <si>
    <t>85%每次</t>
  </si>
  <si>
    <t>90%+120%</t>
  </si>
  <si>
    <t>110%+140%</t>
  </si>
  <si>
    <t>家族头连枷</t>
  </si>
  <si>
    <t>家族怨魂</t>
  </si>
  <si>
    <t>200%+135%×2+145%×4（魔）</t>
  </si>
  <si>
    <t>弃子的繁星</t>
  </si>
  <si>
    <t>挥击</t>
  </si>
  <si>
    <t>打击+魔</t>
  </si>
  <si>
    <t>每个121</t>
  </si>
  <si>
    <t>斧类</t>
  </si>
  <si>
    <t>风暴鹰斧</t>
  </si>
  <si>
    <t>雷电风暴</t>
  </si>
  <si>
    <t>为武器附魔120雷攻击力，持续40秒；战技附魔倍率为150%</t>
  </si>
  <si>
    <t>罗泽司的斧</t>
  </si>
  <si>
    <t>罗泽司的唤声</t>
  </si>
  <si>
    <t>100%+105%×3</t>
  </si>
  <si>
    <t>大斧类</t>
  </si>
  <si>
    <t>葛瑞克的王斧</t>
  </si>
  <si>
    <t>跪下吧！</t>
  </si>
  <si>
    <t>90%/105%+90%/107%</t>
  </si>
  <si>
    <t>插地/震地（不可同时命中）</t>
  </si>
  <si>
    <t>90%/200%</t>
  </si>
  <si>
    <t>展翼大角</t>
  </si>
  <si>
    <t>恶意气息</t>
  </si>
  <si>
    <t>矛类</t>
  </si>
  <si>
    <t>死亡仪式矛</t>
  </si>
  <si>
    <t>唤矛仪式</t>
  </si>
  <si>
    <t>每发168%（魔）</t>
  </si>
  <si>
    <t>每发120%</t>
  </si>
  <si>
    <t>圣矛障壁</t>
  </si>
  <si>
    <t>突刺+圣</t>
  </si>
  <si>
    <t>光矛</t>
  </si>
  <si>
    <t>500%（圣）</t>
  </si>
  <si>
    <t>古兰桑克斯的雷电</t>
  </si>
  <si>
    <t>古雷电枪</t>
  </si>
  <si>
    <t>[250%（雷）+75雷]</t>
  </si>
  <si>
    <t>[300%（雷）+120雷]</t>
  </si>
  <si>
    <t>大矛类</t>
  </si>
  <si>
    <t>志留亚的树矛</t>
  </si>
  <si>
    <t>志留亚的漩涡</t>
  </si>
  <si>
    <t>50%+207%</t>
  </si>
  <si>
    <t>65%+276%</t>
  </si>
  <si>
    <t>蒙格温圣矛</t>
  </si>
  <si>
    <t>授血仪式</t>
  </si>
  <si>
    <t>100+65×2</t>
  </si>
  <si>
    <t>10+3×2</t>
  </si>
  <si>
    <t>100+65×7</t>
  </si>
  <si>
    <t>10+3×7</t>
  </si>
  <si>
    <t>大蛇狩猎矛</t>
  </si>
  <si>
    <t>狩猎大蛇</t>
  </si>
  <si>
    <t>维克的战矛</t>
  </si>
  <si>
    <t>癫火突击</t>
  </si>
  <si>
    <t>突刺+火</t>
  </si>
  <si>
    <t>燃烧</t>
  </si>
  <si>
    <t>戟类</t>
  </si>
  <si>
    <t>龙戟</t>
  </si>
  <si>
    <t>60%+110%</t>
  </si>
  <si>
    <t>罗蕾塔的战镰</t>
  </si>
  <si>
    <t>镰刀类</t>
  </si>
  <si>
    <t>光环镰刀</t>
  </si>
  <si>
    <t>米凯拉的光环</t>
  </si>
  <si>
    <t>展翼镰刀</t>
  </si>
  <si>
    <t>天使羽翼</t>
  </si>
  <si>
    <t>85%+160%</t>
  </si>
  <si>
    <t>盾牌格挡伤害分别减少20%、40%；命中后敌人无法使用血瓶，持续20秒</t>
  </si>
  <si>
    <t>鞭类</t>
  </si>
  <si>
    <t>削韧倍率/削韧
（基础：4）</t>
  </si>
  <si>
    <t>熔岩烛台鞭</t>
  </si>
  <si>
    <t>熔岩海</t>
  </si>
  <si>
    <t>旋转+抽击</t>
  </si>
  <si>
    <t>90%每次旋转+130%</t>
  </si>
  <si>
    <t>打击+火</t>
  </si>
  <si>
    <t>熔岩</t>
  </si>
  <si>
    <t>66每次</t>
  </si>
  <si>
    <t>巨人红发鞭</t>
  </si>
  <si>
    <t>火焰舞</t>
  </si>
  <si>
    <t>85%×4+110%</t>
  </si>
  <si>
    <t>拳头类</t>
  </si>
  <si>
    <t>老将的义足</t>
  </si>
  <si>
    <t>风暴踢击</t>
  </si>
  <si>
    <t>突刺+雷
普通+雷</t>
  </si>
  <si>
    <t>风为普通+雷属性</t>
  </si>
  <si>
    <t>[155%+103雷]</t>
  </si>
  <si>
    <t>接重击（风）</t>
  </si>
  <si>
    <t>与重击不能同时命中</t>
  </si>
  <si>
    <t>秘文帕塔剑</t>
  </si>
  <si>
    <t>接肢飞龙</t>
  </si>
  <si>
    <t>敬请见证！</t>
  </si>
  <si>
    <t>特大武器类</t>
  </si>
  <si>
    <t>众使者的扇形笛子</t>
  </si>
  <si>
    <t>神谕大泡泡</t>
  </si>
  <si>
    <t>看门犬锡杖</t>
  </si>
  <si>
    <t>锡杖魔法</t>
  </si>
  <si>
    <t>60×8</t>
  </si>
  <si>
    <t>基萨的刺轮</t>
  </si>
  <si>
    <t>旋转刺轮</t>
  </si>
  <si>
    <t>30%每次</t>
  </si>
  <si>
    <t>星兽半颚</t>
  </si>
  <si>
    <t>重力雷电</t>
  </si>
  <si>
    <t>葛孚雷的王斧</t>
  </si>
  <si>
    <t>王者嘶吼</t>
  </si>
  <si>
    <t>化身仪式杖
腐败仪式杖</t>
  </si>
  <si>
    <t>黄金树坠落震击</t>
  </si>
  <si>
    <t>盾类</t>
  </si>
  <si>
    <t>盘蛇盾</t>
  </si>
  <si>
    <t>毒蛇咬杀</t>
  </si>
  <si>
    <t>颜面盾</t>
  </si>
  <si>
    <t>火焰舌柱</t>
  </si>
  <si>
    <t>独眼盾</t>
  </si>
  <si>
    <t>火焰唾球</t>
  </si>
  <si>
    <t>黄金树大盾</t>
  </si>
  <si>
    <t>黄金式奉还</t>
  </si>
  <si>
    <t>卡利亚权杖</t>
  </si>
  <si>
    <t>[85%+30魔]×3+[90%+35魔]</t>
  </si>
  <si>
    <t>5×3+10</t>
  </si>
  <si>
    <t>狮子大弓</t>
  </si>
  <si>
    <t>拉塔恩的骤雨</t>
  </si>
  <si>
    <t>钢丝火把</t>
  </si>
  <si>
    <t>喷火120%，地面75%</t>
  </si>
  <si>
    <t>这个火是混伤</t>
  </si>
  <si>
    <t>托莉娜烛火</t>
  </si>
  <si>
    <t>催眠火焰</t>
  </si>
  <si>
    <t>注：以下动作均不属于战技。</t>
  </si>
  <si>
    <t>威力</t>
  </si>
  <si>
    <t>削韧倍率</t>
  </si>
  <si>
    <t>单手重击</t>
  </si>
  <si>
    <t>长柄突刺类第一下为突刺</t>
  </si>
  <si>
    <t>单手蓄力重击1</t>
  </si>
  <si>
    <t>175%（轻、长柄）
190%（重）
195%（特大）
160%（拳套类）</t>
  </si>
  <si>
    <t>长柄突刺类为突刺</t>
  </si>
  <si>
    <t>单手蓄力重击2</t>
  </si>
  <si>
    <t>178%（轻、长柄）
195%（重）
200%（特大）
165%（拳套类）</t>
  </si>
  <si>
    <t>双手重击</t>
  </si>
  <si>
    <t>145%（轻、长柄）
150%（重）
140%（特大）
100%×2（拳套类）</t>
  </si>
  <si>
    <t>120%×2（拳套类）
240%（其他）</t>
  </si>
  <si>
    <t>双手蓄力重击1</t>
  </si>
  <si>
    <t>185%（轻、长柄）
205%（重、特大）
125%×2（拳套类）</t>
  </si>
  <si>
    <t>360%×2（拳套类）
660%</t>
  </si>
  <si>
    <t>双手蓄力重击2</t>
  </si>
  <si>
    <t>188%（轻、长柄）
210%（重、特大）
130%×2（拳套类）</t>
  </si>
  <si>
    <t>480%×2（拳套类）
660%</t>
  </si>
  <si>
    <t>单手重击1</t>
  </si>
  <si>
    <t>73%×2+78%（拳套类）
70%×2+75%（其他）</t>
  </si>
  <si>
    <t>100%×2+150%</t>
  </si>
  <si>
    <t>长柄突刺类第三下为突刺</t>
  </si>
  <si>
    <t>单手重击2</t>
  </si>
  <si>
    <t>85%+105%（轻）
89%+110%（拳套类）
135%（重、特大、长柄）</t>
  </si>
  <si>
    <t>100%+120%（轻、拳套类）
200%（重、特大、长柄）</t>
  </si>
  <si>
    <t>86%×2+90%（拳套类）
82%×2+86%（其他）</t>
  </si>
  <si>
    <t>150%×2+200%（轻、拳套类、长柄）
170%×2+240%（重、特大）</t>
  </si>
  <si>
    <t>100%+125%（轻）
105%+131%（拳套类）
210%（特大）
195%（重、长柄）</t>
  </si>
  <si>
    <t>120%+200%（轻、拳套类）
600%（重、特大、长柄）</t>
  </si>
  <si>
    <t>双手重击1</t>
  </si>
  <si>
    <t>93%+93+96%（拳套类）
75%+75+80%（其他）</t>
  </si>
  <si>
    <t>120%×2+180%（轻、拳套类、长柄）120%×2+200%（重、特大）</t>
  </si>
  <si>
    <t>双手重击2</t>
  </si>
  <si>
    <t>90%+110%（轻）
99%+121%（拳套类）
140%（重、特大、长柄）</t>
  </si>
  <si>
    <t>120%+140%（轻、拳套类）
240%（重、特大、长柄）</t>
  </si>
  <si>
    <t>97%+97+111%（拳套类）
87%+87%+91%（其他）</t>
  </si>
  <si>
    <t>180%×2+250%（轻、拳套类、长柄）
200%×2+300%（重、特大）</t>
  </si>
  <si>
    <t>105%+130%（轻）
115%+145%（拳套类）
220%（特大）
200%（重、长柄）</t>
  </si>
  <si>
    <t>150%+250%（轻、拳套类）
660%（重、特大、长柄）</t>
  </si>
  <si>
    <t>105%×2</t>
  </si>
  <si>
    <t>100%×2</t>
  </si>
  <si>
    <t>双手蓄力重击</t>
  </si>
  <si>
    <t>45%×10+125%×2</t>
  </si>
  <si>
    <t>60%×10+200%×2</t>
  </si>
  <si>
    <t>80%+100%</t>
  </si>
  <si>
    <t>150%+200%</t>
  </si>
  <si>
    <t>第一下踩地无视盾牌；双手重击仍使用单手面板、倍率、模组，因此单双手伤害完全一样</t>
  </si>
  <si>
    <t>90%+110%</t>
  </si>
  <si>
    <t>200%+300%</t>
  </si>
  <si>
    <t>第一下踩地无视盾牌</t>
  </si>
  <si>
    <t>基础值</t>
  </si>
  <si>
    <t>强化倍率</t>
  </si>
  <si>
    <t>属性基础</t>
  </si>
  <si>
    <t>属性补正</t>
  </si>
  <si>
    <t>攻击力</t>
  </si>
  <si>
    <t>伤害</t>
  </si>
  <si>
    <t>防御</t>
  </si>
  <si>
    <t>减伤率</t>
  </si>
  <si>
    <t>攻防比</t>
  </si>
  <si>
    <t>无buff伤害</t>
  </si>
  <si>
    <t>补正基础倍率</t>
  </si>
  <si>
    <t>战技倍率</t>
  </si>
  <si>
    <t>质变补正</t>
  </si>
  <si>
    <t>Row ID</t>
  </si>
  <si>
    <t>Row Name</t>
  </si>
  <si>
    <t>Damage %: Physical</t>
  </si>
  <si>
    <t>Damage %: Magic</t>
  </si>
  <si>
    <t>Damage %: Fire</t>
  </si>
  <si>
    <t>Damage %: Lightning</t>
  </si>
  <si>
    <t>Damage %: Stamina</t>
  </si>
  <si>
    <t>Damage %: Poise</t>
  </si>
  <si>
    <t>Damage %: Poise Durability</t>
  </si>
  <si>
    <t>Scaling %: STR</t>
  </si>
  <si>
    <t>Scaling %: DEX</t>
  </si>
  <si>
    <t>Scaling %: INT</t>
  </si>
  <si>
    <t>Scaling %: FTH</t>
  </si>
  <si>
    <t>Guard Absorption %: Physical</t>
  </si>
  <si>
    <t>Guard Absorption %: Magic</t>
  </si>
  <si>
    <t>Guard Absorption %: Fire</t>
  </si>
  <si>
    <t>Guard Absorption %: Lightning</t>
  </si>
  <si>
    <t>Guard Absorption %: Poison</t>
  </si>
  <si>
    <t>Guard Absorption %: Blight</t>
  </si>
  <si>
    <t>Guard Absorption %: Hemorrhage</t>
  </si>
  <si>
    <t>Guard Absorption %: Death</t>
  </si>
  <si>
    <t>Guard Absorption %: Stability</t>
  </si>
  <si>
    <t>Behavior SpEffect 1 Offset</t>
  </si>
  <si>
    <t>Behavior SpEffect 2 Offset</t>
  </si>
  <si>
    <t>Behavior SpEffect 3 Offset</t>
  </si>
  <si>
    <t>Passive SpEffect 1 Offset</t>
  </si>
  <si>
    <t>Passive SpEffect 2 Offset</t>
  </si>
  <si>
    <t>Passive SpEffect 3 Offset</t>
  </si>
  <si>
    <t>Reinforcement Material Set Offset</t>
  </si>
  <si>
    <t>Multiplayer Reinforcement Level</t>
  </si>
  <si>
    <t>Damage %: Holy</t>
  </si>
  <si>
    <t>Guard Absorption %: Holy</t>
  </si>
  <si>
    <t>Scaling %: ARC</t>
  </si>
  <si>
    <t>Guard Absorption %: Frostbite</t>
  </si>
  <si>
    <t>Undetermined</t>
  </si>
  <si>
    <t>Infusion Cost %</t>
  </si>
  <si>
    <t>Guard Absorption %: Sleep</t>
  </si>
  <si>
    <t>Guard Absorption %: Madness</t>
  </si>
  <si>
    <t>Reinforcement Cost %</t>
  </si>
  <si>
    <t>基础威力</t>
  </si>
  <si>
    <t>加成</t>
  </si>
  <si>
    <t>削韧</t>
  </si>
  <si>
    <t>辉石迅魔砾</t>
  </si>
  <si>
    <t>辉石大魔砾</t>
  </si>
  <si>
    <t>辉石彗星</t>
  </si>
  <si>
    <t>不蓄力：259
蓄力：324</t>
  </si>
  <si>
    <t>亚兹勒</t>
  </si>
  <si>
    <t>不蓄力：5.5
蓄力：10.175</t>
  </si>
  <si>
    <t>亚兹勒头增伤10%</t>
  </si>
  <si>
    <t>帚星</t>
  </si>
  <si>
    <t>不蓄力：292
蓄力：365</t>
  </si>
  <si>
    <t>不蓄力：7
蓄力：12.95</t>
  </si>
  <si>
    <t>旋飞魔砾</t>
  </si>
  <si>
    <t>不蓄力：2每次
蓄力：3.7每次</t>
  </si>
  <si>
    <t>大型敌人可受到多次伤害</t>
  </si>
  <si>
    <t>辉石流星</t>
  </si>
  <si>
    <t>不蓄力：87+78+68
蓄力：99+90+80</t>
  </si>
  <si>
    <t>卢瑟特</t>
  </si>
  <si>
    <t>不蓄力：2×3
蓄力：3.7×3</t>
  </si>
  <si>
    <t>卢瑟特头增伤10%</t>
  </si>
  <si>
    <t>流星雨</t>
  </si>
  <si>
    <t>不蓄力：79+69+69+59+49+44
蓄力：88+78+68+63+58+53</t>
  </si>
  <si>
    <t>不蓄力：1×6
蓄力：1.85×6</t>
  </si>
  <si>
    <t>辉石弯弧</t>
  </si>
  <si>
    <t>结晶连弹</t>
  </si>
  <si>
    <t>14+2持续</t>
  </si>
  <si>
    <t>每发0.5</t>
  </si>
  <si>
    <t>最多耗蓝48点</t>
  </si>
  <si>
    <t>结晶散射</t>
  </si>
  <si>
    <t>不蓄力：40×13
蓄力：45×13</t>
  </si>
  <si>
    <t>不蓄力：1每发
蓄力：1.85每发</t>
  </si>
  <si>
    <t>海摩炮弹</t>
  </si>
  <si>
    <t>不蓄力：285
蓄力：332</t>
  </si>
  <si>
    <t>不蓄力：16.1135
蓄力：19.296</t>
  </si>
  <si>
    <t>海摩大槌</t>
  </si>
  <si>
    <t>22.512（本体）
16.1135（溅射）</t>
  </si>
  <si>
    <t>爆碎岩盘</t>
  </si>
  <si>
    <t>68+52×3+182，二段68+205</t>
  </si>
  <si>
    <t>10+10</t>
  </si>
  <si>
    <t>挖石</t>
  </si>
  <si>
    <t>6+4×3+10.175，二段6+10.175</t>
  </si>
  <si>
    <t>爆破岩盘</t>
  </si>
  <si>
    <t>22+5持续</t>
  </si>
  <si>
    <t>彗星亚兹勒</t>
  </si>
  <si>
    <t>见下方</t>
  </si>
  <si>
    <t>40+10持续</t>
  </si>
  <si>
    <t>子弹A：1；子弹B、C：0.5；子弹D、A'：5</t>
  </si>
  <si>
    <t>毁灭流星</t>
  </si>
  <si>
    <t>不蓄力：52×2+49×4+45×4+43×2
蓄力：65×2+60×4+57×4+54×2</t>
  </si>
  <si>
    <t>不蓄力：0.5×12
蓄力：0.925×12</t>
  </si>
  <si>
    <t>卢瑟特头增伤15%</t>
  </si>
  <si>
    <t>创星雨</t>
  </si>
  <si>
    <t>不蓄力：每发0.5
蓄力：每发0.925</t>
  </si>
  <si>
    <t>魔法辉剑</t>
  </si>
  <si>
    <t>辉剑</t>
  </si>
  <si>
    <t>不蓄力：5
蓄力：10.175</t>
  </si>
  <si>
    <t>60×5</t>
  </si>
  <si>
    <t>1×5</t>
  </si>
  <si>
    <t>卡利亚圆阵</t>
  </si>
  <si>
    <t>48×9</t>
  </si>
  <si>
    <t>1×9</t>
  </si>
  <si>
    <t>巨剑阵</t>
  </si>
  <si>
    <t>10.175×3</t>
  </si>
  <si>
    <t>天降魔力</t>
  </si>
  <si>
    <t>58每发，蓄力延长时间</t>
  </si>
  <si>
    <t>大型敌人每次发射可命中多发</t>
  </si>
  <si>
    <t>罗蕾塔的大弓</t>
  </si>
  <si>
    <t>不蓄力：270
蓄力：330，增加射程</t>
  </si>
  <si>
    <t>射程远</t>
  </si>
  <si>
    <t>罗蕾塔的绝招</t>
  </si>
  <si>
    <t>不蓄力：5×4
蓄力：9.25×4</t>
  </si>
  <si>
    <t>蕾娜菈的满月</t>
  </si>
  <si>
    <t>满月</t>
  </si>
  <si>
    <t>命中后敌人受到魔伤增加10%，持续60秒</t>
  </si>
  <si>
    <t>菈妮的暗月</t>
  </si>
  <si>
    <r>
      <rPr>
        <sz val="11"/>
        <color indexed="8"/>
        <rFont val="微软雅黑"/>
        <family val="2"/>
        <charset val="134"/>
      </rPr>
      <t>[330</t>
    </r>
    <r>
      <rPr>
        <sz val="11"/>
        <rFont val="微软雅黑"/>
        <family val="2"/>
        <charset val="134"/>
      </rPr>
      <t>，</t>
    </r>
    <r>
      <rPr>
        <sz val="11"/>
        <color rgb="FF2F5597"/>
        <rFont val="微软雅黑"/>
        <family val="2"/>
        <charset val="134"/>
      </rPr>
      <t>270冰冻值</t>
    </r>
    <r>
      <rPr>
        <sz val="11"/>
        <rFont val="微软雅黑"/>
        <family val="2"/>
        <charset val="134"/>
      </rPr>
      <t>]</t>
    </r>
  </si>
  <si>
    <t>满月
冰魔法</t>
  </si>
  <si>
    <t>卡利亚迅剑</t>
  </si>
  <si>
    <t>180（骑马为184）</t>
  </si>
  <si>
    <t>卡利亚剑</t>
  </si>
  <si>
    <t>268（骑马为272）</t>
  </si>
  <si>
    <t>卡利亚贯刺</t>
  </si>
  <si>
    <t>不蓄力：10.175
蓄力：12.95</t>
  </si>
  <si>
    <t>亚杜拉的月光剑</t>
  </si>
  <si>
    <r>
      <rPr>
        <sz val="11"/>
        <color rgb="FF000000"/>
        <rFont val="微软雅黑"/>
        <family val="2"/>
        <charset val="134"/>
      </rPr>
      <t>剑身[133，</t>
    </r>
    <r>
      <rPr>
        <sz val="11"/>
        <color rgb="FF2F5597"/>
        <rFont val="微软雅黑"/>
        <family val="2"/>
        <charset val="134"/>
      </rPr>
      <t>120冰冻值]</t>
    </r>
    <r>
      <rPr>
        <sz val="11"/>
        <rFont val="微软雅黑"/>
        <family val="2"/>
        <charset val="134"/>
      </rPr>
      <t>（骑马为137）</t>
    </r>
    <r>
      <rPr>
        <sz val="11"/>
        <color rgb="FF000000"/>
        <rFont val="微软雅黑"/>
        <family val="2"/>
        <charset val="134"/>
      </rPr>
      <t>+剑气[189，</t>
    </r>
    <r>
      <rPr>
        <sz val="11"/>
        <color rgb="FF2F5597"/>
        <rFont val="微软雅黑"/>
        <family val="2"/>
        <charset val="134"/>
      </rPr>
      <t>35冰冻值]</t>
    </r>
  </si>
  <si>
    <t>卡利亚剑
冰魔法</t>
  </si>
  <si>
    <t>剑身8.5+剑气3.5</t>
  </si>
  <si>
    <t>大型敌人可多次受到剑气伤害</t>
  </si>
  <si>
    <t>奇袭魔砾</t>
  </si>
  <si>
    <t>对敌人隐形</t>
  </si>
  <si>
    <t>黑夜魔砾</t>
  </si>
  <si>
    <t>黑夜</t>
  </si>
  <si>
    <t>黑夜彗星</t>
  </si>
  <si>
    <t>不蓄力：230
蓄力：276</t>
  </si>
  <si>
    <t>黑夜女巫烟雾</t>
  </si>
  <si>
    <t>每次20</t>
  </si>
  <si>
    <t>物</t>
  </si>
  <si>
    <t>每0.5秒一次判定，命中后每0.2秒扣血19点，持续1.7秒，持续命中不叠加，刷新时间</t>
  </si>
  <si>
    <t>熔岩球</t>
  </si>
  <si>
    <t>不蓄力：5
蓄力：9.25</t>
  </si>
  <si>
    <t>滚烫熔岩</t>
  </si>
  <si>
    <t>格密尔之怒</t>
  </si>
  <si>
    <t>起手160，后续火球、岩浆每次125</t>
  </si>
  <si>
    <t>16+3持续</t>
  </si>
  <si>
    <t>起手5.1，后续每次3</t>
  </si>
  <si>
    <t>最多消耗55蓝</t>
  </si>
  <si>
    <t>拉卡德的怨魂</t>
  </si>
  <si>
    <t>每次爆炸150</t>
  </si>
  <si>
    <t>每次5</t>
  </si>
  <si>
    <t>可多次命中</t>
  </si>
  <si>
    <t>辉石冰块</t>
  </si>
  <si>
    <r>
      <rPr>
        <sz val="11"/>
        <color rgb="FF000000"/>
        <rFont val="微软雅黑"/>
        <family val="2"/>
        <charset val="134"/>
      </rPr>
      <t>[199，</t>
    </r>
    <r>
      <rPr>
        <sz val="11"/>
        <color rgb="FF2F5597"/>
        <rFont val="微软雅黑"/>
        <family val="2"/>
        <charset val="134"/>
      </rPr>
      <t>100冰冻值</t>
    </r>
    <r>
      <rPr>
        <sz val="11"/>
        <rFont val="微软雅黑"/>
        <family val="2"/>
        <charset val="134"/>
      </rPr>
      <t>]</t>
    </r>
  </si>
  <si>
    <t>冰魔法</t>
  </si>
  <si>
    <t>爆散结晶</t>
  </si>
  <si>
    <t>不蓄力：3个大碎片，每个视命中情况决定攻击力，可能为127或60或51
蓄力：攻击力改为160或75或67</t>
  </si>
  <si>
    <t>结晶</t>
  </si>
  <si>
    <t>不蓄力：2.8×3
蓄力：4.2×3</t>
  </si>
  <si>
    <t>奔放结晶</t>
  </si>
  <si>
    <t>不蓄力：57×6，每次耗蓝增加1段</t>
  </si>
  <si>
    <t>20+5持续</t>
  </si>
  <si>
    <t>飞散结晶</t>
  </si>
  <si>
    <t>每发2.6</t>
  </si>
  <si>
    <t>重力球</t>
  </si>
  <si>
    <t>不蓄力：148
蓄力：180</t>
  </si>
  <si>
    <t>不蓄力：5
蓄力：9.5</t>
  </si>
  <si>
    <t>碎星</t>
  </si>
  <si>
    <t>不蓄力：44×9
蓄力：49×9</t>
  </si>
  <si>
    <t>不蓄力：1.5×9
蓄力：1.7×9</t>
  </si>
  <si>
    <t>岩石球</t>
  </si>
  <si>
    <t>102×3</t>
  </si>
  <si>
    <t>9.5×3</t>
  </si>
  <si>
    <t>陨石</t>
  </si>
  <si>
    <t>每颗陨石[180物+100魔]，不蓄力释放3颗陨石，每次耗蓝额外释放1颗</t>
  </si>
  <si>
    <t>30+10持续</t>
  </si>
  <si>
    <t>每发10.175</t>
  </si>
  <si>
    <t>艾丝缇陨石</t>
  </si>
  <si>
    <t>每颗陨石[185物+105魔]，不蓄力释放5颗陨石，每次耗蓝额外释放1颗</t>
  </si>
  <si>
    <t>60+12持续</t>
  </si>
  <si>
    <t>不蓄力：2.4×9
蓄力：3.5×9</t>
  </si>
  <si>
    <t>不蓄力：14.4
蓄力：20</t>
  </si>
  <si>
    <t>罪恶荆棘</t>
  </si>
  <si>
    <r>
      <rPr>
        <sz val="11"/>
        <color indexed="8"/>
        <rFont val="微软雅黑"/>
        <family val="2"/>
        <charset val="134"/>
      </rPr>
      <t>[200，</t>
    </r>
    <r>
      <rPr>
        <sz val="11"/>
        <color rgb="FFC00000"/>
        <rFont val="微软雅黑"/>
        <family val="2"/>
        <charset val="134"/>
      </rPr>
      <t>95出血值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>+二段[232，</t>
    </r>
    <r>
      <rPr>
        <sz val="11"/>
        <color rgb="FFC00000"/>
        <rFont val="微软雅黑"/>
        <family val="2"/>
        <charset val="134"/>
      </rPr>
      <t>95出血值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>+三段[233，</t>
    </r>
    <r>
      <rPr>
        <sz val="11"/>
        <color rgb="FFC00000"/>
        <rFont val="微软雅黑"/>
        <family val="2"/>
        <charset val="134"/>
      </rPr>
      <t>95出血值</t>
    </r>
    <r>
      <rPr>
        <sz val="11"/>
        <rFont val="微软雅黑"/>
        <family val="2"/>
        <charset val="134"/>
      </rPr>
      <t>]</t>
    </r>
  </si>
  <si>
    <t>6+6+6</t>
  </si>
  <si>
    <t>荆棘</t>
  </si>
  <si>
    <t>7+7.5+8</t>
  </si>
  <si>
    <r>
      <rPr>
        <sz val="11"/>
        <color rgb="FF000000"/>
        <rFont val="微软雅黑"/>
        <family val="2"/>
        <charset val="134"/>
      </rPr>
      <t>每段消耗80生命，自身累积</t>
    </r>
    <r>
      <rPr>
        <sz val="11"/>
        <color rgb="FFC00000"/>
        <rFont val="微软雅黑"/>
        <family val="2"/>
        <charset val="134"/>
      </rPr>
      <t>30出血值</t>
    </r>
  </si>
  <si>
    <t>责罚荆棘</t>
  </si>
  <si>
    <r>
      <rPr>
        <sz val="11"/>
        <color indexed="8"/>
        <rFont val="微软雅黑"/>
        <family val="2"/>
        <charset val="134"/>
      </rPr>
      <t>[212，</t>
    </r>
    <r>
      <rPr>
        <sz val="11"/>
        <color rgb="FFC00000"/>
        <rFont val="微软雅黑"/>
        <family val="2"/>
        <charset val="134"/>
      </rPr>
      <t>72出血值</t>
    </r>
    <r>
      <rPr>
        <sz val="11"/>
        <rFont val="微软雅黑"/>
        <family val="2"/>
        <charset val="134"/>
      </rPr>
      <t>]</t>
    </r>
  </si>
  <si>
    <r>
      <rPr>
        <sz val="11"/>
        <color rgb="FF000000"/>
        <rFont val="微软雅黑"/>
        <family val="2"/>
        <charset val="134"/>
      </rPr>
      <t>消耗50生命，自身累积</t>
    </r>
    <r>
      <rPr>
        <sz val="11"/>
        <color rgb="FFC00000"/>
        <rFont val="微软雅黑"/>
        <family val="2"/>
        <charset val="134"/>
      </rPr>
      <t>25出血值</t>
    </r>
  </si>
  <si>
    <t>召唤怨魂</t>
  </si>
  <si>
    <t>不蓄力：54×6
蓄力：57×6，体积扩大</t>
  </si>
  <si>
    <t>死亡</t>
  </si>
  <si>
    <t>不蓄力：1×6
蓄力：1.5×6</t>
  </si>
  <si>
    <t>古老死亡怨魂</t>
  </si>
  <si>
    <t>不蓄力：49×9
蓄力：52×9，体积扩大</t>
  </si>
  <si>
    <t>不蓄力：1.5×9
蓄力：2×9</t>
  </si>
  <si>
    <r>
      <rPr>
        <sz val="11"/>
        <color rgb="FF000000"/>
        <rFont val="微软雅黑"/>
        <family val="2"/>
        <charset val="134"/>
      </rPr>
      <t>爆炸[312，</t>
    </r>
    <r>
      <rPr>
        <sz val="11"/>
        <color theme="8" tint="-0.249977111117893"/>
        <rFont val="微软雅黑"/>
        <family val="2"/>
        <charset val="134"/>
      </rPr>
      <t>130冰冻值</t>
    </r>
    <r>
      <rPr>
        <sz val="11"/>
        <color rgb="FF000000"/>
        <rFont val="微软雅黑"/>
        <family val="2"/>
        <charset val="134"/>
      </rPr>
      <t>]+燃烧[60，</t>
    </r>
    <r>
      <rPr>
        <sz val="11"/>
        <color theme="8" tint="-0.249977111117893"/>
        <rFont val="微软雅黑"/>
        <family val="2"/>
        <charset val="134"/>
      </rPr>
      <t>38冰冻值</t>
    </r>
    <r>
      <rPr>
        <sz val="11"/>
        <color rgb="FF000000"/>
        <rFont val="微软雅黑"/>
        <family val="2"/>
        <charset val="134"/>
      </rPr>
      <t>]</t>
    </r>
  </si>
  <si>
    <t>爆炸16.1135+燃烧1</t>
  </si>
  <si>
    <t>提比亚的唤声</t>
  </si>
  <si>
    <t>125×3</t>
  </si>
  <si>
    <t>5×3</t>
  </si>
  <si>
    <t>黄金之怒</t>
  </si>
  <si>
    <t>不蓄力：350
蓄力：420，扩大范围</t>
  </si>
  <si>
    <t>不蓄力：12.025
蓄力：16.8</t>
  </si>
  <si>
    <t>艾尔登流星</t>
  </si>
  <si>
    <t>大流星爆炸199，小流星20每颗，大流星轨迹61</t>
  </si>
  <si>
    <t>大流星14.4，小流星、大流星轨迹0.5</t>
  </si>
  <si>
    <t>150×2（来回）</t>
  </si>
  <si>
    <t>黄金律法</t>
  </si>
  <si>
    <t>化三光环</t>
  </si>
  <si>
    <t>155×2（来回）</t>
  </si>
  <si>
    <t>拉达冈的光环</t>
  </si>
  <si>
    <t>不蓄力：310
蓄力：395，扩大范围</t>
  </si>
  <si>
    <t>不蓄力：10.175
蓄力：14.4</t>
  </si>
  <si>
    <t>纠死圣律</t>
  </si>
  <si>
    <t>对骷髅类伤害提升900%，且阻止复活</t>
  </si>
  <si>
    <t>因果性原理</t>
  </si>
  <si>
    <t>黑剑</t>
  </si>
  <si>
    <t>剑身9+剑气4</t>
  </si>
  <si>
    <t>熔炉百相之喉囊</t>
  </si>
  <si>
    <t>每次98，同一敌人最多命中8次</t>
  </si>
  <si>
    <t>28+4持续</t>
  </si>
  <si>
    <t>熔炉百相</t>
  </si>
  <si>
    <t>每次4</t>
  </si>
  <si>
    <t>最多耗蓝72</t>
  </si>
  <si>
    <t>熔炉百相之尾</t>
  </si>
  <si>
    <t>不蓄力：13
蓄力：13+39</t>
  </si>
  <si>
    <t>熔炉百相之角</t>
  </si>
  <si>
    <t>不蓄力：16.1135
蓄力：30</t>
  </si>
  <si>
    <t>雷电枪</t>
  </si>
  <si>
    <t>不蓄力：234
蓄力：293</t>
  </si>
  <si>
    <t>古龙</t>
  </si>
  <si>
    <t>雷法术打到水面上，会有威力50的溅射</t>
  </si>
  <si>
    <t>雷击</t>
  </si>
  <si>
    <t>精准雷击</t>
  </si>
  <si>
    <t>古龙雷枪</t>
  </si>
  <si>
    <t>16.8+5</t>
  </si>
  <si>
    <t>古龙雷击</t>
  </si>
  <si>
    <t>不蓄力：5每次
蓄力：9.25每次</t>
  </si>
  <si>
    <t>大型敌人可命中多次</t>
  </si>
  <si>
    <t>兰斯桑克斯的刀</t>
  </si>
  <si>
    <t>325刀 /167扩散</t>
  </si>
  <si>
    <t>12/5扩散</t>
  </si>
  <si>
    <t>弗尔桑克斯的雷枪</t>
  </si>
  <si>
    <t>16.8+5+16.8+5</t>
  </si>
  <si>
    <t>冰雷枪</t>
  </si>
  <si>
    <r>
      <rPr>
        <sz val="11"/>
        <color rgb="FF000000"/>
        <rFont val="微软雅黑"/>
        <family val="2"/>
        <charset val="134"/>
      </rPr>
      <t>贴脸[240，</t>
    </r>
    <r>
      <rPr>
        <sz val="11"/>
        <color rgb="FF2F5597"/>
        <rFont val="微软雅黑"/>
        <family val="2"/>
        <charset val="134"/>
      </rPr>
      <t>120冰冻值]</t>
    </r>
    <r>
      <rPr>
        <sz val="11"/>
        <color rgb="FF000000"/>
        <rFont val="微软雅黑"/>
        <family val="2"/>
        <charset val="134"/>
      </rPr>
      <t>/前端[307，</t>
    </r>
    <r>
      <rPr>
        <sz val="11"/>
        <color rgb="FF2F5597"/>
        <rFont val="微软雅黑"/>
        <family val="2"/>
        <charset val="134"/>
      </rPr>
      <t>120冰冻值]</t>
    </r>
    <r>
      <rPr>
        <sz val="11"/>
        <color rgb="FF000000"/>
        <rFont val="微软雅黑"/>
        <family val="2"/>
        <charset val="134"/>
      </rPr>
      <t>+扩散[307，</t>
    </r>
    <r>
      <rPr>
        <sz val="11"/>
        <color rgb="FF2F5597"/>
        <rFont val="微软雅黑"/>
        <family val="2"/>
        <charset val="134"/>
      </rPr>
      <t>120冰冻值]</t>
    </r>
  </si>
  <si>
    <t>5+5</t>
  </si>
  <si>
    <t>死亡雷击</t>
  </si>
  <si>
    <t>烟雾持续3秒，每0.2秒一次判定</t>
  </si>
  <si>
    <t>燃火</t>
  </si>
  <si>
    <t>火焰啊！</t>
  </si>
  <si>
    <t>不蓄力：280
蓄力：385，扩大范围</t>
  </si>
  <si>
    <t>巨人</t>
  </si>
  <si>
    <t>投火</t>
  </si>
  <si>
    <t>不蓄力：202
蓄力：255，扩大范围</t>
  </si>
  <si>
    <t>感受巨人火焰吧</t>
  </si>
  <si>
    <t>不蓄力：325
蓄力：389，扩大范围</t>
  </si>
  <si>
    <t>不蓄力：13.6345
蓄力：15</t>
  </si>
  <si>
    <t>火焰啊，倾注吧</t>
  </si>
  <si>
    <t>不蓄力：115×3
蓄力：140×3，扩大范围</t>
  </si>
  <si>
    <t>不蓄力：4×3
蓄力：6×3</t>
  </si>
  <si>
    <t>火焰重罪</t>
  </si>
  <si>
    <t>恶神火焰</t>
  </si>
  <si>
    <t>火焰啊，喷发吧</t>
  </si>
  <si>
    <t>每次51，同一敌人每耗蓝5造成一次伤害</t>
  </si>
  <si>
    <t>持续1</t>
  </si>
  <si>
    <t>每次1</t>
  </si>
  <si>
    <t>火焰啊，缠绕吧</t>
  </si>
  <si>
    <t>不蓄力：96每次
蓄力：121每次</t>
  </si>
  <si>
    <t>不蓄力：1.85每次
蓄力：2.8每次</t>
  </si>
  <si>
    <t>火焰啊，吞噬一切！</t>
  </si>
  <si>
    <t>每发9.25</t>
  </si>
  <si>
    <t>黑焰</t>
  </si>
  <si>
    <t>不蓄力：244
蓄力：300，可爆炸</t>
  </si>
  <si>
    <t>狩猎神祇</t>
  </si>
  <si>
    <t>不蓄力：9.1
蓄力：11.83</t>
  </si>
  <si>
    <t>黑焰：命中敌人后每0.1秒扣血0.1%+1，持续2秒</t>
  </si>
  <si>
    <t>横扫黑焰</t>
  </si>
  <si>
    <t>不蓄力：255
蓄力：299，扩大范围</t>
  </si>
  <si>
    <t>不蓄力：9.25
蓄力：13.6345</t>
  </si>
  <si>
    <t>黑焰仪式</t>
  </si>
  <si>
    <t>不蓄力：每次106
蓄力：每次109，扩大范围</t>
  </si>
  <si>
    <t>不蓄力：每次5
蓄力：每次6.5</t>
  </si>
  <si>
    <t>贵族气场</t>
  </si>
  <si>
    <t>气场</t>
  </si>
  <si>
    <t>不蓄力：16.8
蓄力：21.84</t>
  </si>
  <si>
    <t>兽爪</t>
  </si>
  <si>
    <t>不蓄力：193
蓄力：222，扩大范围</t>
  </si>
  <si>
    <t>野兽</t>
  </si>
  <si>
    <t>古兰格的兽爪</t>
  </si>
  <si>
    <t>拍地85+爪225</t>
  </si>
  <si>
    <t>8+12</t>
  </si>
  <si>
    <t>兽石</t>
  </si>
  <si>
    <t>87×2</t>
  </si>
  <si>
    <t>4×2</t>
  </si>
  <si>
    <t>古兰格的岩石</t>
  </si>
  <si>
    <t>蝇群</t>
  </si>
  <si>
    <t>血焰爪痕</t>
  </si>
  <si>
    <r>
      <rPr>
        <sz val="11"/>
        <color rgb="FF000000"/>
        <rFont val="微软雅黑"/>
        <family val="2"/>
        <charset val="134"/>
      </rPr>
      <t>血焰：命中敌人后每0.1秒累积</t>
    </r>
    <r>
      <rPr>
        <sz val="11"/>
        <color rgb="FFC00000"/>
        <rFont val="微软雅黑"/>
        <family val="2"/>
        <charset val="134"/>
      </rPr>
      <t>5出血值</t>
    </r>
    <r>
      <rPr>
        <sz val="11"/>
        <color rgb="FF000000"/>
        <rFont val="微软雅黑"/>
        <family val="2"/>
        <charset val="134"/>
      </rPr>
      <t>，持续2秒</t>
    </r>
  </si>
  <si>
    <t>授血</t>
  </si>
  <si>
    <t>159+燃烧44</t>
  </si>
  <si>
    <t>5+燃烧1</t>
  </si>
  <si>
    <r>
      <rPr>
        <sz val="11"/>
        <color rgb="FF000000"/>
        <rFont val="微软雅黑"/>
        <family val="2"/>
        <charset val="134"/>
      </rPr>
      <t>血焰：命中敌人后每0.1秒累积</t>
    </r>
    <r>
      <rPr>
        <sz val="11"/>
        <color rgb="FFC00000"/>
        <rFont val="微软雅黑"/>
        <family val="2"/>
        <charset val="134"/>
      </rPr>
      <t>3出血值</t>
    </r>
    <r>
      <rPr>
        <sz val="11"/>
        <color rgb="FF000000"/>
        <rFont val="微软雅黑"/>
        <family val="2"/>
        <charset val="134"/>
      </rPr>
      <t>，持续2秒</t>
    </r>
  </si>
  <si>
    <t>虫丝</t>
  </si>
  <si>
    <t>每发60</t>
  </si>
  <si>
    <t>猩红艾奥尼亚</t>
  </si>
  <si>
    <t>落地13+开花16.1135</t>
  </si>
  <si>
    <t>癫火</t>
  </si>
  <si>
    <t>难耐癫火</t>
  </si>
  <si>
    <t>22+6持续</t>
  </si>
  <si>
    <t>每发5</t>
  </si>
  <si>
    <t>划空癫火</t>
  </si>
  <si>
    <t>不蓄力：5
蓄力：12.025</t>
  </si>
  <si>
    <t>夏玻利利的嘶吼</t>
  </si>
  <si>
    <t>发狂扩散</t>
  </si>
  <si>
    <t>投技未命中：攻击倍率100%
投技命中：见下方</t>
  </si>
  <si>
    <t>发狂扩散（投技）</t>
  </si>
  <si>
    <t>龙焰</t>
  </si>
  <si>
    <t>每发144，不蓄力2段，最多延长至6段</t>
  </si>
  <si>
    <t>龙飨</t>
  </si>
  <si>
    <t>最多耗蓝96</t>
  </si>
  <si>
    <t>亚基尔的火焰</t>
  </si>
  <si>
    <t>每发169，不蓄力2段，最多延长至6段</t>
  </si>
  <si>
    <t>36+6持续</t>
  </si>
  <si>
    <t>最多耗蓝144</t>
  </si>
  <si>
    <t>熔岩吐息</t>
  </si>
  <si>
    <t>223+34岩浆</t>
  </si>
  <si>
    <t>席欧朵利克的熔岩</t>
  </si>
  <si>
    <t>315+40岩浆</t>
  </si>
  <si>
    <t>辉石吐息</t>
  </si>
  <si>
    <t>每发159，不蓄力2段，最多延长至6段</t>
  </si>
  <si>
    <t>史玛拉格的辉石</t>
  </si>
  <si>
    <t>每发188，不蓄力2段，最多延长至6段</t>
  </si>
  <si>
    <t>腐败吐息</t>
  </si>
  <si>
    <t>36+4持续</t>
  </si>
  <si>
    <t>最多耗蓝104</t>
  </si>
  <si>
    <t>艾格基斯的腐败</t>
  </si>
  <si>
    <t>48+6持续</t>
  </si>
  <si>
    <t>最多耗蓝156</t>
  </si>
  <si>
    <t>龙冰</t>
  </si>
  <si>
    <r>
      <rPr>
        <sz val="11"/>
        <color rgb="FF000000"/>
        <rFont val="微软雅黑"/>
        <family val="2"/>
        <charset val="134"/>
      </rPr>
      <t>每发[135，</t>
    </r>
    <r>
      <rPr>
        <sz val="11"/>
        <color rgb="FF2F5597"/>
        <rFont val="微软雅黑"/>
        <family val="2"/>
        <charset val="134"/>
      </rPr>
      <t>110冰冻值]</t>
    </r>
    <r>
      <rPr>
        <sz val="11"/>
        <color rgb="FF000000"/>
        <rFont val="微软雅黑"/>
        <family val="2"/>
        <charset val="134"/>
      </rPr>
      <t>，不蓄力2段，最多延长至6段</t>
    </r>
  </si>
  <si>
    <t>玻列琉斯的冰雾</t>
  </si>
  <si>
    <r>
      <rPr>
        <sz val="11"/>
        <color rgb="FF000000"/>
        <rFont val="微软雅黑"/>
        <family val="2"/>
        <charset val="134"/>
      </rPr>
      <t>每发[158，</t>
    </r>
    <r>
      <rPr>
        <sz val="11"/>
        <color rgb="FF2F5597"/>
        <rFont val="微软雅黑"/>
        <family val="2"/>
        <charset val="134"/>
      </rPr>
      <t>110冰冻值]</t>
    </r>
    <r>
      <rPr>
        <sz val="11"/>
        <color rgb="FF000000"/>
        <rFont val="微软雅黑"/>
        <family val="2"/>
        <charset val="134"/>
      </rPr>
      <t>，不蓄力2段，最多延长至6段</t>
    </r>
  </si>
  <si>
    <t>普拉顿桑克斯的凋亡</t>
  </si>
  <si>
    <t>雷+火</t>
  </si>
  <si>
    <t>龙吼10+喷火每次20</t>
  </si>
  <si>
    <t>龙爪</t>
  </si>
  <si>
    <t>24+24</t>
  </si>
  <si>
    <t>30爪/16.1135震波</t>
  </si>
  <si>
    <t>龙咬</t>
  </si>
  <si>
    <t>桂奥尔的咆哮</t>
  </si>
  <si>
    <t>效果</t>
  </si>
  <si>
    <t>持续时间</t>
  </si>
  <si>
    <t>魔力武器</t>
  </si>
  <si>
    <t>90秒</t>
  </si>
  <si>
    <t>魔力盾牌</t>
  </si>
  <si>
    <t>60秒</t>
  </si>
  <si>
    <t>魔法之境</t>
  </si>
  <si>
    <t>30秒</t>
  </si>
  <si>
    <t>离开后保留1.5秒</t>
  </si>
  <si>
    <t>星光</t>
  </si>
  <si>
    <t>照亮周围</t>
  </si>
  <si>
    <t>180秒</t>
  </si>
  <si>
    <t>托普斯的力场</t>
  </si>
  <si>
    <t>偏移法术子弹</t>
  </si>
  <si>
    <t>约0.8秒</t>
  </si>
  <si>
    <t>镇定</t>
  </si>
  <si>
    <t>消除发狂、催眠累积值</t>
  </si>
  <si>
    <t>亘古黑暗</t>
  </si>
  <si>
    <t>吸引法术子弹</t>
  </si>
  <si>
    <t>飞行4秒，持续5秒</t>
  </si>
  <si>
    <t>无形刀刃</t>
  </si>
  <si>
    <t>武器隐形</t>
  </si>
  <si>
    <t>45秒</t>
  </si>
  <si>
    <t>化为无形</t>
  </si>
  <si>
    <t>冰雾</t>
  </si>
  <si>
    <r>
      <rPr>
        <sz val="11"/>
        <color rgb="FF000000"/>
        <rFont val="微软雅黑"/>
        <family val="2"/>
        <charset val="134"/>
      </rPr>
      <t>每次</t>
    </r>
    <r>
      <rPr>
        <sz val="11"/>
        <color rgb="FF0070C0"/>
        <rFont val="微软雅黑"/>
        <family val="2"/>
        <charset val="134"/>
      </rPr>
      <t>20冰冻值</t>
    </r>
  </si>
  <si>
    <t>15秒</t>
  </si>
  <si>
    <t>每0.2秒一次判定</t>
  </si>
  <si>
    <t>结冰武器</t>
  </si>
  <si>
    <t>菲雅烟雾</t>
  </si>
  <si>
    <r>
      <rPr>
        <sz val="11"/>
        <color rgb="FF000000"/>
        <rFont val="微软雅黑"/>
        <family val="2"/>
        <charset val="134"/>
      </rPr>
      <t>每次</t>
    </r>
    <r>
      <rPr>
        <sz val="11"/>
        <color rgb="FF595959"/>
        <rFont val="微软雅黑"/>
        <family val="2"/>
        <charset val="134"/>
      </rPr>
      <t>20死亡值</t>
    </r>
  </si>
  <si>
    <t>5秒</t>
  </si>
  <si>
    <t>每0.4秒一次判定</t>
  </si>
  <si>
    <t>紧急恢复</t>
  </si>
  <si>
    <t>基础回复量115（信仰补正，下同）</t>
  </si>
  <si>
    <t>恢复</t>
  </si>
  <si>
    <t>基础回复量230（自身），115（队友）</t>
  </si>
  <si>
    <t>大恢复</t>
  </si>
  <si>
    <t>基础回复量364（自身），207（队友）</t>
  </si>
  <si>
    <t>王之恢复</t>
  </si>
  <si>
    <t>基础回复量420（自身），210（队友）</t>
  </si>
  <si>
    <t>黄金树恢复</t>
  </si>
  <si>
    <t>基础回复量590（自身），398（队友）</t>
  </si>
  <si>
    <t>刺客步法</t>
  </si>
  <si>
    <t>免疫掉落伤害，消除脚步声</t>
  </si>
  <si>
    <t>诱敌幻影</t>
  </si>
  <si>
    <t>吸引敌人</t>
  </si>
  <si>
    <t>飞行4秒，持续3秒</t>
  </si>
  <si>
    <t>黑暗</t>
  </si>
  <si>
    <t>使周围敌人暂时失去视野（类似于只狼血烟术）</t>
  </si>
  <si>
    <t>7秒</t>
  </si>
  <si>
    <t>野兽活力</t>
  </si>
  <si>
    <t>每秒恢复5点生命</t>
  </si>
  <si>
    <t>120秒</t>
  </si>
  <si>
    <t>野兽健壮</t>
  </si>
  <si>
    <t>消除出血、冻伤效果与累积</t>
  </si>
  <si>
    <t>龙雷庇佑</t>
  </si>
  <si>
    <t>人物获得70弹刀力，所有异常抗性增加30，受到雷伤害增加35%</t>
  </si>
  <si>
    <t>70秒</t>
  </si>
  <si>
    <t>雷武器</t>
  </si>
  <si>
    <t>维克的龙雷</t>
  </si>
  <si>
    <t>每0.2秒一次判定；施放时可不被敌人发现</t>
  </si>
  <si>
    <t>毒刃</t>
  </si>
  <si>
    <t>血焰刀刃</t>
  </si>
  <si>
    <r>
      <rPr>
        <sz val="11"/>
        <color rgb="FF000000"/>
        <rFont val="微软雅黑"/>
        <family val="2"/>
        <charset val="134"/>
      </rPr>
      <t>血焰：命中敌人后每0.1秒累积</t>
    </r>
    <r>
      <rPr>
        <sz val="11"/>
        <color rgb="FFC00000"/>
        <rFont val="微软雅黑"/>
        <family val="2"/>
        <charset val="134"/>
      </rPr>
      <t>2出血值</t>
    </r>
    <r>
      <rPr>
        <sz val="11"/>
        <color rgb="FF000000"/>
        <rFont val="微软雅黑"/>
        <family val="2"/>
        <charset val="134"/>
      </rPr>
      <t>，持续2秒</t>
    </r>
  </si>
  <si>
    <t>魔力防护</t>
  </si>
  <si>
    <t>受到魔伤害降低35%</t>
  </si>
  <si>
    <t>火防护</t>
  </si>
  <si>
    <t>受到火伤害降低35%</t>
  </si>
  <si>
    <t>雷防护</t>
  </si>
  <si>
    <t>受到雷伤害降低35%</t>
  </si>
  <si>
    <t>圣防护</t>
  </si>
  <si>
    <t>受到圣伤害降低35%</t>
  </si>
  <si>
    <t>黄金魔力防护</t>
  </si>
  <si>
    <t>受到魔伤害降低60%，队友有效</t>
  </si>
  <si>
    <t>黄金雷防护</t>
  </si>
  <si>
    <t>王之圣防护</t>
  </si>
  <si>
    <t>黄金树庇佑</t>
  </si>
  <si>
    <t>受到魔、火、雷、圣伤害降低30%，队友有效</t>
  </si>
  <si>
    <t>拒绝</t>
  </si>
  <si>
    <t>削韧：不蓄力10.175，蓄力14.4</t>
  </si>
  <si>
    <t>恩惠赐福</t>
  </si>
  <si>
    <t>每秒恢复8点生命，队友有效</t>
  </si>
  <si>
    <t>幽魂类敌人每秒扣血3%+10，持续30秒</t>
  </si>
  <si>
    <t>黄金树恩惠</t>
  </si>
  <si>
    <t>每秒恢复12点生命，队友有效</t>
  </si>
  <si>
    <t>疗愈毒性</t>
  </si>
  <si>
    <t>消除中毒效果与累积</t>
  </si>
  <si>
    <t>圣律疗愈</t>
  </si>
  <si>
    <t>消除死亡累积</t>
  </si>
  <si>
    <t>王之疗愈</t>
  </si>
  <si>
    <t>消除中毒效果与累积，出血、催眠累积，队友有效</t>
  </si>
  <si>
    <t>80秒</t>
  </si>
  <si>
    <t>圣律剑刃</t>
  </si>
  <si>
    <t>武器对骷髅类伤害提升100%，且阻止复活</t>
  </si>
  <si>
    <t>回归性原理</t>
  </si>
  <si>
    <t>不变盾牌</t>
  </si>
  <si>
    <t>火焰的疗愈啊</t>
  </si>
  <si>
    <t>火焰啊，赐予我力量！</t>
  </si>
  <si>
    <t>物理、火属性伤害提升20%，精力恢复增加5点/秒</t>
  </si>
  <si>
    <t>火焰的庇佑啊</t>
  </si>
  <si>
    <t>受到火伤害降低60%</t>
  </si>
  <si>
    <t>黑焰刀刃</t>
  </si>
  <si>
    <t>黑焰庇佑</t>
  </si>
  <si>
    <t>冲击力9（击飞）</t>
    <phoneticPr fontId="18" type="noConversion"/>
  </si>
  <si>
    <t>龙飨
吐息</t>
  </si>
  <si>
    <t>风暴</t>
    <phoneticPr fontId="18" type="noConversion"/>
  </si>
  <si>
    <t>冲击力7（击退），黄金律法圣印记不能加成该伤害</t>
  </si>
  <si>
    <t>咆哮</t>
    <phoneticPr fontId="18" type="noConversion"/>
  </si>
  <si>
    <t>削精为999；B部分无补正；可以附带圣属性（估计是忘改了）</t>
    <phoneticPr fontId="18" type="noConversion"/>
  </si>
  <si>
    <t>古龙</t>
    <phoneticPr fontId="18" type="noConversion"/>
  </si>
  <si>
    <t>风暴</t>
    <phoneticPr fontId="18" type="noConversion"/>
  </si>
  <si>
    <t>特殊加成</t>
  </si>
  <si>
    <t>特殊加成</t>
    <phoneticPr fontId="18" type="noConversion"/>
  </si>
  <si>
    <t>踢击</t>
    <phoneticPr fontId="18" type="noConversion"/>
  </si>
  <si>
    <t>熔岩</t>
    <phoneticPr fontId="18" type="noConversion"/>
  </si>
  <si>
    <t>100%+60%</t>
    <phoneticPr fontId="18" type="noConversion"/>
  </si>
  <si>
    <t>冲击力7（击退）</t>
    <phoneticPr fontId="18" type="noConversion"/>
  </si>
  <si>
    <t>狮子</t>
    <phoneticPr fontId="18" type="noConversion"/>
  </si>
  <si>
    <t>踢击
风暴</t>
    <phoneticPr fontId="18" type="noConversion"/>
  </si>
  <si>
    <t>最后一段冲击力7（击退）</t>
    <phoneticPr fontId="18" type="noConversion"/>
  </si>
  <si>
    <t>舞蹈</t>
    <phoneticPr fontId="18" type="noConversion"/>
  </si>
  <si>
    <t>剑气</t>
    <phoneticPr fontId="18" type="noConversion"/>
  </si>
  <si>
    <t>剑身</t>
    <phoneticPr fontId="18" type="noConversion"/>
  </si>
  <si>
    <t>[90%+20火]+[105%+25火]</t>
    <phoneticPr fontId="18" type="noConversion"/>
  </si>
  <si>
    <t>250%+120%</t>
    <phoneticPr fontId="18" type="noConversion"/>
  </si>
  <si>
    <t>最后一下冲击力7（击退）</t>
    <phoneticPr fontId="18" type="noConversion"/>
  </si>
  <si>
    <t>魔力战灰
（B类补正：智）</t>
    <phoneticPr fontId="18" type="noConversion"/>
  </si>
  <si>
    <t>落雷</t>
    <phoneticPr fontId="18" type="noConversion"/>
  </si>
  <si>
    <t>雷电战灰
（B类补正：敏）</t>
    <phoneticPr fontId="18" type="noConversion"/>
  </si>
  <si>
    <t>神圣战灰
（B类补正：信）</t>
    <phoneticPr fontId="18" type="noConversion"/>
  </si>
  <si>
    <t>毒、血战灰
（B类补正：感）</t>
    <phoneticPr fontId="18" type="noConversion"/>
  </si>
  <si>
    <t>神秘战灰
（B类补正：感）</t>
    <phoneticPr fontId="18" type="noConversion"/>
  </si>
  <si>
    <t>射程远；伤害随距离衰减；可爆头</t>
    <phoneticPr fontId="18" type="noConversion"/>
  </si>
  <si>
    <t>投掷</t>
    <phoneticPr fontId="18" type="noConversion"/>
  </si>
  <si>
    <t>重武器动作更慢，冲击力更高，倍率不变</t>
    <phoneticPr fontId="18" type="noConversion"/>
  </si>
  <si>
    <t>只有贴脸才会变成打击属性；贴脸冲击力7（击退）</t>
    <phoneticPr fontId="18" type="noConversion"/>
  </si>
  <si>
    <t>冲击力4（大击退）</t>
    <phoneticPr fontId="18" type="noConversion"/>
  </si>
  <si>
    <t>5×4</t>
    <phoneticPr fontId="18" type="noConversion"/>
  </si>
  <si>
    <t>51×4</t>
    <phoneticPr fontId="18" type="noConversion"/>
  </si>
  <si>
    <t>一段蓄力不属于蓄力战技，只有蓄满了才算；冲击力7（击退）</t>
    <phoneticPr fontId="18" type="noConversion"/>
  </si>
  <si>
    <t>最后一段冲击力7（击退）</t>
    <phoneticPr fontId="16" type="noConversion"/>
  </si>
  <si>
    <t>熔岩</t>
    <phoneticPr fontId="16" type="noConversion"/>
  </si>
  <si>
    <t>冲击力4（大击退）</t>
    <phoneticPr fontId="16" type="noConversion"/>
  </si>
  <si>
    <t>冲击力7（击退）</t>
    <phoneticPr fontId="16" type="noConversion"/>
  </si>
  <si>
    <t>每段均附带命定之死：每0.1秒扣血0.1%+1，持续2秒（可叠加）；扣减10%最大生命上限，持续45秒；最后一段冲击力4（大击退）</t>
    <phoneticPr fontId="16" type="noConversion"/>
  </si>
  <si>
    <t>黑焰（同上）；冲击力7（击退）</t>
    <phoneticPr fontId="16" type="noConversion"/>
  </si>
  <si>
    <t>舞蹈</t>
    <phoneticPr fontId="16" type="noConversion"/>
  </si>
  <si>
    <t>每个32</t>
    <phoneticPr fontId="16" type="noConversion"/>
  </si>
  <si>
    <t>爆炸冲击力7（击退）</t>
    <phoneticPr fontId="16" type="noConversion"/>
  </si>
  <si>
    <t>冲击力9（击飞）</t>
    <phoneticPr fontId="18" type="noConversion"/>
  </si>
  <si>
    <t>72%+77%</t>
    <phoneticPr fontId="16" type="noConversion"/>
  </si>
  <si>
    <t>79%+81%</t>
    <phoneticPr fontId="16" type="noConversion"/>
  </si>
  <si>
    <t>风暴</t>
    <phoneticPr fontId="16" type="noConversion"/>
  </si>
  <si>
    <t>A</t>
    <phoneticPr fontId="16" type="noConversion"/>
  </si>
  <si>
    <t>咆哮</t>
    <phoneticPr fontId="16" type="noConversion"/>
  </si>
  <si>
    <t>咆哮
踢击</t>
    <phoneticPr fontId="16" type="noConversion"/>
  </si>
  <si>
    <t>泡泡</t>
    <phoneticPr fontId="16" type="noConversion"/>
  </si>
  <si>
    <t>起手85%，上挑610%，火球每个155%，燃烧每次130%（均为火）</t>
    <phoneticPr fontId="16" type="noConversion"/>
  </si>
  <si>
    <t>上挑冲击力7（击退）</t>
    <phoneticPr fontId="16" type="noConversion"/>
  </si>
  <si>
    <t>剑身85%+波170%</t>
    <phoneticPr fontId="16" type="noConversion"/>
  </si>
  <si>
    <t>波冲击力9（击飞）</t>
    <phoneticPr fontId="16" type="noConversion"/>
  </si>
  <si>
    <t>王朝</t>
  </si>
  <si>
    <t>A</t>
    <phoneticPr fontId="18" type="noConversion"/>
  </si>
  <si>
    <t>二段</t>
    <phoneticPr fontId="18" type="noConversion"/>
  </si>
  <si>
    <t>200%+400%</t>
    <phoneticPr fontId="18" type="noConversion"/>
  </si>
  <si>
    <t>68%+155%</t>
    <phoneticPr fontId="18" type="noConversion"/>
  </si>
  <si>
    <t>33%×4+125%</t>
    <phoneticPr fontId="18" type="noConversion"/>
  </si>
  <si>
    <t>33%×3+125%</t>
    <phoneticPr fontId="18" type="noConversion"/>
  </si>
  <si>
    <t>最后一段冲击力4（大击退）</t>
    <phoneticPr fontId="18" type="noConversion"/>
  </si>
  <si>
    <t>起手10%每次，爆炸55%每次</t>
    <phoneticPr fontId="18" type="noConversion"/>
  </si>
  <si>
    <t>起手10%每次，爆炸82%每次</t>
    <phoneticPr fontId="18" type="noConversion"/>
  </si>
  <si>
    <t>不蓄力</t>
    <phoneticPr fontId="18" type="noConversion"/>
  </si>
  <si>
    <t>*迅斩</t>
    <phoneticPr fontId="18" type="noConversion"/>
  </si>
  <si>
    <t>蓄力</t>
    <phoneticPr fontId="18" type="noConversion"/>
  </si>
  <si>
    <t>接轻击</t>
    <phoneticPr fontId="18" type="noConversion"/>
  </si>
  <si>
    <t>接重击</t>
    <phoneticPr fontId="18" type="noConversion"/>
  </si>
  <si>
    <t>100%+100%+200%</t>
    <phoneticPr fontId="18" type="noConversion"/>
  </si>
  <si>
    <t>一段</t>
    <phoneticPr fontId="18" type="noConversion"/>
  </si>
  <si>
    <t>80%+81%+73%+74%+75%+103%</t>
    <phoneticPr fontId="18" type="noConversion"/>
  </si>
  <si>
    <t>100%×2+50%×3+200%</t>
    <phoneticPr fontId="18" type="noConversion"/>
  </si>
  <si>
    <t>75%+160%</t>
    <phoneticPr fontId="18" type="noConversion"/>
  </si>
  <si>
    <t>60%+200%</t>
    <phoneticPr fontId="18" type="noConversion"/>
  </si>
  <si>
    <t>准备架式</t>
    <phoneticPr fontId="18" type="noConversion"/>
  </si>
  <si>
    <t>83%+84%+87%</t>
    <phoneticPr fontId="18" type="noConversion"/>
  </si>
  <si>
    <t>100%+50%+150%</t>
    <phoneticPr fontId="18" type="noConversion"/>
  </si>
  <si>
    <t>二段不蓄力</t>
    <phoneticPr fontId="18" type="noConversion"/>
  </si>
  <si>
    <t>二段蓄力</t>
    <phoneticPr fontId="18" type="noConversion"/>
  </si>
  <si>
    <t>B</t>
    <phoneticPr fontId="18" type="noConversion"/>
  </si>
  <si>
    <t>剑284+波160</t>
    <phoneticPr fontId="18" type="noConversion"/>
  </si>
  <si>
    <t>[100打击+50魔]</t>
    <phoneticPr fontId="16" type="noConversion"/>
  </si>
  <si>
    <t>37+11</t>
    <phoneticPr fontId="18" type="noConversion"/>
  </si>
  <si>
    <t>火焰战灰
（B类补正：力）</t>
    <phoneticPr fontId="18" type="noConversion"/>
  </si>
  <si>
    <t>焰术战灰
（B类补正：信）</t>
    <phoneticPr fontId="18" type="noConversion"/>
  </si>
  <si>
    <t>火</t>
    <phoneticPr fontId="18" type="noConversion"/>
  </si>
  <si>
    <t>蓄力枪</t>
    <phoneticPr fontId="18" type="noConversion"/>
  </si>
  <si>
    <t>火焰骑士</t>
    <phoneticPr fontId="18" type="noConversion"/>
  </si>
  <si>
    <t>不蓄力剑身</t>
    <phoneticPr fontId="18" type="noConversion"/>
  </si>
  <si>
    <t>蓄力剑身</t>
    <phoneticPr fontId="18" type="noConversion"/>
  </si>
  <si>
    <t>不蓄力枪</t>
    <phoneticPr fontId="18" type="noConversion"/>
  </si>
  <si>
    <t>为武器附魔95火攻击力，持续15秒</t>
    <phoneticPr fontId="18" type="noConversion"/>
  </si>
  <si>
    <t>为武器附魔95火攻击力，持续40秒</t>
    <phoneticPr fontId="18" type="noConversion"/>
  </si>
  <si>
    <t>雷</t>
    <phoneticPr fontId="18" type="noConversion"/>
  </si>
  <si>
    <t>熔炉百相</t>
    <phoneticPr fontId="18" type="noConversion"/>
  </si>
  <si>
    <t>打击+斩击</t>
    <phoneticPr fontId="18" type="noConversion"/>
  </si>
  <si>
    <t>猩红腐败：每秒扣血0.18%+15，持续90秒；可解除敌人中毒或猩红腐败状态，并使敌人扣血5%+250</t>
    <phoneticPr fontId="18" type="noConversion"/>
  </si>
  <si>
    <t>11+9</t>
    <phoneticPr fontId="18" type="noConversion"/>
  </si>
  <si>
    <r>
      <t>[150，</t>
    </r>
    <r>
      <rPr>
        <sz val="11"/>
        <color theme="5" tint="-0.499984740745262"/>
        <rFont val="微软雅黑"/>
        <family val="2"/>
        <charset val="134"/>
      </rPr>
      <t>160腐败值]</t>
    </r>
    <r>
      <rPr>
        <sz val="11"/>
        <color rgb="FF000000"/>
        <rFont val="微软雅黑"/>
        <family val="2"/>
        <charset val="134"/>
      </rPr>
      <t>+70</t>
    </r>
    <phoneticPr fontId="18" type="noConversion"/>
  </si>
  <si>
    <r>
      <t>[115，</t>
    </r>
    <r>
      <rPr>
        <sz val="11"/>
        <color rgb="FFC00000"/>
        <rFont val="微软雅黑"/>
        <family val="2"/>
        <charset val="134"/>
      </rPr>
      <t>60出血值（感应补正）</t>
    </r>
    <r>
      <rPr>
        <sz val="11"/>
        <rFont val="微软雅黑"/>
        <family val="2"/>
        <charset val="134"/>
      </rPr>
      <t>]</t>
    </r>
    <phoneticPr fontId="18" type="noConversion"/>
  </si>
  <si>
    <t>灵火</t>
    <phoneticPr fontId="18" type="noConversion"/>
  </si>
  <si>
    <t>接轻击剑身</t>
    <phoneticPr fontId="18" type="noConversion"/>
  </si>
  <si>
    <t>接重击剑身</t>
    <phoneticPr fontId="18" type="noConversion"/>
  </si>
  <si>
    <t>比死亡勾棒伤害低了太多太多，非常不建议使用</t>
    <phoneticPr fontId="18" type="noConversion"/>
  </si>
  <si>
    <t>自身消耗5%+50生命</t>
    <phoneticPr fontId="18" type="noConversion"/>
  </si>
  <si>
    <r>
      <t>[322，</t>
    </r>
    <r>
      <rPr>
        <sz val="11"/>
        <color rgb="FFC00000"/>
        <rFont val="微软雅黑"/>
        <family val="2"/>
        <charset val="134"/>
      </rPr>
      <t>60出血值（感应补正）]</t>
    </r>
    <r>
      <rPr>
        <sz val="11"/>
        <color rgb="FF000000"/>
        <rFont val="微软雅黑"/>
        <family val="2"/>
        <charset val="134"/>
      </rPr>
      <t>（轻）
[345，</t>
    </r>
    <r>
      <rPr>
        <sz val="11"/>
        <color rgb="FFC00000"/>
        <rFont val="微软雅黑"/>
        <family val="2"/>
        <charset val="134"/>
      </rPr>
      <t>60出血值（感应补正）]</t>
    </r>
    <r>
      <rPr>
        <sz val="11"/>
        <color rgb="FF000000"/>
        <rFont val="微软雅黑"/>
        <family val="2"/>
        <charset val="134"/>
      </rPr>
      <t>（重）</t>
    </r>
    <phoneticPr fontId="18" type="noConversion"/>
  </si>
  <si>
    <t>魔</t>
    <phoneticPr fontId="18" type="noConversion"/>
  </si>
  <si>
    <r>
      <t>[230，</t>
    </r>
    <r>
      <rPr>
        <sz val="11"/>
        <color rgb="FF2F5597"/>
        <rFont val="微软雅黑"/>
        <family val="2"/>
        <charset val="134"/>
      </rPr>
      <t>160冰冻值</t>
    </r>
    <r>
      <rPr>
        <sz val="11"/>
        <rFont val="微软雅黑"/>
        <family val="2"/>
        <charset val="134"/>
      </rPr>
      <t>]</t>
    </r>
    <phoneticPr fontId="18" type="noConversion"/>
  </si>
  <si>
    <r>
      <t>喷火</t>
    </r>
    <r>
      <rPr>
        <sz val="11"/>
        <color rgb="FF7030A0"/>
        <rFont val="微软雅黑"/>
        <family val="2"/>
        <charset val="134"/>
      </rPr>
      <t>40睡眠值</t>
    </r>
    <r>
      <rPr>
        <sz val="11"/>
        <rFont val="微软雅黑"/>
        <family val="2"/>
        <charset val="134"/>
      </rPr>
      <t>+地面</t>
    </r>
    <r>
      <rPr>
        <sz val="11"/>
        <color rgb="FF7030A0"/>
        <rFont val="微软雅黑"/>
        <family val="2"/>
        <charset val="134"/>
      </rPr>
      <t>20睡眠值</t>
    </r>
    <phoneticPr fontId="16" type="noConversion"/>
  </si>
  <si>
    <t>其他</t>
    <phoneticPr fontId="18" type="noConversion"/>
  </si>
  <si>
    <t>120%+91%×2+140%</t>
    <phoneticPr fontId="18" type="noConversion"/>
  </si>
  <si>
    <t>200%+50%×2+400%</t>
    <phoneticPr fontId="18" type="noConversion"/>
  </si>
  <si>
    <t>共鸣愤怒</t>
    <phoneticPr fontId="16" type="noConversion"/>
  </si>
  <si>
    <t>水母盾</t>
    <phoneticPr fontId="16" type="noConversion"/>
  </si>
  <si>
    <t>其他</t>
    <phoneticPr fontId="16" type="noConversion"/>
  </si>
  <si>
    <t>为盾牌附魔，使人物伤害提升12.5%，持续30秒</t>
    <phoneticPr fontId="16" type="noConversion"/>
  </si>
  <si>
    <t>王朝</t>
    <phoneticPr fontId="16" type="noConversion"/>
  </si>
  <si>
    <r>
      <t>[40，</t>
    </r>
    <r>
      <rPr>
        <sz val="11"/>
        <color rgb="FF2F5597"/>
        <rFont val="微软雅黑"/>
        <family val="2"/>
        <charset val="134"/>
      </rPr>
      <t>70冰冻值</t>
    </r>
    <r>
      <rPr>
        <sz val="11"/>
        <rFont val="微软雅黑"/>
        <family val="2"/>
        <charset val="134"/>
      </rPr>
      <t>]+</t>
    </r>
    <r>
      <rPr>
        <sz val="11"/>
        <color rgb="FF000000"/>
        <rFont val="微软雅黑"/>
        <family val="2"/>
        <charset val="134"/>
      </rPr>
      <t>[100，</t>
    </r>
    <r>
      <rPr>
        <sz val="11"/>
        <color theme="8" tint="-0.249977111117893"/>
        <rFont val="微软雅黑"/>
        <family val="2"/>
        <charset val="134"/>
      </rPr>
      <t>70冰冻值</t>
    </r>
    <r>
      <rPr>
        <sz val="11"/>
        <color theme="1"/>
        <rFont val="微软雅黑"/>
        <family val="2"/>
        <charset val="134"/>
      </rPr>
      <t>]</t>
    </r>
    <phoneticPr fontId="18" type="noConversion"/>
  </si>
  <si>
    <r>
      <t>[30，</t>
    </r>
    <r>
      <rPr>
        <sz val="11"/>
        <color theme="8" tint="-0.249977111117893"/>
        <rFont val="微软雅黑"/>
        <family val="2"/>
        <charset val="134"/>
      </rPr>
      <t>20冰冻值</t>
    </r>
    <r>
      <rPr>
        <sz val="11"/>
        <color rgb="FF000000"/>
        <rFont val="微软雅黑"/>
        <family val="2"/>
        <charset val="134"/>
      </rPr>
      <t>]×4</t>
    </r>
    <phoneticPr fontId="18" type="noConversion"/>
  </si>
  <si>
    <r>
      <t>蔓延[50，</t>
    </r>
    <r>
      <rPr>
        <sz val="11"/>
        <color theme="8" tint="-0.249977111117893"/>
        <rFont val="微软雅黑"/>
        <family val="2"/>
        <charset val="134"/>
      </rPr>
      <t>20冰冻值]</t>
    </r>
    <r>
      <rPr>
        <sz val="11"/>
        <color rgb="FF000000"/>
        <rFont val="微软雅黑"/>
        <family val="2"/>
        <charset val="134"/>
      </rPr>
      <t>+持续[20，</t>
    </r>
    <r>
      <rPr>
        <sz val="11"/>
        <color theme="8" tint="-0.249977111117893"/>
        <rFont val="微软雅黑"/>
        <family val="2"/>
        <charset val="134"/>
      </rPr>
      <t>20冰冻值]</t>
    </r>
    <phoneticPr fontId="18" type="noConversion"/>
  </si>
  <si>
    <r>
      <t>[80，</t>
    </r>
    <r>
      <rPr>
        <sz val="11"/>
        <color theme="8" tint="-0.249977111117893"/>
        <rFont val="微软雅黑"/>
        <family val="2"/>
        <charset val="134"/>
      </rPr>
      <t>80冰冻值</t>
    </r>
    <r>
      <rPr>
        <sz val="11"/>
        <color rgb="FF000000"/>
        <rFont val="微软雅黑"/>
        <family val="2"/>
        <charset val="134"/>
      </rPr>
      <t>]</t>
    </r>
    <phoneticPr fontId="18" type="noConversion"/>
  </si>
  <si>
    <t>*发劲</t>
    <phoneticPr fontId="18" type="noConversion"/>
  </si>
  <si>
    <t>盾牌在左手时按L2可进行攻击</t>
    <phoneticPr fontId="18" type="noConversion"/>
  </si>
  <si>
    <t>永眠烟雾</t>
    <phoneticPr fontId="16" type="noConversion"/>
  </si>
  <si>
    <r>
      <t>为武器附魔</t>
    </r>
    <r>
      <rPr>
        <sz val="11"/>
        <color rgb="FF7030A0"/>
        <rFont val="微软雅黑"/>
        <family val="2"/>
        <charset val="134"/>
      </rPr>
      <t>20睡眠值</t>
    </r>
    <r>
      <rPr>
        <sz val="11"/>
        <color rgb="FF000000"/>
        <rFont val="微软雅黑"/>
        <family val="2"/>
        <charset val="134"/>
      </rPr>
      <t>，持续20秒</t>
    </r>
    <phoneticPr fontId="16" type="noConversion"/>
  </si>
  <si>
    <t>光明</t>
    <phoneticPr fontId="16" type="noConversion"/>
  </si>
  <si>
    <t>黑暗</t>
    <phoneticPr fontId="16" type="noConversion"/>
  </si>
  <si>
    <t>B</t>
    <phoneticPr fontId="16" type="noConversion"/>
  </si>
  <si>
    <t>每次61</t>
    <phoneticPr fontId="16" type="noConversion"/>
  </si>
  <si>
    <t>圣</t>
    <phoneticPr fontId="16" type="noConversion"/>
  </si>
  <si>
    <t>每次5</t>
    <phoneticPr fontId="16" type="noConversion"/>
  </si>
  <si>
    <t>属于立誓类buff</t>
    <phoneticPr fontId="16" type="noConversion"/>
  </si>
  <si>
    <t>轻大剑类</t>
    <phoneticPr fontId="16" type="noConversion"/>
  </si>
  <si>
    <t>类型</t>
    <phoneticPr fontId="16" type="noConversion"/>
  </si>
  <si>
    <t>78%+38%×10</t>
    <phoneticPr fontId="16" type="noConversion"/>
  </si>
  <si>
    <t>贯刺针</t>
    <phoneticPr fontId="16" type="noConversion"/>
  </si>
  <si>
    <t>命中后解除目标所有临时状态</t>
    <phoneticPr fontId="16" type="noConversion"/>
  </si>
  <si>
    <t>月与火的架式</t>
    <phoneticPr fontId="16" type="noConversion"/>
  </si>
  <si>
    <t>突刺+魔</t>
    <phoneticPr fontId="16" type="noConversion"/>
  </si>
  <si>
    <t>突刺+圣</t>
    <phoneticPr fontId="16" type="noConversion"/>
  </si>
  <si>
    <t>普通+魔+火</t>
    <phoneticPr fontId="16" type="noConversion"/>
  </si>
  <si>
    <t>魔</t>
    <phoneticPr fontId="16" type="noConversion"/>
  </si>
  <si>
    <t>300%（魔）</t>
    <phoneticPr fontId="16" type="noConversion"/>
  </si>
  <si>
    <t>重击剑身</t>
    <phoneticPr fontId="16" type="noConversion"/>
  </si>
  <si>
    <t>重击火焰</t>
    <phoneticPr fontId="16" type="noConversion"/>
  </si>
  <si>
    <t>火</t>
    <phoneticPr fontId="16" type="noConversion"/>
  </si>
  <si>
    <t>普通+魔</t>
    <phoneticPr fontId="16" type="noConversion"/>
  </si>
  <si>
    <t>50%+51%（普通、魔）</t>
    <phoneticPr fontId="16" type="noConversion"/>
  </si>
  <si>
    <t>52%+53%（普通、魔）</t>
    <phoneticPr fontId="16" type="noConversion"/>
  </si>
  <si>
    <t>55%（普通、魔）</t>
    <phoneticPr fontId="16" type="noConversion"/>
  </si>
  <si>
    <t>25%×3（普通、火）</t>
    <phoneticPr fontId="16" type="noConversion"/>
  </si>
  <si>
    <t>孤月斩</t>
    <phoneticPr fontId="16" type="noConversion"/>
  </si>
  <si>
    <t>接重击</t>
    <phoneticPr fontId="16" type="noConversion"/>
  </si>
  <si>
    <t>剑身50%+波130%</t>
    <phoneticPr fontId="16" type="noConversion"/>
  </si>
  <si>
    <t>仪式直剑</t>
    <phoneticPr fontId="16" type="noConversion"/>
  </si>
  <si>
    <t>剑身</t>
    <phoneticPr fontId="16" type="noConversion"/>
  </si>
  <si>
    <t>火焰</t>
    <phoneticPr fontId="16" type="noConversion"/>
  </si>
  <si>
    <t>普通+火</t>
    <phoneticPr fontId="16" type="noConversion"/>
  </si>
  <si>
    <t>普通</t>
    <phoneticPr fontId="16" type="noConversion"/>
  </si>
  <si>
    <t>黄金穿刺</t>
    <phoneticPr fontId="16" type="noConversion"/>
  </si>
  <si>
    <t>触发处决</t>
    <phoneticPr fontId="16" type="noConversion"/>
  </si>
  <si>
    <t>未触发处决</t>
    <phoneticPr fontId="16" type="noConversion"/>
  </si>
  <si>
    <t>二段</t>
    <phoneticPr fontId="16" type="noConversion"/>
  </si>
  <si>
    <t>冲击力9（击飞）</t>
    <phoneticPr fontId="16" type="noConversion"/>
  </si>
  <si>
    <t>每命中一个敌人回复10%+150生命</t>
    <phoneticPr fontId="16" type="noConversion"/>
  </si>
  <si>
    <t>巨剑阵</t>
    <phoneticPr fontId="16" type="noConversion"/>
  </si>
  <si>
    <t>75×3</t>
    <phoneticPr fontId="16" type="noConversion"/>
  </si>
  <si>
    <t>/</t>
    <phoneticPr fontId="16" type="noConversion"/>
  </si>
  <si>
    <t>白光突袭</t>
    <phoneticPr fontId="16" type="noConversion"/>
  </si>
  <si>
    <t>约定之王</t>
    <phoneticPr fontId="16" type="noConversion"/>
  </si>
  <si>
    <t>轻击一段剑身</t>
    <phoneticPr fontId="16" type="noConversion"/>
  </si>
  <si>
    <t>轻击一段光波</t>
    <phoneticPr fontId="16" type="noConversion"/>
  </si>
  <si>
    <t>轻击二段剑身</t>
    <phoneticPr fontId="16" type="noConversion"/>
  </si>
  <si>
    <t>轻击二段光波</t>
    <phoneticPr fontId="16" type="noConversion"/>
  </si>
  <si>
    <t>轻击三段剑身</t>
    <phoneticPr fontId="16" type="noConversion"/>
  </si>
  <si>
    <t>轻击三段光波</t>
    <phoneticPr fontId="16" type="noConversion"/>
  </si>
  <si>
    <t>三段剑身</t>
    <phoneticPr fontId="16" type="noConversion"/>
  </si>
  <si>
    <t>三段光柱</t>
    <phoneticPr fontId="16" type="noConversion"/>
  </si>
  <si>
    <t>每次31</t>
    <phoneticPr fontId="16" type="noConversion"/>
  </si>
  <si>
    <t>每次135</t>
    <phoneticPr fontId="16" type="noConversion"/>
  </si>
  <si>
    <t>一段、二段剑身</t>
    <phoneticPr fontId="16" type="noConversion"/>
  </si>
  <si>
    <t>一段、二段光柱</t>
    <phoneticPr fontId="16" type="noConversion"/>
  </si>
  <si>
    <t>20+10</t>
    <phoneticPr fontId="16" type="noConversion"/>
  </si>
  <si>
    <t>光速斩</t>
    <phoneticPr fontId="16" type="noConversion"/>
  </si>
  <si>
    <t>不蓄力冲刺</t>
    <phoneticPr fontId="16" type="noConversion"/>
  </si>
  <si>
    <t>不蓄力光柱</t>
    <phoneticPr fontId="16" type="noConversion"/>
  </si>
  <si>
    <t>蓄力冲刺</t>
    <phoneticPr fontId="16" type="noConversion"/>
  </si>
  <si>
    <t>蓄力光柱</t>
    <phoneticPr fontId="16" type="noConversion"/>
  </si>
  <si>
    <t>刺剑、重刺剑类</t>
    <phoneticPr fontId="16" type="noConversion"/>
  </si>
  <si>
    <t>怨魂斩</t>
    <phoneticPr fontId="16" type="noConversion"/>
  </si>
  <si>
    <t>施放时自带20魔攻击力附魔</t>
    <phoneticPr fontId="16" type="noConversion"/>
  </si>
  <si>
    <t>80%×2</t>
    <phoneticPr fontId="16" type="noConversion"/>
  </si>
  <si>
    <t>一段怨灵</t>
    <phoneticPr fontId="16" type="noConversion"/>
  </si>
  <si>
    <t>斩击+火</t>
    <phoneticPr fontId="16" type="noConversion"/>
  </si>
  <si>
    <t>斩击</t>
    <phoneticPr fontId="16" type="noConversion"/>
  </si>
  <si>
    <t>二段怨灵</t>
    <phoneticPr fontId="16" type="noConversion"/>
  </si>
  <si>
    <t>复仇之刃</t>
    <phoneticPr fontId="16" type="noConversion"/>
  </si>
  <si>
    <t>接重击</t>
    <phoneticPr fontId="16" type="noConversion"/>
  </si>
  <si>
    <t>50%×5+%143%×2</t>
    <phoneticPr fontId="16" type="noConversion"/>
  </si>
  <si>
    <t>125%×2</t>
    <phoneticPr fontId="16" type="noConversion"/>
  </si>
  <si>
    <t>A</t>
    <phoneticPr fontId="16" type="noConversion"/>
  </si>
  <si>
    <t>斩击</t>
    <phoneticPr fontId="16" type="noConversion"/>
  </si>
  <si>
    <t>无尽之舞</t>
    <phoneticPr fontId="16" type="noConversion"/>
  </si>
  <si>
    <t>舞蹈</t>
    <phoneticPr fontId="16" type="noConversion"/>
  </si>
  <si>
    <t>起手</t>
    <phoneticPr fontId="16" type="noConversion"/>
  </si>
  <si>
    <t>一段</t>
    <phoneticPr fontId="16" type="noConversion"/>
  </si>
  <si>
    <t>二段</t>
    <phoneticPr fontId="16" type="noConversion"/>
  </si>
  <si>
    <t>三段</t>
    <phoneticPr fontId="16" type="noConversion"/>
  </si>
  <si>
    <t>四段</t>
    <phoneticPr fontId="16" type="noConversion"/>
  </si>
  <si>
    <t>五段</t>
    <phoneticPr fontId="16" type="noConversion"/>
  </si>
  <si>
    <t>六段</t>
    <phoneticPr fontId="16" type="noConversion"/>
  </si>
  <si>
    <t>74%+90%</t>
    <phoneticPr fontId="16" type="noConversion"/>
  </si>
  <si>
    <t>74%+74%</t>
    <phoneticPr fontId="16" type="noConversion"/>
  </si>
  <si>
    <t>110%+120%</t>
    <phoneticPr fontId="16" type="noConversion"/>
  </si>
  <si>
    <t>90%+70%</t>
    <phoneticPr fontId="16" type="noConversion"/>
  </si>
  <si>
    <t>120%+74%</t>
    <phoneticPr fontId="16" type="noConversion"/>
  </si>
  <si>
    <t>六段之后从一段重新开始</t>
    <phoneticPr fontId="16" type="noConversion"/>
  </si>
  <si>
    <t>角降临</t>
    <phoneticPr fontId="16" type="noConversion"/>
  </si>
  <si>
    <t>插地</t>
    <phoneticPr fontId="16" type="noConversion"/>
  </si>
  <si>
    <t>角</t>
    <phoneticPr fontId="16" type="noConversion"/>
  </si>
  <si>
    <t>B</t>
    <phoneticPr fontId="16" type="noConversion"/>
  </si>
  <si>
    <t>圣</t>
    <phoneticPr fontId="16" type="noConversion"/>
  </si>
  <si>
    <t>附带的火伤无补正</t>
    <phoneticPr fontId="16" type="noConversion"/>
  </si>
  <si>
    <t>角降临之风暴</t>
    <phoneticPr fontId="16" type="noConversion"/>
  </si>
  <si>
    <t>35×2</t>
    <phoneticPr fontId="16" type="noConversion"/>
  </si>
  <si>
    <t>最后一段冲击力7（击退）</t>
    <phoneticPr fontId="16" type="noConversion"/>
  </si>
  <si>
    <t>为武器附魔，若角色当前血量不高于100%/75%/50%/25%，使该武器造成的伤害提升10%/15%/20%/25%，持续40秒</t>
  </si>
  <si>
    <t>为武器附魔，武器增加5力量补正，武器物理攻击力提高7.5%，替换武器重击模组为战吼模组，持续40秒</t>
    <phoneticPr fontId="18" type="noConversion"/>
  </si>
  <si>
    <t>为武器附魔，武器增加5力量补正，武器物理攻击力提高7.5%，替换武器重击模组为野蛮咆哮模组，持续40秒</t>
    <phoneticPr fontId="18" type="noConversion"/>
  </si>
  <si>
    <t>反手剑类</t>
    <phoneticPr fontId="16" type="noConversion"/>
  </si>
  <si>
    <t>灾厄之舞</t>
    <phoneticPr fontId="16" type="noConversion"/>
  </si>
  <si>
    <t>一段风暴</t>
    <phoneticPr fontId="16" type="noConversion"/>
  </si>
  <si>
    <t>二段风暴</t>
    <phoneticPr fontId="16" type="noConversion"/>
  </si>
  <si>
    <t>三段风暴</t>
    <phoneticPr fontId="16" type="noConversion"/>
  </si>
  <si>
    <t>舞蹈
踢击</t>
    <phoneticPr fontId="16" type="noConversion"/>
  </si>
  <si>
    <t>打击</t>
    <phoneticPr fontId="16" type="noConversion"/>
  </si>
  <si>
    <t>普通</t>
    <phoneticPr fontId="16" type="noConversion"/>
  </si>
  <si>
    <t>第一段无视盾牌；第二段冲击力7（击退）</t>
    <phoneticPr fontId="16" type="noConversion"/>
  </si>
  <si>
    <t>夜暗斩击</t>
    <phoneticPr fontId="16" type="noConversion"/>
  </si>
  <si>
    <t>不蓄力</t>
    <phoneticPr fontId="16" type="noConversion"/>
  </si>
  <si>
    <t>蓄力</t>
    <phoneticPr fontId="16" type="noConversion"/>
  </si>
  <si>
    <t>85%+86%+90%</t>
    <phoneticPr fontId="16" type="noConversion"/>
  </si>
  <si>
    <t>97%+98%+110%</t>
    <phoneticPr fontId="16" type="noConversion"/>
  </si>
  <si>
    <t>斩击+魔</t>
    <phoneticPr fontId="16" type="noConversion"/>
  </si>
  <si>
    <r>
      <t>为武器附魔</t>
    </r>
    <r>
      <rPr>
        <sz val="11"/>
        <color rgb="FF4C216D"/>
        <rFont val="微软雅黑"/>
        <family val="2"/>
        <charset val="134"/>
      </rPr>
      <t>15永眠值</t>
    </r>
    <r>
      <rPr>
        <sz val="11"/>
        <color rgb="FF000000"/>
        <rFont val="微软雅黑"/>
        <family val="2"/>
        <charset val="134"/>
      </rPr>
      <t>，持续20秒</t>
    </r>
    <phoneticPr fontId="16" type="noConversion"/>
  </si>
  <si>
    <t>翁吉的连星</t>
    <phoneticPr fontId="16" type="noConversion"/>
  </si>
  <si>
    <t>82%+83%</t>
    <phoneticPr fontId="16" type="noConversion"/>
  </si>
  <si>
    <t>97%+99%</t>
    <phoneticPr fontId="16" type="noConversion"/>
  </si>
  <si>
    <t>75%+140%</t>
    <phoneticPr fontId="16" type="noConversion"/>
  </si>
  <si>
    <t>斩击+雷</t>
    <phoneticPr fontId="16" type="noConversion"/>
  </si>
  <si>
    <t>大刀类</t>
    <phoneticPr fontId="16" type="noConversion"/>
  </si>
  <si>
    <t>割草</t>
    <phoneticPr fontId="16" type="noConversion"/>
  </si>
  <si>
    <t>98%+106%</t>
    <phoneticPr fontId="16" type="noConversion"/>
  </si>
  <si>
    <t>三段循环，倍率完全一样</t>
    <phoneticPr fontId="16" type="noConversion"/>
  </si>
  <si>
    <t>艾珀莉亚漩涡</t>
    <phoneticPr fontId="16" type="noConversion"/>
  </si>
  <si>
    <t>0档</t>
    <phoneticPr fontId="16" type="noConversion"/>
  </si>
  <si>
    <t>79%×5</t>
    <phoneticPr fontId="16" type="noConversion"/>
  </si>
  <si>
    <t>25%×5</t>
    <phoneticPr fontId="16" type="noConversion"/>
  </si>
  <si>
    <t>1档剑身</t>
    <phoneticPr fontId="16" type="noConversion"/>
  </si>
  <si>
    <t>最后一下冲击力7（击退）</t>
    <phoneticPr fontId="16" type="noConversion"/>
  </si>
  <si>
    <t>每命中一个敌人回复15%生命</t>
    <phoneticPr fontId="16" type="noConversion"/>
  </si>
  <si>
    <t>35%×11</t>
    <phoneticPr fontId="16" type="noConversion"/>
  </si>
  <si>
    <t>2档剑身</t>
    <phoneticPr fontId="16" type="noConversion"/>
  </si>
  <si>
    <t>龙形火焰</t>
    <phoneticPr fontId="16" type="noConversion"/>
  </si>
  <si>
    <t>火焰90，地面40</t>
    <phoneticPr fontId="16" type="noConversion"/>
  </si>
  <si>
    <t>瞬雷之对斧</t>
    <phoneticPr fontId="16" type="noConversion"/>
  </si>
  <si>
    <t>古龙</t>
    <phoneticPr fontId="16" type="noConversion"/>
  </si>
  <si>
    <t>39%+41%+57%+58%+61%+69%</t>
  </si>
  <si>
    <t>雷</t>
    <phoneticPr fontId="16" type="noConversion"/>
  </si>
  <si>
    <t>火</t>
    <phoneticPr fontId="16" type="noConversion"/>
  </si>
  <si>
    <t>70%×4+100%</t>
    <phoneticPr fontId="18" type="noConversion"/>
  </si>
  <si>
    <t>70%×3+240%</t>
  </si>
  <si>
    <t>70%×3+240%</t>
    <phoneticPr fontId="18" type="noConversion"/>
  </si>
  <si>
    <t>调香瓶</t>
  </si>
  <si>
    <t>调香瓶</t>
    <phoneticPr fontId="18" type="noConversion"/>
  </si>
  <si>
    <t>30%每次</t>
    <phoneticPr fontId="18" type="noConversion"/>
  </si>
  <si>
    <t>80%每次</t>
  </si>
  <si>
    <t>80%每次</t>
    <phoneticPr fontId="18" type="noConversion"/>
  </si>
  <si>
    <t>每发88%</t>
  </si>
  <si>
    <t>每发88%</t>
    <phoneticPr fontId="18" type="noConversion"/>
  </si>
  <si>
    <t>每发120%</t>
    <phoneticPr fontId="18" type="noConversion"/>
  </si>
  <si>
    <t>磨刀</t>
    <phoneticPr fontId="16" type="noConversion"/>
  </si>
  <si>
    <t>其他</t>
    <phoneticPr fontId="16" type="noConversion"/>
  </si>
  <si>
    <t>为武器附魔，提升武器6%伤害，武器命中后回血量由1%提升至2%，持续40秒</t>
    <phoneticPr fontId="16" type="noConversion"/>
  </si>
  <si>
    <t>瞬雷之长柄斧</t>
    <phoneticPr fontId="16" type="noConversion"/>
  </si>
  <si>
    <t>落雷</t>
    <phoneticPr fontId="16" type="noConversion"/>
  </si>
  <si>
    <t>回旋断首</t>
    <phoneticPr fontId="16" type="noConversion"/>
  </si>
  <si>
    <t>78%+79%+82%</t>
    <phoneticPr fontId="16" type="noConversion"/>
  </si>
  <si>
    <t>81%+83%+90%</t>
    <phoneticPr fontId="16" type="noConversion"/>
  </si>
  <si>
    <t>花之龙雷</t>
    <phoneticPr fontId="16" type="noConversion"/>
  </si>
  <si>
    <t>感应补正雷伤，且补正很高（基础100%）</t>
    <phoneticPr fontId="16" type="noConversion"/>
  </si>
  <si>
    <t>同上</t>
    <phoneticPr fontId="16" type="noConversion"/>
  </si>
  <si>
    <t>信仰补正圣，基础补正80%</t>
    <phoneticPr fontId="16" type="noConversion"/>
  </si>
  <si>
    <t>普通+雷</t>
    <phoneticPr fontId="16" type="noConversion"/>
  </si>
  <si>
    <t>蛇啊，燃烧吧</t>
    <phoneticPr fontId="16" type="noConversion"/>
  </si>
  <si>
    <t>类似于血源的轰天锤</t>
    <phoneticPr fontId="16" type="noConversion"/>
  </si>
  <si>
    <t>为武器附魔，武器增加5力量补正，武器物理攻击力提高7.5%，替换武器重击模组为野蛮咆哮模组，持续40秒；敌人受到所有伤害增加5%，持续30秒</t>
    <phoneticPr fontId="16" type="noConversion"/>
  </si>
  <si>
    <r>
      <t>为武器附魔65圣攻击力及</t>
    </r>
    <r>
      <rPr>
        <sz val="11"/>
        <color rgb="FF595959"/>
        <rFont val="微软雅黑"/>
        <family val="2"/>
        <charset val="134"/>
      </rPr>
      <t>30点死亡值</t>
    </r>
    <r>
      <rPr>
        <sz val="11"/>
        <color rgb="FF000000"/>
        <rFont val="微软雅黑"/>
        <family val="2"/>
        <charset val="134"/>
      </rPr>
      <t>，持续45秒</t>
    </r>
    <phoneticPr fontId="16" type="noConversion"/>
  </si>
  <si>
    <t>范围内敌人受到所有伤害增加15%，持续60秒</t>
    <phoneticPr fontId="16" type="noConversion"/>
  </si>
  <si>
    <t>重击或跳劈引爆</t>
    <phoneticPr fontId="16" type="noConversion"/>
  </si>
  <si>
    <t>蓄力重击引爆</t>
    <phoneticPr fontId="16" type="noConversion"/>
  </si>
  <si>
    <t>冲击力7（击退）</t>
  </si>
  <si>
    <t>冲击力7（击退）</t>
    <phoneticPr fontId="16" type="noConversion"/>
  </si>
  <si>
    <t>无视盾牌</t>
    <phoneticPr fontId="16" type="noConversion"/>
  </si>
  <si>
    <t>锻造术之矛</t>
    <phoneticPr fontId="16" type="noConversion"/>
  </si>
  <si>
    <t>90%+128%+50%</t>
    <phoneticPr fontId="16" type="noConversion"/>
  </si>
  <si>
    <t>泥盆亚的漩涡</t>
    <phoneticPr fontId="16" type="noConversion"/>
  </si>
  <si>
    <t>打击+圣</t>
    <phoneticPr fontId="16" type="noConversion"/>
  </si>
  <si>
    <t>影轮草头槌</t>
    <phoneticPr fontId="16" type="noConversion"/>
  </si>
  <si>
    <t>91%+92%</t>
    <phoneticPr fontId="16" type="noConversion"/>
  </si>
  <si>
    <t>叩头之怒</t>
    <phoneticPr fontId="16" type="noConversion"/>
  </si>
  <si>
    <t>下砸</t>
    <phoneticPr fontId="16" type="noConversion"/>
  </si>
  <si>
    <t>接轻击剑身</t>
  </si>
  <si>
    <t>接轻击剑身</t>
    <phoneticPr fontId="16" type="noConversion"/>
  </si>
  <si>
    <t>接轻击剑气</t>
    <phoneticPr fontId="16" type="noConversion"/>
  </si>
  <si>
    <t>接重击剑身</t>
  </si>
  <si>
    <t>接重击剑身</t>
    <phoneticPr fontId="16" type="noConversion"/>
  </si>
  <si>
    <t>接重击剑气</t>
    <phoneticPr fontId="16" type="noConversion"/>
  </si>
  <si>
    <t>不长按拔起</t>
    <phoneticPr fontId="16" type="noConversion"/>
  </si>
  <si>
    <t>不长按波</t>
    <phoneticPr fontId="16" type="noConversion"/>
  </si>
  <si>
    <t>长按拔起</t>
    <phoneticPr fontId="16" type="noConversion"/>
  </si>
  <si>
    <t>长按波</t>
    <phoneticPr fontId="16" type="noConversion"/>
  </si>
  <si>
    <t>打击+魔</t>
    <phoneticPr fontId="16" type="noConversion"/>
  </si>
  <si>
    <t>约里的拷问</t>
    <phoneticPr fontId="16" type="noConversion"/>
  </si>
  <si>
    <t>血怪授血</t>
    <phoneticPr fontId="16" type="noConversion"/>
  </si>
  <si>
    <t>65×3</t>
    <phoneticPr fontId="16" type="noConversion"/>
  </si>
  <si>
    <t>65×5</t>
    <phoneticPr fontId="16" type="noConversion"/>
  </si>
  <si>
    <t>火焰骑士</t>
  </si>
  <si>
    <t>火焰骑士</t>
    <phoneticPr fontId="16" type="noConversion"/>
  </si>
  <si>
    <t>梅瑟莫的强攻</t>
    <phoneticPr fontId="16" type="noConversion"/>
  </si>
  <si>
    <t>一段</t>
    <phoneticPr fontId="16" type="noConversion"/>
  </si>
  <si>
    <t>一段本体</t>
    <phoneticPr fontId="16" type="noConversion"/>
  </si>
  <si>
    <t>一段火焰</t>
    <phoneticPr fontId="16" type="noConversion"/>
  </si>
  <si>
    <t>75%+76%+78%</t>
    <phoneticPr fontId="16" type="noConversion"/>
  </si>
  <si>
    <t>三段</t>
    <phoneticPr fontId="16" type="noConversion"/>
  </si>
  <si>
    <t>74%+140%+105%</t>
    <phoneticPr fontId="16" type="noConversion"/>
  </si>
  <si>
    <t>最后两段冲击力9（击飞）</t>
    <phoneticPr fontId="16" type="noConversion"/>
  </si>
  <si>
    <t>突刺+火</t>
    <phoneticPr fontId="16" type="noConversion"/>
  </si>
  <si>
    <t>20+20</t>
    <phoneticPr fontId="16" type="noConversion"/>
  </si>
  <si>
    <t>归于麾下</t>
    <phoneticPr fontId="16" type="noConversion"/>
  </si>
  <si>
    <t>增加11.5%伤害，减少7.5%受到伤害，持续45秒（队友有效）</t>
    <phoneticPr fontId="18" type="noConversion"/>
  </si>
  <si>
    <t>增加20%伤害，减少20%受到伤害，持续30秒（队友有效）</t>
    <phoneticPr fontId="16" type="noConversion"/>
  </si>
  <si>
    <t>萝蜜娜的解厄</t>
    <phoneticPr fontId="16" type="noConversion"/>
  </si>
  <si>
    <t>7+9</t>
    <phoneticPr fontId="16" type="noConversion"/>
  </si>
  <si>
    <t>王朝镰技</t>
    <phoneticPr fontId="16" type="noConversion"/>
  </si>
  <si>
    <t>90%+92%+97%</t>
    <phoneticPr fontId="16" type="noConversion"/>
  </si>
  <si>
    <t>100%+50%+150%</t>
  </si>
  <si>
    <t>痛击</t>
    <phoneticPr fontId="16" type="noConversion"/>
  </si>
  <si>
    <t>70%+130%</t>
    <phoneticPr fontId="16" type="noConversion"/>
  </si>
  <si>
    <t>打击</t>
    <phoneticPr fontId="16" type="noConversion"/>
  </si>
  <si>
    <t>贯穿毒手</t>
    <phoneticPr fontId="16" type="noConversion"/>
  </si>
  <si>
    <t>贯穿癫狂手</t>
    <phoneticPr fontId="16" type="noConversion"/>
  </si>
  <si>
    <t>打击+火</t>
    <phoneticPr fontId="16" type="noConversion"/>
  </si>
  <si>
    <t>斩击+魔</t>
    <phoneticPr fontId="16" type="noConversion"/>
  </si>
  <si>
    <t>剧毒：每秒扣血0.14%+14，持续30秒</t>
    <phoneticPr fontId="16" type="noConversion"/>
  </si>
  <si>
    <t>红熊猎法</t>
    <phoneticPr fontId="16" type="noConversion"/>
  </si>
  <si>
    <t>调香瓶类</t>
    <phoneticPr fontId="16" type="noConversion"/>
  </si>
  <si>
    <t>释放剧毒</t>
    <phoneticPr fontId="16" type="noConversion"/>
  </si>
  <si>
    <t>弓弩类</t>
    <phoneticPr fontId="16" type="noConversion"/>
  </si>
  <si>
    <t>怨魂射击</t>
    <phoneticPr fontId="16" type="noConversion"/>
  </si>
  <si>
    <t>相当于连续射击+宿灵射击</t>
    <phoneticPr fontId="16" type="noConversion"/>
  </si>
  <si>
    <t>扇形射击</t>
    <phoneticPr fontId="16" type="noConversion"/>
  </si>
  <si>
    <t>连射弩的射击</t>
    <phoneticPr fontId="16" type="noConversion"/>
  </si>
  <si>
    <t>一次最多可以射击12发</t>
    <phoneticPr fontId="16" type="noConversion"/>
  </si>
  <si>
    <t>弱小王的癫火</t>
    <phoneticPr fontId="16" type="noConversion"/>
  </si>
  <si>
    <t>法杖类</t>
    <phoneticPr fontId="16" type="noConversion"/>
  </si>
  <si>
    <t>火把类</t>
    <phoneticPr fontId="16" type="noConversion"/>
  </si>
  <si>
    <t>幸福遮眼</t>
    <phoneticPr fontId="16" type="noConversion"/>
  </si>
  <si>
    <t>每发1</t>
    <phoneticPr fontId="16" type="noConversion"/>
  </si>
  <si>
    <t>每次4</t>
    <phoneticPr fontId="18" type="noConversion"/>
  </si>
  <si>
    <t>永恒沉眠</t>
    <phoneticPr fontId="16" type="noConversion"/>
  </si>
  <si>
    <t>突刺</t>
    <phoneticPr fontId="16" type="noConversion"/>
  </si>
  <si>
    <t>飞盘投掷</t>
    <phoneticPr fontId="16" type="noConversion"/>
  </si>
  <si>
    <t>黑夜式奉还</t>
    <phoneticPr fontId="16" type="noConversion"/>
  </si>
  <si>
    <t>投掷</t>
  </si>
  <si>
    <t>投掷</t>
    <phoneticPr fontId="16" type="noConversion"/>
  </si>
  <si>
    <t>咆哮冲击</t>
    <phoneticPr fontId="16" type="noConversion"/>
  </si>
  <si>
    <t>贴脸150%/远125%</t>
    <phoneticPr fontId="16" type="noConversion"/>
  </si>
  <si>
    <t>穆尔的突击</t>
    <phoneticPr fontId="16" type="noConversion"/>
  </si>
  <si>
    <t>狮子</t>
  </si>
  <si>
    <t>狮子</t>
    <phoneticPr fontId="16" type="noConversion"/>
  </si>
  <si>
    <t>突进并大范围击退敌人，不造成伤害</t>
    <phoneticPr fontId="16" type="noConversion"/>
  </si>
  <si>
    <t>进入短暂无敌状态（但不免疫异常状态累积和异常伤害）</t>
    <phoneticPr fontId="18" type="noConversion"/>
  </si>
  <si>
    <t>扣血35点，使自身难以被发现并消除脚步声，持续30秒</t>
    <phoneticPr fontId="18" type="noConversion"/>
  </si>
  <si>
    <t>战灰</t>
    <phoneticPr fontId="18" type="noConversion"/>
  </si>
  <si>
    <t>*勇猛狮子斩</t>
  </si>
  <si>
    <t/>
  </si>
  <si>
    <t>68%+155%</t>
  </si>
  <si>
    <t>最后一段冲击力6（击倒）</t>
  </si>
  <si>
    <t>*重力旋刺</t>
  </si>
  <si>
    <t>33%×4+125%</t>
  </si>
  <si>
    <t>33%×3+125%</t>
  </si>
  <si>
    <t>最后一段冲击力4（大击退）</t>
  </si>
  <si>
    <t>*死角一击</t>
  </si>
  <si>
    <t>*大上段</t>
  </si>
  <si>
    <t>73%+83%+93%</t>
  </si>
  <si>
    <t>100%+100%+200%</t>
  </si>
  <si>
    <t>*野兽爪击</t>
  </si>
  <si>
    <t>80%+81%+73%+74%+75%+103%</t>
  </si>
  <si>
    <t>100%×2+50%×3+200%</t>
  </si>
  <si>
    <t>*野兽突袭</t>
  </si>
  <si>
    <t>75%+160%</t>
  </si>
  <si>
    <t>60%+200%</t>
  </si>
  <si>
    <t>*贯穿投掷</t>
  </si>
  <si>
    <t>*多重投掷</t>
  </si>
  <si>
    <t>同一敌人贴脸最多可命中4发</t>
  </si>
  <si>
    <t>*单翼架式</t>
  </si>
  <si>
    <t>83%+84%+87%</t>
  </si>
  <si>
    <t>*尊矣卡利亚</t>
  </si>
  <si>
    <t>剑284+波160</t>
  </si>
  <si>
    <t>37+11</t>
  </si>
  <si>
    <t>二段不蓄力</t>
  </si>
  <si>
    <t>*火焰穿刺</t>
  </si>
  <si>
    <t>为武器附魔95火攻击力，持续15秒</t>
  </si>
  <si>
    <t>*火焰枪</t>
  </si>
  <si>
    <t>不蓄力剑身</t>
  </si>
  <si>
    <t>为武器附魔95火攻击力，持续40秒</t>
  </si>
  <si>
    <t>不蓄力枪</t>
  </si>
  <si>
    <t>蓄力剑身</t>
  </si>
  <si>
    <t>蓄力枪</t>
  </si>
  <si>
    <t>*唤起灵火</t>
  </si>
  <si>
    <t>剑身</t>
  </si>
  <si>
    <t>比死亡勾棒伤害低了太多太多，非常不建议使用</t>
  </si>
  <si>
    <t>灵火</t>
  </si>
  <si>
    <t>*神兽冻霜踏地</t>
  </si>
  <si>
    <t>*悲恸惨叫</t>
  </si>
  <si>
    <t>*落叶旋风脚</t>
  </si>
  <si>
    <t>120%+91%×2+140%</t>
  </si>
  <si>
    <t>200%+50%×2+400%</t>
  </si>
  <si>
    <t>*四面火花香</t>
  </si>
  <si>
    <t>起手10%每次，爆炸55%每次</t>
  </si>
  <si>
    <t>*串联火花香</t>
  </si>
  <si>
    <t>起手10%每次，爆炸82%每次</t>
  </si>
  <si>
    <t>*盾牌攻击</t>
  </si>
  <si>
    <t>盾牌在左手时按L2可进行攻击</t>
  </si>
  <si>
    <t>*埃贡的猎龙</t>
  </si>
  <si>
    <t>攻击倍率（A类)</t>
  </si>
  <si>
    <t>通用</t>
    <phoneticPr fontId="16" type="noConversion"/>
  </si>
  <si>
    <t>*托莉娜暗剑</t>
  </si>
  <si>
    <t>永眠烟雾</t>
  </si>
  <si>
    <t>70永眠值</t>
  </si>
  <si>
    <t>为武器附魔15永眠值，持续20秒</t>
  </si>
  <si>
    <t>*光明剑</t>
  </si>
  <si>
    <t>光明</t>
  </si>
  <si>
    <t>每次61</t>
  </si>
  <si>
    <t>使用后圣属性伤害提升20%，持续60秒</t>
  </si>
  <si>
    <t>*黑暗剑</t>
  </si>
  <si>
    <t>冲击力11（龙息击倒）；命中敌人使其受到圣属性伤害增加20%，持续60秒</t>
  </si>
  <si>
    <t>轻大剑类</t>
  </si>
  <si>
    <t>*蕾妲的剑</t>
  </si>
  <si>
    <t>贯刺针</t>
  </si>
  <si>
    <t>78%+38%×10</t>
  </si>
  <si>
    <t>150%+20%×10</t>
  </si>
  <si>
    <t>命中后解除目标所有临时状态</t>
  </si>
  <si>
    <t>*蕾娜菈的对剑</t>
  </si>
  <si>
    <t>月与火的架式</t>
  </si>
  <si>
    <t>轻击一段剑身</t>
  </si>
  <si>
    <t>50%+51%（普通、魔）</t>
  </si>
  <si>
    <t>50%×2</t>
  </si>
  <si>
    <t>轻击一段光波</t>
  </si>
  <si>
    <t>200%+200%（魔）</t>
  </si>
  <si>
    <t>轻击二段剑身</t>
  </si>
  <si>
    <t>52%+53%（普通、魔）</t>
  </si>
  <si>
    <t>轻击二段光波</t>
  </si>
  <si>
    <t>轻击三段剑身</t>
  </si>
  <si>
    <t>55%（普通、魔）</t>
  </si>
  <si>
    <t>轻击三段光波</t>
  </si>
  <si>
    <t>300%（魔）</t>
  </si>
  <si>
    <t>重击剑身</t>
  </si>
  <si>
    <t>25%×3（普通、火）</t>
  </si>
  <si>
    <t>50%×3</t>
  </si>
  <si>
    <t>普通+魔+火</t>
  </si>
  <si>
    <t>重击火焰</t>
  </si>
  <si>
    <t>220%+226%+250%+持续120%（火）</t>
  </si>
  <si>
    <t>100%×3+持续100%</t>
  </si>
  <si>
    <t>*孤牢大剑</t>
  </si>
  <si>
    <t>孤月斩</t>
  </si>
  <si>
    <t>剑身50%+波130%</t>
  </si>
  <si>
    <t>100%+200%</t>
  </si>
  <si>
    <t>*永罚大剑</t>
  </si>
  <si>
    <t>黄金穿刺</t>
  </si>
  <si>
    <t>触发处决</t>
  </si>
  <si>
    <t>未触发处决</t>
  </si>
  <si>
    <t>冲击力9（击飞）</t>
  </si>
  <si>
    <t>*穆利缇尔的骑士剑</t>
  </si>
  <si>
    <t>75×3</t>
  </si>
  <si>
    <t>*古铁陨石大剑</t>
  </si>
  <si>
    <t>白光突袭</t>
  </si>
  <si>
    <t>冲击力4（大击退）</t>
  </si>
  <si>
    <t>*拉塔恩的大剑（王）</t>
  </si>
  <si>
    <t>约定之王</t>
  </si>
  <si>
    <t>一段、二段剑身</t>
  </si>
  <si>
    <t>20+10</t>
  </si>
  <si>
    <t>[81%+20圣]+[83%+20圣]</t>
  </si>
  <si>
    <t>200%+50%</t>
  </si>
  <si>
    <t>普通+魔+圣</t>
  </si>
  <si>
    <t>一段、二段光柱</t>
  </si>
  <si>
    <t>每次31</t>
  </si>
  <si>
    <t>三段剑身</t>
  </si>
  <si>
    <t>[57%，20圣]+[61%，20圣]×2</t>
  </si>
  <si>
    <t>150%+50%+50%</t>
  </si>
  <si>
    <t>三段光柱</t>
  </si>
  <si>
    <t>每次135</t>
  </si>
  <si>
    <t>*拉塔恩的大剑（光）</t>
  </si>
  <si>
    <t>光速斩</t>
  </si>
  <si>
    <t>不蓄力冲刺</t>
  </si>
  <si>
    <t>[98%，20圣]</t>
  </si>
  <si>
    <t>不蓄力光柱</t>
  </si>
  <si>
    <t>每条29或14</t>
  </si>
  <si>
    <t>1或0</t>
  </si>
  <si>
    <t>信仰补正圣，基础补正80%</t>
  </si>
  <si>
    <t>蓄力冲刺</t>
  </si>
  <si>
    <t>[131%，20圣]</t>
  </si>
  <si>
    <t>蓄力光柱</t>
  </si>
  <si>
    <t>每条34或16</t>
  </si>
  <si>
    <t>*灵魂剑</t>
  </si>
  <si>
    <t>怨魂斩</t>
  </si>
  <si>
    <t>80%×2</t>
  </si>
  <si>
    <t>85%×2</t>
  </si>
  <si>
    <t>施放时自带20魔攻击力附魔</t>
  </si>
  <si>
    <t>一段怨灵</t>
  </si>
  <si>
    <t>42×2</t>
  </si>
  <si>
    <t>1×2</t>
  </si>
  <si>
    <t>二段怨灵</t>
  </si>
  <si>
    <t>*镰型刀</t>
  </si>
  <si>
    <t>复仇之刃</t>
  </si>
  <si>
    <t>125%×2</t>
  </si>
  <si>
    <t>50%×5+%143%×2</t>
  </si>
  <si>
    <t>70%×7</t>
  </si>
  <si>
    <t>*拉纳舞蹈剑</t>
  </si>
  <si>
    <t>无尽之舞</t>
  </si>
  <si>
    <t>舞蹈</t>
  </si>
  <si>
    <t>74%+90%</t>
  </si>
  <si>
    <t>30%+40%</t>
  </si>
  <si>
    <t>74%+74%</t>
  </si>
  <si>
    <t>四段</t>
  </si>
  <si>
    <t>110%+120%</t>
  </si>
  <si>
    <t>60%+70%</t>
  </si>
  <si>
    <t>五段</t>
  </si>
  <si>
    <t>90%+70%</t>
  </si>
  <si>
    <t>40%+50%</t>
  </si>
  <si>
    <t>六段</t>
  </si>
  <si>
    <t>120%+74%</t>
  </si>
  <si>
    <t>70%+30%</t>
  </si>
  <si>
    <t>六段之后从一段重新开始</t>
  </si>
  <si>
    <t>*角战士曲剑</t>
  </si>
  <si>
    <t>角降临</t>
  </si>
  <si>
    <t>角</t>
  </si>
  <si>
    <t>*角战士大曲剑</t>
  </si>
  <si>
    <t>角降临之风暴</t>
  </si>
  <si>
    <t>84%+85%</t>
  </si>
  <si>
    <t>一段风暴</t>
  </si>
  <si>
    <t>35×2</t>
  </si>
  <si>
    <t>86%+87%</t>
  </si>
  <si>
    <t>二段风暴</t>
  </si>
  <si>
    <t>88%+89%</t>
  </si>
  <si>
    <t>最后一段冲击力7（击退）</t>
  </si>
  <si>
    <t>三段风暴</t>
  </si>
  <si>
    <t>反手剑类</t>
  </si>
  <si>
    <t>*咒剑士圆刃刀</t>
  </si>
  <si>
    <t>灾厄之舞</t>
  </si>
  <si>
    <t>114%×2</t>
  </si>
  <si>
    <t>10×2</t>
  </si>
  <si>
    <t>3×2</t>
  </si>
  <si>
    <t>舞蹈
踢击</t>
  </si>
  <si>
    <t>夜暗斩击</t>
  </si>
  <si>
    <t>85%+86%+90%</t>
  </si>
  <si>
    <t>70%×2+130%</t>
  </si>
  <si>
    <t>97%+98%+110%</t>
  </si>
  <si>
    <t>140%×2+200%</t>
  </si>
  <si>
    <t>*连星剑</t>
  </si>
  <si>
    <t>翁吉的连星</t>
  </si>
  <si>
    <t>82%+83%</t>
  </si>
  <si>
    <t>100%+50%</t>
  </si>
  <si>
    <t>97%+99%</t>
  </si>
  <si>
    <t>75%+75%</t>
  </si>
  <si>
    <t>75%+140%</t>
  </si>
  <si>
    <t>50%+250%</t>
  </si>
  <si>
    <t>大刀类</t>
  </si>
  <si>
    <t>*罗刹大刀</t>
  </si>
  <si>
    <t>割草</t>
  </si>
  <si>
    <t>98%+106%</t>
  </si>
  <si>
    <t>三段循环，倍率完全一样</t>
  </si>
  <si>
    <t>*艾珀莉亚</t>
  </si>
  <si>
    <t>艾珀莉亚漩涡</t>
  </si>
  <si>
    <t>0档</t>
  </si>
  <si>
    <t>79%×5</t>
  </si>
  <si>
    <t>25%×5</t>
  </si>
  <si>
    <t>1档剑身</t>
  </si>
  <si>
    <t>1档剑气</t>
  </si>
  <si>
    <t>41×4+45</t>
  </si>
  <si>
    <t>50%×4+100%</t>
  </si>
  <si>
    <t>最后一下冲击力7（击退）</t>
  </si>
  <si>
    <t>2档剑身</t>
  </si>
  <si>
    <t>35%×11</t>
  </si>
  <si>
    <t>25%×11</t>
  </si>
  <si>
    <t>2档剑气</t>
  </si>
  <si>
    <t>37×13+42</t>
  </si>
  <si>
    <t>65%×13+100%</t>
  </si>
  <si>
    <t>*分叉蛇手斧</t>
  </si>
  <si>
    <t>龙形火焰</t>
  </si>
  <si>
    <t>火焰90，地面40</t>
  </si>
  <si>
    <t>*死骑士对斧</t>
  </si>
  <si>
    <t>瞬雷之对斧</t>
  </si>
  <si>
    <t>100%×6</t>
  </si>
  <si>
    <t>*波尼肢解菜刀</t>
  </si>
  <si>
    <t>磨刀</t>
  </si>
  <si>
    <t>为武器附魔，提升武器6%伤害，武器命中后回血量由1%提升至2%，持续40秒</t>
  </si>
  <si>
    <t>*死骑士长柄斧</t>
  </si>
  <si>
    <t>瞬雷之长柄斧</t>
  </si>
  <si>
    <t>*融泥大柴刀</t>
  </si>
  <si>
    <t>回旋断首</t>
  </si>
  <si>
    <t>78%+79%+82%</t>
  </si>
  <si>
    <t>100%+50%+100%</t>
  </si>
  <si>
    <t>81%+83%+90%</t>
  </si>
  <si>
    <t>150%+150%+300%</t>
  </si>
  <si>
    <t>*花岩槌</t>
  </si>
  <si>
    <t>花之龙雷</t>
  </si>
  <si>
    <t>感应补正雷伤，且补正很高（基础100%）</t>
  </si>
  <si>
    <t>*蛇连枷</t>
  </si>
  <si>
    <t>蛇啊，燃烧吧</t>
  </si>
  <si>
    <t>为武器附魔90火攻击力，持续30秒，持续时间内使用武器砸地将引爆</t>
  </si>
  <si>
    <t>类似于血源的轰天锤</t>
  </si>
  <si>
    <t>重击或跳劈引爆</t>
  </si>
  <si>
    <t>蓄力重击引爆</t>
  </si>
  <si>
    <t>削韧倍率/削韧
（基础：特大斧6，特大锤7.5）</t>
  </si>
  <si>
    <t>*铁砧大锤</t>
  </si>
  <si>
    <t>锻造术之矛</t>
  </si>
  <si>
    <t>90%+128%+50%</t>
  </si>
  <si>
    <t>打击/突刺+火</t>
  </si>
  <si>
    <t>*泥盆亚的大槌</t>
  </si>
  <si>
    <t>泥盆亚的漩涡</t>
  </si>
  <si>
    <t>45%*2+155%</t>
  </si>
  <si>
    <t>100%*2+300%</t>
  </si>
  <si>
    <t>55%*2+185%</t>
  </si>
  <si>
    <t>100%*2+400%</t>
  </si>
  <si>
    <t>*影轮草大花</t>
  </si>
  <si>
    <t>影轮草头槌</t>
  </si>
  <si>
    <t>91%+92%</t>
  </si>
  <si>
    <t>本体冲击力6（击倒），爆炸冲击力7（击退）</t>
  </si>
  <si>
    <t>*凝望指头</t>
  </si>
  <si>
    <t>叩头之怒</t>
  </si>
  <si>
    <t>不长按拔起</t>
  </si>
  <si>
    <t>不长按波</t>
  </si>
  <si>
    <t>长按拔起</t>
  </si>
  <si>
    <t>长按波</t>
  </si>
  <si>
    <t>*倒刺杖矛</t>
  </si>
  <si>
    <t>约里的拷问</t>
  </si>
  <si>
    <t>每发59</t>
  </si>
  <si>
    <t>每发3</t>
  </si>
  <si>
    <t>可持续施放，最多耗蓝42</t>
  </si>
  <si>
    <t>*血怪圣矛</t>
  </si>
  <si>
    <t>血怪授血</t>
  </si>
  <si>
    <t>65×3</t>
  </si>
  <si>
    <t>3×3</t>
  </si>
  <si>
    <t>65×5</t>
  </si>
  <si>
    <t>3×5</t>
  </si>
  <si>
    <t>*穿刺者矛</t>
  </si>
  <si>
    <t>梅瑟莫的强攻</t>
  </si>
  <si>
    <t>一段火焰</t>
  </si>
  <si>
    <t>75%+76%+78%</t>
  </si>
  <si>
    <t>130%×3</t>
  </si>
  <si>
    <t>74%+140%+105%</t>
  </si>
  <si>
    <t>最后两段冲击力9（击飞）</t>
  </si>
  <si>
    <t>*灵魂剑刃戟</t>
  </si>
  <si>
    <t>*花蕾刀</t>
  </si>
  <si>
    <t>萝蜜娜的解厄</t>
  </si>
  <si>
    <t>112%+105%+蝴蝶25%</t>
  </si>
  <si>
    <t>170%+220%+蝴蝶40%</t>
  </si>
  <si>
    <t>斩击/普通</t>
  </si>
  <si>
    <t>*黑曜薄刀</t>
  </si>
  <si>
    <t>王朝镰技</t>
  </si>
  <si>
    <t>7+9</t>
  </si>
  <si>
    <t>90%+92%+97%</t>
  </si>
  <si>
    <t>*畸齿软鞭</t>
  </si>
  <si>
    <t>痛击</t>
  </si>
  <si>
    <t>70%+130%</t>
  </si>
  <si>
    <t>70%+200%</t>
  </si>
  <si>
    <t>命中后使目标精力回复降低8点/秒，持续30秒</t>
  </si>
  <si>
    <t>削韧倍率/削韧
（基础：拳套5，拳剑5，钩爪4，格斗术4，兽爪4）</t>
  </si>
  <si>
    <t>*毒皮手套</t>
  </si>
  <si>
    <t>贯穿毒手</t>
  </si>
  <si>
    <t>150%，额外附带155中毒值（固定值）</t>
  </si>
  <si>
    <t>剧毒：每秒扣血0.14%+14，持续30秒</t>
  </si>
  <si>
    <t>*癫狂皮手套</t>
  </si>
  <si>
    <t>贯穿癫狂手</t>
  </si>
  <si>
    <t>150%，额外附带250发狂值（固定值）</t>
  </si>
  <si>
    <t>*休里耶的暗针</t>
  </si>
  <si>
    <t>永恒沉眠</t>
  </si>
  <si>
    <t>150%，额外附带55永眠值，对永眠的敌人造成额外6.5%+300伤害</t>
  </si>
  <si>
    <t>*红熊爪</t>
  </si>
  <si>
    <t>红熊猎法</t>
  </si>
  <si>
    <t>126%+51%×2</t>
  </si>
  <si>
    <t>200%+30%×2</t>
  </si>
  <si>
    <t>117%+51%×2</t>
  </si>
  <si>
    <t>78%×2+45%×2</t>
  </si>
  <si>
    <t>115%×2+30%×2</t>
  </si>
  <si>
    <t>调香瓶类</t>
  </si>
  <si>
    <t>*剧毒调香瓶</t>
  </si>
  <si>
    <t>释放剧毒</t>
  </si>
  <si>
    <t>烟雾内每0.3秒叠加一次中毒条（对自己也有效）</t>
  </si>
  <si>
    <t>弓弩类</t>
  </si>
  <si>
    <t>削韧倍率/削韧
（基础：小箭2，大箭7，魔像大箭10）</t>
  </si>
  <si>
    <t>*骸骨弓</t>
  </si>
  <si>
    <t>怨魂射击</t>
  </si>
  <si>
    <t>相当于连续射击+宿灵射击</t>
  </si>
  <si>
    <t>*安帕赫的长弓</t>
  </si>
  <si>
    <t>扇形射击</t>
  </si>
  <si>
    <t>一次消耗8根箭，命中同一目标不能重复造成伤害</t>
  </si>
  <si>
    <t>*连射弩</t>
  </si>
  <si>
    <t>连射弩的射击</t>
  </si>
  <si>
    <t>每发78%（物理）110%（其他属性）</t>
  </si>
  <si>
    <t>50%每发</t>
  </si>
  <si>
    <t>一次最多可以射击12发</t>
  </si>
  <si>
    <t>火把类</t>
  </si>
  <si>
    <t>削韧倍率/削韧
（基础：5.75）</t>
  </si>
  <si>
    <t>*娜娜亚烛火</t>
  </si>
  <si>
    <t>弱小王的癫火</t>
  </si>
  <si>
    <t>每发[21，40发狂值]</t>
  </si>
  <si>
    <t>每发1</t>
  </si>
  <si>
    <t>自身累积3发狂值每发；无限施放</t>
  </si>
  <si>
    <t>*喟叹头颅</t>
  </si>
  <si>
    <t>幸福遮眼</t>
  </si>
  <si>
    <t>难以被敌人发现，持续15秒</t>
  </si>
  <si>
    <t>削韧倍率/削韧
（基础：小盾5，中盾5.5，大盾6，突刺盾5.5）</t>
  </si>
  <si>
    <t>*流纹盾</t>
  </si>
  <si>
    <t>飞盘投掷</t>
  </si>
  <si>
    <t>*黑夜盾</t>
  </si>
  <si>
    <t>黑夜式奉还</t>
  </si>
  <si>
    <t>32/防御后使用87</t>
  </si>
  <si>
    <t>3/防御后使用10</t>
  </si>
  <si>
    <t>敏捷补正魔属性，基础补正80%</t>
  </si>
  <si>
    <t>*黄金狮子盾</t>
  </si>
  <si>
    <t>咆哮冲击</t>
  </si>
  <si>
    <t>贴脸150%/远125%</t>
  </si>
  <si>
    <t>*铜绿大盾</t>
  </si>
  <si>
    <t>穆尔的突击</t>
  </si>
  <si>
    <t>突进并大范围击退敌人，不造成伤害</t>
  </si>
  <si>
    <t>A</t>
    <phoneticPr fontId="16" type="noConversion"/>
  </si>
  <si>
    <t>咆哮</t>
    <phoneticPr fontId="16" type="noConversion"/>
  </si>
  <si>
    <t>第一段无视盾牌；重击均不属于战技</t>
    <phoneticPr fontId="16" type="noConversion"/>
  </si>
  <si>
    <t>重击2</t>
    <phoneticPr fontId="16" type="noConversion"/>
  </si>
  <si>
    <t>蓄力重击2</t>
    <phoneticPr fontId="16" type="noConversion"/>
  </si>
  <si>
    <t>重击1踏地</t>
    <phoneticPr fontId="16" type="noConversion"/>
  </si>
  <si>
    <t>重击1挥砍</t>
    <phoneticPr fontId="16" type="noConversion"/>
  </si>
  <si>
    <t>蓄力重击1踏地</t>
    <phoneticPr fontId="16" type="noConversion"/>
  </si>
  <si>
    <t>蓄力重击1挥砍</t>
    <phoneticPr fontId="16" type="noConversion"/>
  </si>
  <si>
    <t>DLC新增专属战技</t>
    <phoneticPr fontId="18" type="noConversion"/>
  </si>
  <si>
    <t>DLC新增战灰战技</t>
    <phoneticPr fontId="18" type="noConversion"/>
  </si>
  <si>
    <t>*熔炉百相之羽</t>
  </si>
  <si>
    <t>45%×2+60%×2+65%×2（双头剑）
210%（其他武器）</t>
  </si>
  <si>
    <t>50%×6（双头剑）
400%（其他武器）</t>
  </si>
  <si>
    <t>*瞬雷</t>
    <phoneticPr fontId="18" type="noConversion"/>
  </si>
  <si>
    <t>*双刺毒花</t>
    <phoneticPr fontId="18" type="noConversion"/>
  </si>
  <si>
    <r>
      <t>[30，</t>
    </r>
    <r>
      <rPr>
        <sz val="11"/>
        <color theme="8" tint="-0.249977111117893"/>
        <rFont val="微软雅黑"/>
        <family val="2"/>
        <charset val="134"/>
      </rPr>
      <t>20冰冻值</t>
    </r>
    <r>
      <rPr>
        <sz val="11"/>
        <color rgb="FF000000"/>
        <rFont val="微软雅黑"/>
        <family val="2"/>
        <charset val="134"/>
      </rPr>
      <t>]×4</t>
    </r>
    <phoneticPr fontId="18" type="noConversion"/>
  </si>
  <si>
    <r>
      <t>蔓延[50，</t>
    </r>
    <r>
      <rPr>
        <sz val="11"/>
        <color theme="8" tint="-0.249977111117893"/>
        <rFont val="微软雅黑"/>
        <family val="2"/>
        <charset val="134"/>
      </rPr>
      <t>20冰冻值</t>
    </r>
    <r>
      <rPr>
        <sz val="11"/>
        <color rgb="FF000000"/>
        <rFont val="微软雅黑"/>
        <family val="2"/>
        <charset val="134"/>
      </rPr>
      <t>]+持续[20，</t>
    </r>
    <r>
      <rPr>
        <sz val="11"/>
        <color theme="8" tint="-0.249977111117893"/>
        <rFont val="微软雅黑"/>
        <family val="2"/>
        <charset val="134"/>
      </rPr>
      <t>20冰冻值</t>
    </r>
    <r>
      <rPr>
        <sz val="11"/>
        <color rgb="FF000000"/>
        <rFont val="微软雅黑"/>
        <family val="2"/>
        <charset val="134"/>
      </rPr>
      <t>]</t>
    </r>
    <phoneticPr fontId="18" type="noConversion"/>
  </si>
  <si>
    <r>
      <t>[130，</t>
    </r>
    <r>
      <rPr>
        <sz val="11"/>
        <color theme="8" tint="-0.249977111117893"/>
        <rFont val="微软雅黑"/>
        <family val="2"/>
        <charset val="134"/>
      </rPr>
      <t>70冰冻值</t>
    </r>
    <r>
      <rPr>
        <sz val="11"/>
        <color rgb="FF000000"/>
        <rFont val="微软雅黑"/>
        <family val="2"/>
        <charset val="134"/>
      </rPr>
      <t>]+[30，</t>
    </r>
    <r>
      <rPr>
        <sz val="11"/>
        <color theme="8" tint="-0.249977111117893"/>
        <rFont val="微软雅黑"/>
        <family val="2"/>
        <charset val="134"/>
      </rPr>
      <t>70冰冻值</t>
    </r>
    <r>
      <rPr>
        <sz val="11"/>
        <color rgb="FF000000"/>
        <rFont val="微软雅黑"/>
        <family val="2"/>
        <charset val="134"/>
      </rPr>
      <t>]+引爆</t>
    </r>
    <r>
      <rPr>
        <sz val="11"/>
        <color theme="8" tint="-0.249977111117893"/>
        <rFont val="微软雅黑"/>
        <family val="2"/>
        <charset val="134"/>
      </rPr>
      <t>110冰冻值</t>
    </r>
    <phoneticPr fontId="18" type="noConversion"/>
  </si>
  <si>
    <r>
      <t>[80，</t>
    </r>
    <r>
      <rPr>
        <sz val="11"/>
        <color theme="8" tint="-0.249977111117893"/>
        <rFont val="微软雅黑"/>
        <family val="2"/>
        <charset val="134"/>
      </rPr>
      <t>80冰冻值</t>
    </r>
    <r>
      <rPr>
        <sz val="11"/>
        <color rgb="FF000000"/>
        <rFont val="微软雅黑"/>
        <family val="2"/>
        <charset val="134"/>
      </rPr>
      <t>]</t>
    </r>
    <phoneticPr fontId="18" type="noConversion"/>
  </si>
  <si>
    <r>
      <t>[180，70</t>
    </r>
    <r>
      <rPr>
        <sz val="11"/>
        <color theme="8" tint="-0.249977111117893"/>
        <rFont val="微软雅黑"/>
        <family val="2"/>
        <charset val="134"/>
      </rPr>
      <t>冰冻值</t>
    </r>
    <r>
      <rPr>
        <sz val="11"/>
        <color rgb="FF000000"/>
        <rFont val="微软雅黑"/>
        <family val="2"/>
        <charset val="134"/>
      </rPr>
      <t>]+[45，</t>
    </r>
    <r>
      <rPr>
        <sz val="11"/>
        <color theme="8" tint="-0.249977111117893"/>
        <rFont val="微软雅黑"/>
        <family val="2"/>
        <charset val="134"/>
      </rPr>
      <t>70冰冻值</t>
    </r>
    <r>
      <rPr>
        <sz val="11"/>
        <color rgb="FF000000"/>
        <rFont val="微软雅黑"/>
        <family val="2"/>
        <charset val="134"/>
      </rPr>
      <t>]+引爆</t>
    </r>
    <r>
      <rPr>
        <sz val="11"/>
        <color theme="8" tint="-0.249977111117893"/>
        <rFont val="微软雅黑"/>
        <family val="2"/>
        <charset val="134"/>
      </rPr>
      <t>110冰冻值</t>
    </r>
    <phoneticPr fontId="18" type="noConversion"/>
  </si>
  <si>
    <t>*黑夜刀</t>
    <phoneticPr fontId="18" type="noConversion"/>
  </si>
  <si>
    <t>*猎龙大刀</t>
  </si>
  <si>
    <t>伤龙斩</t>
  </si>
  <si>
    <t>伤龙斩</t>
    <phoneticPr fontId="16" type="noConversion"/>
  </si>
  <si>
    <t>不蓄力</t>
    <phoneticPr fontId="16" type="noConversion"/>
  </si>
  <si>
    <t>65%+191%</t>
  </si>
  <si>
    <t>300%+300%</t>
  </si>
  <si>
    <t>92%×2+120%</t>
    <phoneticPr fontId="18" type="noConversion"/>
  </si>
  <si>
    <t>104%×2+160%</t>
    <phoneticPr fontId="18" type="noConversion"/>
  </si>
  <si>
    <t>100%×3</t>
    <phoneticPr fontId="18" type="noConversion"/>
  </si>
  <si>
    <t>300%×2+100%</t>
    <phoneticPr fontId="18" type="noConversion"/>
  </si>
  <si>
    <t>第一段结束后增加武器15%物理攻击力、50%削精、10%削韧、持续60秒</t>
    <phoneticPr fontId="18" type="noConversion"/>
  </si>
  <si>
    <t>最后一段冲击力4（大击退）</t>
    <phoneticPr fontId="18" type="noConversion"/>
  </si>
  <si>
    <t>该武器的叠档机制：25/50累计值时为武器附魔35/80圣攻击力</t>
    <phoneticPr fontId="18" type="noConversion"/>
  </si>
  <si>
    <t>无视盾牌；为武器附魔30火攻击力，持续20秒；战技每段异常倍率分别为40%、50%、60%</t>
    <phoneticPr fontId="16" type="noConversion"/>
  </si>
  <si>
    <r>
      <t>自身累积</t>
    </r>
    <r>
      <rPr>
        <sz val="11"/>
        <color theme="7" tint="-0.499984740745262"/>
        <rFont val="微软雅黑"/>
        <family val="2"/>
        <charset val="134"/>
      </rPr>
      <t>3发狂值</t>
    </r>
    <r>
      <rPr>
        <sz val="11"/>
        <color rgb="FF000000"/>
        <rFont val="微软雅黑"/>
        <family val="2"/>
        <charset val="134"/>
      </rPr>
      <t>每发；无限施放</t>
    </r>
    <phoneticPr fontId="16" type="noConversion"/>
  </si>
  <si>
    <t>一次消耗8根箭，命中同一目标最多命中2发</t>
    <phoneticPr fontId="16" type="noConversion"/>
  </si>
  <si>
    <t>同一敌人贴脸最多可命中8发</t>
    <phoneticPr fontId="18" type="noConversion"/>
  </si>
  <si>
    <t>多重投掷</t>
    <phoneticPr fontId="16" type="noConversion"/>
  </si>
  <si>
    <t>A</t>
    <phoneticPr fontId="16" type="noConversion"/>
  </si>
  <si>
    <t>每发70%</t>
    <phoneticPr fontId="16" type="noConversion"/>
  </si>
  <si>
    <t>41×8+45</t>
    <phoneticPr fontId="16" type="noConversion"/>
  </si>
  <si>
    <t>37×26+42</t>
    <phoneticPr fontId="16" type="noConversion"/>
  </si>
  <si>
    <t>不蓄力：爆炸7
蓄力：爆炸10</t>
  </si>
  <si>
    <t>65%/66%/67%</t>
    <phoneticPr fontId="18" type="noConversion"/>
  </si>
  <si>
    <t>同攻击倍率</t>
    <phoneticPr fontId="18" type="noConversion"/>
  </si>
  <si>
    <t>不蓄力：每次92
蓄力：每次110</t>
    <phoneticPr fontId="16" type="noConversion"/>
  </si>
  <si>
    <t>每发36</t>
    <phoneticPr fontId="16" type="noConversion"/>
  </si>
  <si>
    <t>本体297/溅射242</t>
    <phoneticPr fontId="16" type="noConversion"/>
  </si>
  <si>
    <t>每次突进64+爆炸260</t>
    <phoneticPr fontId="16" type="noConversion"/>
  </si>
  <si>
    <t>每次突进2+爆炸10.175</t>
    <phoneticPr fontId="16" type="noConversion"/>
  </si>
  <si>
    <t>无限施放</t>
    <phoneticPr fontId="16" type="noConversion"/>
  </si>
  <si>
    <t>无限施放；亚兹勒头增伤15%</t>
    <phoneticPr fontId="16" type="noConversion"/>
  </si>
  <si>
    <t>不蓄力：182
蓄力：230</t>
    <phoneticPr fontId="16" type="noConversion"/>
  </si>
  <si>
    <t>不蓄力：4×3
蓄力：6×3</t>
    <phoneticPr fontId="16" type="noConversion"/>
  </si>
  <si>
    <t>100×3</t>
    <phoneticPr fontId="16" type="noConversion"/>
  </si>
  <si>
    <t>不蓄力：108×4
蓄力：127×4，增加射程</t>
    <phoneticPr fontId="16" type="noConversion"/>
  </si>
  <si>
    <t>月亮300×2+砸地400</t>
    <phoneticPr fontId="16" type="noConversion"/>
  </si>
  <si>
    <t>10×3</t>
    <phoneticPr fontId="16" type="noConversion"/>
  </si>
  <si>
    <t>砸地冲击力9（击飞）</t>
    <phoneticPr fontId="16" type="noConversion"/>
  </si>
  <si>
    <t>蓄力冲击力7（击退）</t>
    <phoneticPr fontId="16" type="noConversion"/>
  </si>
  <si>
    <t>不蓄力：210+岩浆48
蓄力：250+岩浆53</t>
    <phoneticPr fontId="16" type="noConversion"/>
  </si>
  <si>
    <t>格密尔
熔岩</t>
    <phoneticPr fontId="16" type="noConversion"/>
  </si>
  <si>
    <t>不蓄力：直击234/爆炸318+岩浆43
蓄力：直击325/爆炸390+岩浆48</t>
    <phoneticPr fontId="16" type="noConversion"/>
  </si>
  <si>
    <t>不蓄力：直击5.1/爆炸10.175
蓄力：9.25直击/18爆炸</t>
    <phoneticPr fontId="16" type="noConversion"/>
  </si>
  <si>
    <t>格密尔</t>
    <phoneticPr fontId="16" type="noConversion"/>
  </si>
  <si>
    <r>
      <t>不蓄力：[99，</t>
    </r>
    <r>
      <rPr>
        <sz val="11"/>
        <color rgb="FF2F5597"/>
        <rFont val="微软雅黑"/>
        <family val="2"/>
        <charset val="134"/>
      </rPr>
      <t>80冰冻值</t>
    </r>
    <r>
      <rPr>
        <sz val="11"/>
        <rFont val="微软雅黑"/>
        <family val="2"/>
        <charset val="134"/>
      </rPr>
      <t>]+[74，</t>
    </r>
    <r>
      <rPr>
        <sz val="11"/>
        <color theme="4" tint="-0.499984740745262"/>
        <rFont val="微软雅黑"/>
        <family val="2"/>
        <charset val="134"/>
      </rPr>
      <t>80冰冻值</t>
    </r>
    <r>
      <rPr>
        <sz val="11"/>
        <rFont val="微软雅黑"/>
        <family val="2"/>
        <charset val="134"/>
      </rPr>
      <t>]×5</t>
    </r>
    <r>
      <rPr>
        <sz val="11"/>
        <color rgb="FF000000"/>
        <rFont val="微软雅黑"/>
        <family val="2"/>
        <charset val="134"/>
      </rPr>
      <t xml:space="preserve">
蓄力：[104，</t>
    </r>
    <r>
      <rPr>
        <sz val="11"/>
        <color theme="8" tint="-0.249977111117893"/>
        <rFont val="微软雅黑"/>
        <family val="2"/>
        <charset val="134"/>
      </rPr>
      <t>80冰冻值</t>
    </r>
    <r>
      <rPr>
        <sz val="11"/>
        <color rgb="FF000000"/>
        <rFont val="微软雅黑"/>
        <family val="2"/>
        <charset val="134"/>
      </rPr>
      <t>]+[79，</t>
    </r>
    <r>
      <rPr>
        <sz val="11"/>
        <color rgb="FF2F5597"/>
        <rFont val="微软雅黑"/>
        <family val="2"/>
        <charset val="134"/>
      </rPr>
      <t>80冰冻值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>×8</t>
    </r>
    <phoneticPr fontId="16" type="noConversion"/>
  </si>
  <si>
    <t>冰魔法
风暴</t>
    <phoneticPr fontId="16" type="noConversion"/>
  </si>
  <si>
    <t>不蓄力：8+2×5
蓄力：10.175+3.7×8</t>
    <phoneticPr fontId="16" type="noConversion"/>
  </si>
  <si>
    <t>不蓄力：吸引30×2+爆炸279
蓄力：吸引40×3+爆炸338</t>
    <phoneticPr fontId="16" type="noConversion"/>
  </si>
  <si>
    <t>3×2+10</t>
    <phoneticPr fontId="16" type="noConversion"/>
  </si>
  <si>
    <t>爆炸冲击力4（大击退）</t>
    <phoneticPr fontId="16" type="noConversion"/>
  </si>
  <si>
    <t>每次8</t>
    <phoneticPr fontId="16" type="noConversion"/>
  </si>
  <si>
    <t>无限施放；冲击力7（击退）</t>
    <phoneticPr fontId="16" type="noConversion"/>
  </si>
  <si>
    <t>指头</t>
    <phoneticPr fontId="16" type="noConversion"/>
  </si>
  <si>
    <t>不蓄力：3
蓄力：5</t>
    <phoneticPr fontId="16" type="noConversion"/>
  </si>
  <si>
    <t>不蓄力：2×6
蓄力：4×6</t>
    <phoneticPr fontId="16" type="noConversion"/>
  </si>
  <si>
    <t>不蓄力：120生成+214爆炸
蓄力：160生成+271爆炸</t>
    <phoneticPr fontId="16" type="noConversion"/>
  </si>
  <si>
    <t>不蓄力：7+7
蓄力：7+11</t>
    <phoneticPr fontId="16" type="noConversion"/>
  </si>
  <si>
    <t>不蓄力：253
蓄力：347</t>
    <phoneticPr fontId="16" type="noConversion"/>
  </si>
  <si>
    <t>不蓄力：11
蓄力：15</t>
    <phoneticPr fontId="16" type="noConversion"/>
  </si>
  <si>
    <t>迸发灵火</t>
    <phoneticPr fontId="16" type="noConversion"/>
  </si>
  <si>
    <r>
      <t>不蓄力：投掷[80，</t>
    </r>
    <r>
      <rPr>
        <sz val="11"/>
        <color theme="4" tint="-0.499984740745262"/>
        <rFont val="微软雅黑"/>
        <family val="2"/>
        <charset val="134"/>
      </rPr>
      <t>40冰冻值</t>
    </r>
    <r>
      <rPr>
        <sz val="11"/>
        <color indexed="8"/>
        <rFont val="微软雅黑"/>
        <family val="2"/>
        <charset val="134"/>
      </rPr>
      <t>]+爆炸[200，</t>
    </r>
    <r>
      <rPr>
        <sz val="11"/>
        <color theme="4" tint="-0.499984740745262"/>
        <rFont val="微软雅黑"/>
        <family val="2"/>
        <charset val="134"/>
      </rPr>
      <t>120冰冻值</t>
    </r>
    <r>
      <rPr>
        <sz val="11"/>
        <color indexed="8"/>
        <rFont val="微软雅黑"/>
        <family val="2"/>
        <charset val="134"/>
      </rPr>
      <t>]
蓄力：投掷[100，</t>
    </r>
    <r>
      <rPr>
        <sz val="11"/>
        <color theme="4" tint="-0.499984740745262"/>
        <rFont val="微软雅黑"/>
        <family val="2"/>
        <charset val="134"/>
      </rPr>
      <t>50冰冻值</t>
    </r>
    <r>
      <rPr>
        <sz val="11"/>
        <color indexed="8"/>
        <rFont val="微软雅黑"/>
        <family val="2"/>
        <charset val="134"/>
      </rPr>
      <t>]+爆炸[300，</t>
    </r>
    <r>
      <rPr>
        <sz val="11"/>
        <color theme="4" tint="-0.499984740745262"/>
        <rFont val="微软雅黑"/>
        <family val="2"/>
        <charset val="134"/>
      </rPr>
      <t>150冰冻值</t>
    </r>
    <r>
      <rPr>
        <sz val="11"/>
        <color indexed="8"/>
        <rFont val="微软雅黑"/>
        <family val="2"/>
        <charset val="134"/>
      </rPr>
      <t>]</t>
    </r>
    <phoneticPr fontId="16" type="noConversion"/>
  </si>
  <si>
    <t>不蓄力：5+7
蓄力：5+13</t>
    <phoneticPr fontId="16" type="noConversion"/>
  </si>
  <si>
    <t>属于身体类buff</t>
  </si>
  <si>
    <t>日蚀钩剑</t>
    <phoneticPr fontId="16" type="noConversion"/>
  </si>
  <si>
    <t>尊腐骑士矛</t>
    <phoneticPr fontId="16" type="noConversion"/>
  </si>
  <si>
    <t>老将的军旗</t>
    <phoneticPr fontId="16" type="noConversion"/>
  </si>
  <si>
    <t>光波</t>
    <phoneticPr fontId="18" type="noConversion"/>
  </si>
  <si>
    <t>110%+220%</t>
    <phoneticPr fontId="16" type="noConversion"/>
  </si>
  <si>
    <t>[40打击+95雷]</t>
    <phoneticPr fontId="18" type="noConversion"/>
  </si>
  <si>
    <t>打击+雷</t>
    <phoneticPr fontId="18" type="noConversion"/>
  </si>
  <si>
    <t>57%+62%+70%</t>
    <phoneticPr fontId="16" type="noConversion"/>
  </si>
  <si>
    <t>突刺+圣
普通+圣</t>
    <phoneticPr fontId="16" type="noConversion"/>
  </si>
  <si>
    <t>打击+火
突刺+火</t>
    <phoneticPr fontId="16" type="noConversion"/>
  </si>
  <si>
    <t>80%+172%</t>
    <phoneticPr fontId="16" type="noConversion"/>
  </si>
  <si>
    <t>不蓄力：100
蓄力：120</t>
  </si>
  <si>
    <t>不蓄力：15
蓄力：20</t>
  </si>
  <si>
    <t>蓄力冲击力7（击退）</t>
  </si>
  <si>
    <t>不蓄力：200+40×7
蓄力：250+45×9</t>
  </si>
  <si>
    <t>不蓄力：8+1.5×7
蓄力：10+1.5×9</t>
  </si>
  <si>
    <t>20+光柱每发2</t>
  </si>
  <si>
    <t>爆炸150+光球每发65</t>
  </si>
  <si>
    <t>爆炸10+光球每发2</t>
  </si>
  <si>
    <t>爆炸冲击力7（击退）</t>
  </si>
  <si>
    <t>一段剑身225+剑气162，二段剑身232+剑气169（剑身、剑气可同时命中，大型敌人可多次受到剑气伤害）</t>
  </si>
  <si>
    <t>命定之死：剑气命中敌人后每0.1秒扣血0.1%+1，持续2秒（可叠加），并扣减10%最大生命值上限，持续15秒</t>
  </si>
  <si>
    <t>熔炉百相
吐息</t>
  </si>
  <si>
    <t>202+蓄力二段274</t>
  </si>
  <si>
    <t>蓄力二段冲击力7（击退）</t>
  </si>
  <si>
    <t>不蓄力：277
蓄力：327，进行突进</t>
  </si>
  <si>
    <t>蓄力冲击力9（击飞）</t>
  </si>
  <si>
    <t>撞击5+针每发0.6</t>
  </si>
  <si>
    <t>每发2</t>
  </si>
  <si>
    <t>不蓄力：每发5
蓄力：每发9.25</t>
  </si>
  <si>
    <t>贴脸360/前端285+扩散122</t>
  </si>
  <si>
    <t>贴脸、前端冲击力7（击退）</t>
  </si>
  <si>
    <t>刀冲击力7（击退）</t>
  </si>
  <si>
    <t>雷枪1：贴脸367/前端288+扩散122
雷枪2：贴脸374/前端292+扩散123</t>
  </si>
  <si>
    <t>雷枪2贴脸、前端冲击力7（击退）</t>
  </si>
  <si>
    <t>不蓄力：80×3
蓄力：95×3</t>
  </si>
  <si>
    <t>螺旋</t>
  </si>
  <si>
    <t>不蓄力：8
蓄力：12</t>
  </si>
  <si>
    <t>每次160</t>
  </si>
  <si>
    <t>每次3</t>
  </si>
  <si>
    <t>无限施放</t>
  </si>
  <si>
    <t>每发羽毛42</t>
  </si>
  <si>
    <t>起手吹开3+8</t>
  </si>
  <si>
    <t>不蓄力：183爆炸+45燃烧+45持续
蓄力：212爆炸+59燃烧+59持续
（后续持续伤害不受法强加成）</t>
  </si>
  <si>
    <t>无视盾牌；施放后每0.5秒消耗3点生命（蓄力为4点）并对周围持续造成伤害，持续40秒</t>
  </si>
  <si>
    <t>爆炸415+燃烧35</t>
  </si>
  <si>
    <t>不蓄力：168
蓄力：210</t>
  </si>
  <si>
    <t>梅瑟莫</t>
  </si>
  <si>
    <t>不蓄力：6
蓄力：8</t>
  </si>
  <si>
    <t>不蓄力：空中50+俯冲50+爆炸308
蓄力：空中70+俯冲70+爆炸411</t>
  </si>
  <si>
    <t>不蓄力：4+4+25
蓄力：4+4+35</t>
  </si>
  <si>
    <t>爆炸冲击力10（超大击退）</t>
  </si>
  <si>
    <t>黑焰（同上）；不能被狩猎神祇印记加成；蓄力冲击力9（击飞）</t>
  </si>
  <si>
    <r>
      <rPr>
        <sz val="11"/>
        <color rgb="FF000000"/>
        <rFont val="微软雅黑"/>
        <family val="2"/>
        <charset val="134"/>
      </rPr>
      <t>52+持续伤害[15，</t>
    </r>
    <r>
      <rPr>
        <sz val="11"/>
        <color rgb="FFC00000"/>
        <rFont val="微软雅黑"/>
        <family val="2"/>
        <charset val="134"/>
      </rPr>
      <t>40出血值</t>
    </r>
    <r>
      <rPr>
        <sz val="11"/>
        <rFont val="微软雅黑"/>
        <family val="2"/>
        <charset val="134"/>
      </rPr>
      <t>]</t>
    </r>
  </si>
  <si>
    <t>不蓄力：每次180
蓄力：每次230</t>
  </si>
  <si>
    <t>不蓄力：每次3
蓄力：每次4</t>
  </si>
  <si>
    <t>大型敌人可多次命中，与虫丝机制不同，与旋飞魔砾类似</t>
  </si>
  <si>
    <r>
      <rPr>
        <sz val="11"/>
        <color rgb="FF000000"/>
        <rFont val="微软雅黑"/>
        <family val="2"/>
        <charset val="134"/>
      </rPr>
      <t>落地40+开花362+花瓣每次[60，</t>
    </r>
    <r>
      <rPr>
        <sz val="11"/>
        <color rgb="FF833B0B"/>
        <rFont val="微软雅黑"/>
        <family val="2"/>
        <charset val="134"/>
      </rPr>
      <t>150腐败值</t>
    </r>
    <r>
      <rPr>
        <sz val="11"/>
        <rFont val="微软雅黑"/>
        <family val="2"/>
        <charset val="134"/>
      </rPr>
      <t>]</t>
    </r>
  </si>
  <si>
    <t>猩红腐败：每秒扣血0.33%+13，持续90秒</t>
  </si>
  <si>
    <r>
      <t>不蓄力：每发[107，</t>
    </r>
    <r>
      <rPr>
        <sz val="11"/>
        <color rgb="FF806000"/>
        <rFont val="微软雅黑"/>
        <family val="2"/>
        <charset val="134"/>
      </rPr>
      <t>21发狂值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 xml:space="preserve">
蓄力：每发[124，</t>
    </r>
    <r>
      <rPr>
        <sz val="11"/>
        <color rgb="FF806000"/>
        <rFont val="微软雅黑"/>
        <family val="2"/>
        <charset val="134"/>
      </rPr>
      <t>28发狂值</t>
    </r>
    <r>
      <rPr>
        <sz val="11"/>
        <rFont val="微软雅黑"/>
        <family val="2"/>
        <charset val="134"/>
      </rPr>
      <t>]</t>
    </r>
  </si>
  <si>
    <r>
      <rPr>
        <sz val="11"/>
        <color rgb="FF000000"/>
        <rFont val="微软雅黑"/>
        <family val="2"/>
        <charset val="134"/>
      </rPr>
      <t>自身累积</t>
    </r>
    <r>
      <rPr>
        <sz val="11"/>
        <color rgb="FF806000"/>
        <rFont val="微软雅黑"/>
        <family val="2"/>
        <charset val="134"/>
      </rPr>
      <t>4发狂值</t>
    </r>
    <r>
      <rPr>
        <sz val="11"/>
        <color rgb="FF000000"/>
        <rFont val="微软雅黑"/>
        <family val="2"/>
        <charset val="134"/>
      </rPr>
      <t>每发</t>
    </r>
  </si>
  <si>
    <r>
      <t>每发[125，</t>
    </r>
    <r>
      <rPr>
        <sz val="11"/>
        <color rgb="FF806000"/>
        <rFont val="微软雅黑"/>
        <family val="2"/>
        <charset val="134"/>
      </rPr>
      <t>40发狂值</t>
    </r>
    <r>
      <rPr>
        <sz val="11"/>
        <rFont val="微软雅黑"/>
        <family val="2"/>
        <charset val="134"/>
      </rPr>
      <t>]</t>
    </r>
  </si>
  <si>
    <r>
      <t>自身累积</t>
    </r>
    <r>
      <rPr>
        <sz val="11"/>
        <color rgb="FF806000"/>
        <rFont val="微软雅黑"/>
        <family val="2"/>
        <charset val="134"/>
      </rPr>
      <t>3发狂值</t>
    </r>
    <r>
      <rPr>
        <sz val="11"/>
        <color rgb="FF000000"/>
        <rFont val="微软雅黑"/>
        <family val="2"/>
        <charset val="134"/>
      </rPr>
      <t>每发；无限施放</t>
    </r>
  </si>
  <si>
    <r>
      <t>每发[75，</t>
    </r>
    <r>
      <rPr>
        <sz val="11"/>
        <color rgb="FF806000"/>
        <rFont val="微软雅黑"/>
        <family val="2"/>
        <charset val="134"/>
      </rPr>
      <t>30发狂值</t>
    </r>
    <r>
      <rPr>
        <sz val="11"/>
        <rFont val="微软雅黑"/>
        <family val="2"/>
        <charset val="134"/>
      </rPr>
      <t>]</t>
    </r>
  </si>
  <si>
    <r>
      <t>自身累积</t>
    </r>
    <r>
      <rPr>
        <sz val="11"/>
        <color rgb="FF806000"/>
        <rFont val="微软雅黑"/>
        <family val="2"/>
        <charset val="134"/>
      </rPr>
      <t>10发狂值</t>
    </r>
    <r>
      <rPr>
        <sz val="11"/>
        <color rgb="FF000000"/>
        <rFont val="微软雅黑"/>
        <family val="2"/>
        <charset val="134"/>
      </rPr>
      <t>每发；无限施放</t>
    </r>
  </si>
  <si>
    <r>
      <t>不蓄力：[250，</t>
    </r>
    <r>
      <rPr>
        <sz val="11"/>
        <color rgb="FF806000"/>
        <rFont val="微软雅黑"/>
        <family val="2"/>
        <charset val="134"/>
      </rPr>
      <t>90发狂值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 xml:space="preserve">
蓄力：[309，</t>
    </r>
    <r>
      <rPr>
        <sz val="11"/>
        <color rgb="FF806000"/>
        <rFont val="微软雅黑"/>
        <family val="2"/>
        <charset val="134"/>
      </rPr>
      <t>105发狂值]</t>
    </r>
  </si>
  <si>
    <r>
      <t>射程远；蓄力后无视盾牌；自身累积</t>
    </r>
    <r>
      <rPr>
        <sz val="11"/>
        <color rgb="FF806000"/>
        <rFont val="微软雅黑"/>
        <family val="2"/>
        <charset val="134"/>
      </rPr>
      <t>20发狂值</t>
    </r>
    <r>
      <rPr>
        <sz val="11"/>
        <color rgb="FF000000"/>
        <rFont val="微软雅黑"/>
        <family val="2"/>
        <charset val="134"/>
      </rPr>
      <t>（蓄力为</t>
    </r>
    <r>
      <rPr>
        <sz val="11"/>
        <color rgb="FF806000"/>
        <rFont val="微软雅黑"/>
        <family val="2"/>
        <charset val="134"/>
      </rPr>
      <t>30发狂值</t>
    </r>
    <r>
      <rPr>
        <sz val="11"/>
        <color rgb="FF000000"/>
        <rFont val="微软雅黑"/>
        <family val="2"/>
        <charset val="134"/>
      </rPr>
      <t>）</t>
    </r>
  </si>
  <si>
    <r>
      <t>每次[22，</t>
    </r>
    <r>
      <rPr>
        <sz val="11"/>
        <color rgb="FF806000"/>
        <rFont val="微软雅黑"/>
        <family val="2"/>
        <charset val="134"/>
      </rPr>
      <t>35发狂值</t>
    </r>
    <r>
      <rPr>
        <sz val="11"/>
        <rFont val="微软雅黑"/>
        <family val="2"/>
        <charset val="134"/>
      </rPr>
      <t>]</t>
    </r>
  </si>
  <si>
    <t>癫火
咆哮</t>
  </si>
  <si>
    <r>
      <rPr>
        <sz val="11"/>
        <color rgb="FF000000"/>
        <rFont val="微软雅黑"/>
        <family val="2"/>
        <charset val="134"/>
      </rPr>
      <t>无视盾牌；自身累积</t>
    </r>
    <r>
      <rPr>
        <sz val="11"/>
        <color rgb="FF806000"/>
        <rFont val="微软雅黑"/>
        <family val="2"/>
        <charset val="134"/>
      </rPr>
      <t>6发狂值</t>
    </r>
    <r>
      <rPr>
        <sz val="11"/>
        <color rgb="FF000000"/>
        <rFont val="微软雅黑"/>
        <family val="2"/>
        <charset val="134"/>
      </rPr>
      <t>每次；使用者增加伤害25%，受到伤害增加30%，易受攻击，持续40秒</t>
    </r>
  </si>
  <si>
    <r>
      <rPr>
        <sz val="11"/>
        <color rgb="FF000000"/>
        <rFont val="微软雅黑"/>
        <family val="2"/>
        <charset val="134"/>
      </rPr>
      <t>投技未命中：自身累积</t>
    </r>
    <r>
      <rPr>
        <sz val="11"/>
        <color rgb="FF806000"/>
        <rFont val="微软雅黑"/>
        <family val="2"/>
        <charset val="134"/>
      </rPr>
      <t>14发狂值</t>
    </r>
  </si>
  <si>
    <r>
      <rPr>
        <sz val="11"/>
        <rFont val="微软雅黑"/>
        <family val="2"/>
        <charset val="134"/>
      </rPr>
      <t>第一下倍率100%，2-9下投技攻击力为：印记基础攻击力+50×强化补正倍率×（1+力、敏、智最低补正），每段累积</t>
    </r>
    <r>
      <rPr>
        <sz val="11"/>
        <color rgb="FF806000"/>
        <rFont val="微软雅黑"/>
        <family val="2"/>
        <charset val="134"/>
      </rPr>
      <t>50发狂值</t>
    </r>
  </si>
  <si>
    <r>
      <rPr>
        <sz val="11"/>
        <color rgb="FF000000"/>
        <rFont val="微软雅黑"/>
        <family val="2"/>
        <charset val="134"/>
      </rPr>
      <t>2-9下伤害不受癫火圣印记伤害加成；自身累积</t>
    </r>
    <r>
      <rPr>
        <sz val="11"/>
        <color rgb="FF806000"/>
        <rFont val="微软雅黑"/>
        <family val="2"/>
        <charset val="134"/>
      </rPr>
      <t>14+9×8发狂值</t>
    </r>
  </si>
  <si>
    <t>龙飨
吐息
熔岩</t>
  </si>
  <si>
    <r>
      <rPr>
        <sz val="11"/>
        <color rgb="FF000000"/>
        <rFont val="微软雅黑"/>
        <family val="2"/>
        <charset val="134"/>
      </rPr>
      <t>每发[131，</t>
    </r>
    <r>
      <rPr>
        <sz val="11"/>
        <color rgb="FF833B0B"/>
        <rFont val="微软雅黑"/>
        <family val="2"/>
        <charset val="134"/>
      </rPr>
      <t>65腐败值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>，不蓄力2段，最多延长至6段</t>
    </r>
  </si>
  <si>
    <t>最多耗蓝104；猩红腐败：每秒扣血0.33%+13，持续90秒</t>
  </si>
  <si>
    <r>
      <rPr>
        <sz val="11"/>
        <color rgb="FF000000"/>
        <rFont val="微软雅黑"/>
        <family val="2"/>
        <charset val="134"/>
      </rPr>
      <t>每发[155，</t>
    </r>
    <r>
      <rPr>
        <sz val="11"/>
        <color rgb="FF833B0B"/>
        <rFont val="微软雅黑"/>
        <family val="2"/>
        <charset val="134"/>
      </rPr>
      <t>65腐败值</t>
    </r>
    <r>
      <rPr>
        <sz val="11"/>
        <rFont val="微软雅黑"/>
        <family val="2"/>
        <charset val="134"/>
      </rPr>
      <t>]</t>
    </r>
    <r>
      <rPr>
        <sz val="11"/>
        <color rgb="FF000000"/>
        <rFont val="微软雅黑"/>
        <family val="2"/>
        <charset val="134"/>
      </rPr>
      <t>，不蓄力2段，最多延长至6段</t>
    </r>
  </si>
  <si>
    <t>最多耗蓝156；猩红腐败：每秒扣血0.33%+13，持续90秒</t>
  </si>
  <si>
    <r>
      <t>每发[168，</t>
    </r>
    <r>
      <rPr>
        <sz val="11"/>
        <color rgb="FF1F4E78"/>
        <rFont val="微软雅黑"/>
        <family val="2"/>
        <charset val="134"/>
      </rPr>
      <t>55冰冻值</t>
    </r>
    <r>
      <rPr>
        <sz val="11"/>
        <color rgb="FF000000"/>
        <rFont val="微软雅黑"/>
        <family val="2"/>
        <charset val="134"/>
      </rPr>
      <t>]，不蓄力2段，最多延长至6段</t>
    </r>
  </si>
  <si>
    <t>吐息（仅喷火）</t>
  </si>
  <si>
    <t>冲击力7（击退），命中后敌人受到伤害增加10%，敌人造成伤害降低15%，持续60秒</t>
  </si>
  <si>
    <t>咆哮[325火+210雷]，岩浆[50火+20雷]</t>
  </si>
  <si>
    <t>火＋雷</t>
  </si>
  <si>
    <t>龙飨
熔岩</t>
  </si>
  <si>
    <t>咆哮25，岩浆2</t>
  </si>
  <si>
    <t>普通+火+雷</t>
  </si>
  <si>
    <t>为右手武器附魔75魔攻击力（智力补正）</t>
  </si>
  <si>
    <t>法阵内友方魔属性增伤22.5%</t>
  </si>
  <si>
    <t>弹反法术飞行物并产生3发辉剑，魔攻击力115/165/245×3（威力取决于智力，不吃法强加成）</t>
  </si>
  <si>
    <t>一档小于等于34智，二档35-51智，三档大于等于52智</t>
  </si>
  <si>
    <t>暂时隐身并进行位移</t>
  </si>
  <si>
    <t>人物难以被发现</t>
  </si>
  <si>
    <r>
      <t>为右手武器附魔</t>
    </r>
    <r>
      <rPr>
        <sz val="11"/>
        <color rgb="FF2F75B6"/>
        <rFont val="微软雅黑"/>
        <family val="2"/>
        <charset val="134"/>
      </rPr>
      <t>63冰冻值</t>
    </r>
  </si>
  <si>
    <t>翻滚具有87物理攻击力（不受法强影响）</t>
  </si>
  <si>
    <t>幽魂类敌人碰到后扣血50%+300，并出现处决硬直</t>
  </si>
  <si>
    <t>基础回复量420（自身），336（队友）</t>
  </si>
  <si>
    <t>为右手武器附魔75雷攻击力（信仰补正）</t>
  </si>
  <si>
    <t>为右手武器附魔75雷攻击力（信仰补正），提升负重上限15%，受到雷伤害增加35%</t>
  </si>
  <si>
    <t>除附魔外效果属于身体类buff</t>
  </si>
  <si>
    <t>属于立誓类buff</t>
  </si>
  <si>
    <t>为右手武器附魔40火攻击力（信仰补正），并带有血焰效果</t>
  </si>
  <si>
    <t>受到雷伤害降低60%，队友有效</t>
  </si>
  <si>
    <t>受到圣伤害降低60%，队友有效</t>
  </si>
  <si>
    <t>冲击力7（击退），蓄力扩大范围</t>
  </si>
  <si>
    <t>伤害增加15%，受到伤害减少10%，队友有效</t>
  </si>
  <si>
    <t>为右手武器附魔75圣攻击力（信仰补正）</t>
  </si>
  <si>
    <t>消除范围内所有单位的所有异常状态、异常累积及所有临时特殊效果</t>
  </si>
  <si>
    <t>持续时间内，在7秒内受到5次伤害则发生爆炸并解除效果，圣攻击力487（不受法强加成）</t>
  </si>
  <si>
    <t>为左手盾牌附魔，盾牌完全免疫魔、火、雷、圣伤害及所有异常效果</t>
  </si>
  <si>
    <t>为右手武器附魔65火攻击力（信仰补正），并带有黑焰效果</t>
  </si>
  <si>
    <t>受到物理伤害降低35%，回血量减少20%</t>
  </si>
  <si>
    <t>黄金格挡</t>
    <phoneticPr fontId="18" type="noConversion"/>
  </si>
  <si>
    <t>进行弹反（范围较大）</t>
    <phoneticPr fontId="18" type="noConversion"/>
  </si>
  <si>
    <r>
      <t>55%，额外附带</t>
    </r>
    <r>
      <rPr>
        <sz val="11"/>
        <color rgb="FFC00000"/>
        <rFont val="微软雅黑"/>
        <family val="2"/>
        <charset val="134"/>
      </rPr>
      <t>55出血值（感应补正）</t>
    </r>
    <phoneticPr fontId="18" type="noConversion"/>
  </si>
  <si>
    <t>第一下施放时自身消耗4%生命</t>
    <phoneticPr fontId="18" type="noConversion"/>
  </si>
  <si>
    <r>
      <t>每1秒一次判定；为武器附魔</t>
    </r>
    <r>
      <rPr>
        <sz val="11"/>
        <color rgb="FF2F5597"/>
        <rFont val="微软雅黑"/>
        <family val="2"/>
        <charset val="134"/>
      </rPr>
      <t>60冰冻值（固定值）</t>
    </r>
    <r>
      <rPr>
        <sz val="11"/>
        <color rgb="FF000000"/>
        <rFont val="微软雅黑"/>
        <family val="2"/>
        <charset val="134"/>
      </rPr>
      <t>，持续40秒</t>
    </r>
    <phoneticPr fontId="18" type="noConversion"/>
  </si>
  <si>
    <r>
      <t>每次</t>
    </r>
    <r>
      <rPr>
        <sz val="11"/>
        <color rgb="FF2F5597"/>
        <rFont val="微软雅黑"/>
        <family val="2"/>
        <charset val="134"/>
      </rPr>
      <t>120冰冻值</t>
    </r>
    <phoneticPr fontId="18" type="noConversion"/>
  </si>
  <si>
    <r>
      <t>每次</t>
    </r>
    <r>
      <rPr>
        <sz val="11"/>
        <color theme="9" tint="-0.499984740745262"/>
        <rFont val="微软雅黑"/>
        <family val="2"/>
        <charset val="134"/>
      </rPr>
      <t>120中毒值（感应补正）</t>
    </r>
    <phoneticPr fontId="18" type="noConversion"/>
  </si>
  <si>
    <r>
      <t>每1秒一次判定；为武器附魔</t>
    </r>
    <r>
      <rPr>
        <sz val="11"/>
        <color theme="9" tint="-0.499984740745262"/>
        <rFont val="微软雅黑"/>
        <family val="2"/>
        <charset val="134"/>
      </rPr>
      <t>60中毒值（感应补正）</t>
    </r>
    <r>
      <rPr>
        <sz val="11"/>
        <color rgb="FF000000"/>
        <rFont val="微软雅黑"/>
        <family val="2"/>
        <charset val="134"/>
      </rPr>
      <t>，持续20秒；中毒伤害为0.1%+8每秒，持续40秒</t>
    </r>
    <phoneticPr fontId="18" type="noConversion"/>
  </si>
  <si>
    <t>50%×8（双头剑）
400%（其他武器）</t>
    <phoneticPr fontId="18" type="noConversion"/>
  </si>
  <si>
    <t>49%+50%+70%×4+100%</t>
    <phoneticPr fontId="16" type="noConversion"/>
  </si>
  <si>
    <t>守墓鸟</t>
    <phoneticPr fontId="18" type="noConversion"/>
  </si>
  <si>
    <t>角人</t>
    <phoneticPr fontId="18" type="noConversion"/>
  </si>
  <si>
    <t>神鸟</t>
    <phoneticPr fontId="18" type="noConversion"/>
  </si>
  <si>
    <t>熔炉百相</t>
    <phoneticPr fontId="16" type="noConversion"/>
  </si>
  <si>
    <t>81%+83%</t>
    <phoneticPr fontId="16" type="noConversion"/>
  </si>
  <si>
    <t>57%+61%×2</t>
    <phoneticPr fontId="16" type="noConversion"/>
  </si>
  <si>
    <t>为盾牌附魔，提升盾牌弹刀力至90，小盾、中盾耗精降低50%，大盾、突刺盾耗精降低30%，持续10秒</t>
    <phoneticPr fontId="18" type="noConversion"/>
  </si>
  <si>
    <r>
      <t>[130，</t>
    </r>
    <r>
      <rPr>
        <sz val="11"/>
        <color theme="8" tint="-0.249977111117893"/>
        <rFont val="微软雅黑"/>
        <family val="2"/>
        <charset val="134"/>
      </rPr>
      <t>70冰冻值</t>
    </r>
    <r>
      <rPr>
        <sz val="11"/>
        <color rgb="FF000000"/>
        <rFont val="微软雅黑"/>
        <family val="2"/>
        <charset val="134"/>
      </rPr>
      <t>]+[30，</t>
    </r>
    <r>
      <rPr>
        <sz val="11"/>
        <color theme="8" tint="-0.249977111117893"/>
        <rFont val="微软雅黑"/>
        <family val="2"/>
        <charset val="134"/>
      </rPr>
      <t>70冰冻值]</t>
    </r>
    <phoneticPr fontId="18" type="noConversion"/>
  </si>
  <si>
    <r>
      <t>[180，</t>
    </r>
    <r>
      <rPr>
        <sz val="11"/>
        <color theme="8" tint="-0.249977111117893"/>
        <rFont val="微软雅黑"/>
        <family val="2"/>
        <charset val="134"/>
      </rPr>
      <t>70冰冻值]</t>
    </r>
    <r>
      <rPr>
        <sz val="11"/>
        <color rgb="FF000000"/>
        <rFont val="微软雅黑"/>
        <family val="2"/>
        <charset val="134"/>
      </rPr>
      <t>+[45，</t>
    </r>
    <r>
      <rPr>
        <sz val="11"/>
        <color theme="8" tint="-0.249977111117893"/>
        <rFont val="微软雅黑"/>
        <family val="2"/>
        <charset val="134"/>
      </rPr>
      <t>70冰冻值]</t>
    </r>
    <phoneticPr fontId="18" type="noConversion"/>
  </si>
  <si>
    <t>为武器附魔，若角色使用该战技时血量不高于100%/75%/50%/25%，该武器造成的伤害提升10%/15%/20%/25%，持续40秒</t>
    <phoneticPr fontId="18" type="noConversion"/>
  </si>
  <si>
    <r>
      <t>使自己出血，扣血15%，为武器附魔30物理攻击力与</t>
    </r>
    <r>
      <rPr>
        <sz val="11"/>
        <color rgb="FFC00000"/>
        <rFont val="微软雅黑"/>
        <family val="2"/>
        <charset val="134"/>
      </rPr>
      <t>30出血值（感应补正）</t>
    </r>
    <r>
      <rPr>
        <sz val="11"/>
        <color rgb="FF000000"/>
        <rFont val="微软雅黑"/>
        <family val="2"/>
        <charset val="134"/>
      </rPr>
      <t>，持续60秒</t>
    </r>
    <phoneticPr fontId="18" type="noConversion"/>
  </si>
  <si>
    <t>不受武器本身的出血值影响（异常倍率0%）</t>
    <phoneticPr fontId="18" type="noConversion"/>
  </si>
  <si>
    <r>
      <t>55%，额外附带</t>
    </r>
    <r>
      <rPr>
        <sz val="11"/>
        <color rgb="FFC00000"/>
        <rFont val="微软雅黑"/>
        <family val="2"/>
        <charset val="134"/>
      </rPr>
      <t>55出血值（感应补正）</t>
    </r>
    <phoneticPr fontId="16" type="noConversion"/>
  </si>
  <si>
    <t>剑气</t>
    <phoneticPr fontId="16" type="noConversion"/>
  </si>
  <si>
    <t>普通+圣
突刺+圣</t>
    <phoneticPr fontId="16" type="noConversion"/>
  </si>
  <si>
    <t>突刺+魔+火</t>
    <phoneticPr fontId="16" type="noConversion"/>
  </si>
  <si>
    <t>接轻击-剑身</t>
    <phoneticPr fontId="16" type="noConversion"/>
  </si>
  <si>
    <t>接轻击-波</t>
    <phoneticPr fontId="16" type="noConversion"/>
  </si>
  <si>
    <t>接重击-剑身</t>
    <phoneticPr fontId="16" type="noConversion"/>
  </si>
  <si>
    <t>接重击-火焰</t>
    <phoneticPr fontId="16" type="noConversion"/>
  </si>
  <si>
    <t>玛雷家行刑剑</t>
    <phoneticPr fontId="16" type="noConversion"/>
  </si>
  <si>
    <t>普通+魔
斩击+魔</t>
    <phoneticPr fontId="16" type="noConversion"/>
  </si>
  <si>
    <t>欧赫宝剑</t>
    <phoneticPr fontId="16" type="noConversion"/>
  </si>
  <si>
    <t>突刺+魔
斩击+魔</t>
    <phoneticPr fontId="16" type="noConversion"/>
  </si>
  <si>
    <t>斩击
普通</t>
    <phoneticPr fontId="16" type="noConversion"/>
  </si>
  <si>
    <t>蓄力（刀身）</t>
    <phoneticPr fontId="16" type="noConversion"/>
  </si>
  <si>
    <t>蓄力（波）</t>
    <phoneticPr fontId="16" type="noConversion"/>
  </si>
  <si>
    <t>挥击</t>
    <phoneticPr fontId="18" type="noConversion"/>
  </si>
  <si>
    <t>物理类型（A类）</t>
    <phoneticPr fontId="18" type="noConversion"/>
  </si>
  <si>
    <t>普通+圣</t>
    <phoneticPr fontId="16" type="noConversion"/>
  </si>
  <si>
    <t>双手蓄力重击（剑身）</t>
    <phoneticPr fontId="16" type="noConversion"/>
  </si>
  <si>
    <r>
      <t>[42，</t>
    </r>
    <r>
      <rPr>
        <sz val="11"/>
        <color theme="4" tint="-0.499984740745262"/>
        <rFont val="微软雅黑"/>
        <family val="2"/>
        <charset val="134"/>
      </rPr>
      <t>30冰冻值</t>
    </r>
    <r>
      <rPr>
        <sz val="11"/>
        <color rgb="FF000000"/>
        <rFont val="微软雅黑"/>
        <family val="2"/>
        <charset val="134"/>
      </rPr>
      <t>]×2</t>
    </r>
    <phoneticPr fontId="16" type="noConversion"/>
  </si>
  <si>
    <r>
      <t>额外附带</t>
    </r>
    <r>
      <rPr>
        <sz val="11"/>
        <color rgb="FFC00000"/>
        <rFont val="微软雅黑"/>
        <family val="2"/>
        <charset val="134"/>
      </rPr>
      <t>45出血值（感应补正）</t>
    </r>
    <r>
      <rPr>
        <sz val="11"/>
        <rFont val="微软雅黑"/>
        <family val="2"/>
        <charset val="134"/>
      </rPr>
      <t>附魔</t>
    </r>
    <phoneticPr fontId="16" type="noConversion"/>
  </si>
  <si>
    <r>
      <t>额外附带</t>
    </r>
    <r>
      <rPr>
        <sz val="11"/>
        <color rgb="FFC00000"/>
        <rFont val="微软雅黑"/>
        <family val="2"/>
        <charset val="134"/>
      </rPr>
      <t>50出血值（感应补正）</t>
    </r>
    <r>
      <rPr>
        <sz val="11"/>
        <rFont val="微软雅黑"/>
        <family val="2"/>
        <charset val="134"/>
      </rPr>
      <t>附魔</t>
    </r>
    <phoneticPr fontId="16" type="noConversion"/>
  </si>
  <si>
    <r>
      <t>剑身剑气不可同时命中；额外附带</t>
    </r>
    <r>
      <rPr>
        <sz val="11"/>
        <color rgb="FFC00000"/>
        <rFont val="微软雅黑"/>
        <family val="2"/>
        <charset val="134"/>
      </rPr>
      <t>45出血值（感应补正）</t>
    </r>
    <r>
      <rPr>
        <sz val="11"/>
        <color rgb="FF000000"/>
        <rFont val="微软雅黑"/>
        <family val="2"/>
        <charset val="134"/>
      </rPr>
      <t>附魔</t>
    </r>
    <phoneticPr fontId="16" type="noConversion"/>
  </si>
  <si>
    <t>骷髅的攻击为斩击</t>
    <phoneticPr fontId="16" type="noConversion"/>
  </si>
  <si>
    <t>继续按战技键将重复该段</t>
    <phoneticPr fontId="16" type="noConversion"/>
  </si>
  <si>
    <t>接战技</t>
    <phoneticPr fontId="16" type="noConversion"/>
  </si>
  <si>
    <t>打击+圣
普通+圣</t>
    <phoneticPr fontId="16" type="noConversion"/>
  </si>
  <si>
    <t>地面伤害为普通，冲击力9（击飞）</t>
    <phoneticPr fontId="16" type="noConversion"/>
  </si>
  <si>
    <t>砸地</t>
    <phoneticPr fontId="16" type="noConversion"/>
  </si>
  <si>
    <t>第二段冲击力9（击飞）；无视盾牌；为武器附魔，使用后武器增加5力量补正，武器物理攻击力提高7.5%，替换武器重击模组，持续20秒</t>
    <phoneticPr fontId="16" type="noConversion"/>
  </si>
  <si>
    <t>为武器附魔，武器物理攻击力提升10%，人物精力回复提升10/s，人物减伤10%，替换武器双手重击模组为战吼模组，持续60秒</t>
    <phoneticPr fontId="18" type="noConversion"/>
  </si>
  <si>
    <t>爆炸伤害属性为普通，倍率不变</t>
    <phoneticPr fontId="16" type="noConversion"/>
  </si>
  <si>
    <t>挥击</t>
    <phoneticPr fontId="16" type="noConversion"/>
  </si>
  <si>
    <t>可持续施放，最多耗蓝42；因为伤害cd问题，最多连续命中约7发</t>
    <phoneticPr fontId="16" type="noConversion"/>
  </si>
  <si>
    <t>无视盾牌；战技每段异常倍率为55%</t>
    <phoneticPr fontId="16" type="noConversion"/>
  </si>
  <si>
    <r>
      <t>[112%，</t>
    </r>
    <r>
      <rPr>
        <sz val="11"/>
        <color theme="5" tint="-0.499984740745262"/>
        <rFont val="微软雅黑"/>
        <family val="2"/>
        <charset val="134"/>
      </rPr>
      <t>55腐败值</t>
    </r>
    <r>
      <rPr>
        <sz val="11"/>
        <color rgb="FF000000"/>
        <rFont val="微软雅黑"/>
        <family val="2"/>
        <charset val="134"/>
      </rPr>
      <t>]+[105%，</t>
    </r>
    <r>
      <rPr>
        <sz val="11"/>
        <color theme="5" tint="-0.499984740745262"/>
        <rFont val="微软雅黑"/>
        <family val="2"/>
        <charset val="134"/>
      </rPr>
      <t>55腐败值</t>
    </r>
    <r>
      <rPr>
        <sz val="11"/>
        <color rgb="FF000000"/>
        <rFont val="微软雅黑"/>
        <family val="2"/>
        <charset val="134"/>
      </rPr>
      <t>]+蝴蝶每个[25%，</t>
    </r>
    <r>
      <rPr>
        <sz val="11"/>
        <color theme="5" tint="-0.499984740745262"/>
        <rFont val="微软雅黑"/>
        <family val="2"/>
        <charset val="134"/>
      </rPr>
      <t>22腐败值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</si>
  <si>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t>接重击一段</t>
    <phoneticPr fontId="16" type="noConversion"/>
  </si>
  <si>
    <t>接重击二段</t>
    <phoneticPr fontId="16" type="noConversion"/>
  </si>
  <si>
    <r>
      <t>150%，</t>
    </r>
    <r>
      <rPr>
        <sz val="11"/>
        <color rgb="FF4C216D"/>
        <rFont val="微软雅黑"/>
        <family val="2"/>
        <charset val="134"/>
      </rPr>
      <t>97永眠值</t>
    </r>
    <r>
      <rPr>
        <sz val="11"/>
        <rFont val="微软雅黑"/>
        <family val="2"/>
        <charset val="134"/>
      </rPr>
      <t>，对永眠的敌人造成额外6.5%+300伤害并解除永眠</t>
    </r>
    <phoneticPr fontId="16" type="noConversion"/>
  </si>
  <si>
    <t>同一敌人贴脸最多可命中5发</t>
    <phoneticPr fontId="16" type="noConversion"/>
  </si>
  <si>
    <t>99感满强时中毒值可达到525；剧毒：每秒扣血0.14%+14，持续30秒</t>
    <phoneticPr fontId="16" type="noConversion"/>
  </si>
  <si>
    <t>普通</t>
    <phoneticPr fontId="18" type="noConversion"/>
  </si>
  <si>
    <t>普通+魔</t>
    <phoneticPr fontId="18" type="noConversion"/>
  </si>
  <si>
    <t>突刺</t>
    <phoneticPr fontId="18" type="noConversion"/>
  </si>
  <si>
    <t>戳击</t>
    <phoneticPr fontId="18" type="noConversion"/>
  </si>
  <si>
    <t>戳击
挥击</t>
    <phoneticPr fontId="18" type="noConversion"/>
  </si>
  <si>
    <t>打击</t>
    <phoneticPr fontId="18" type="noConversion"/>
  </si>
  <si>
    <t>挥击
普通</t>
    <phoneticPr fontId="18" type="noConversion"/>
  </si>
  <si>
    <t>110%（轻，双头剑）
105%（重，长柄）</t>
    <phoneticPr fontId="18" type="noConversion"/>
  </si>
  <si>
    <t>65%+115%（轻、双头剑）
60%+110%（重，长柄）</t>
    <phoneticPr fontId="18" type="noConversion"/>
  </si>
  <si>
    <t>290%（轻、双头剑）
230%（重，长柄）</t>
    <phoneticPr fontId="18" type="noConversion"/>
  </si>
  <si>
    <t>90%+290%（轻，双头剑）
75%+230%（重，长柄）</t>
    <phoneticPr fontId="18" type="noConversion"/>
  </si>
  <si>
    <t>[30%（仅圣属性）+30打击]</t>
    <phoneticPr fontId="18" type="noConversion"/>
  </si>
  <si>
    <t>240%+100%×2</t>
    <phoneticPr fontId="18" type="noConversion"/>
  </si>
  <si>
    <t>100%×2</t>
    <phoneticPr fontId="18" type="noConversion"/>
  </si>
  <si>
    <t>剑</t>
    <phoneticPr fontId="18" type="noConversion"/>
  </si>
  <si>
    <t>托普斯的力场</t>
    <phoneticPr fontId="18" type="noConversion"/>
  </si>
  <si>
    <t>武器</t>
    <phoneticPr fontId="18" type="noConversion"/>
  </si>
  <si>
    <t>打击
圣</t>
    <phoneticPr fontId="18" type="noConversion"/>
  </si>
  <si>
    <t>挥击
戳击</t>
    <phoneticPr fontId="18" type="noConversion"/>
  </si>
  <si>
    <t>命中后使目标精力回复降低8/s，持续30秒</t>
    <phoneticPr fontId="16" type="noConversion"/>
  </si>
  <si>
    <t>蓄力冲击力7（击退）</t>
    <phoneticPr fontId="18" type="noConversion"/>
  </si>
  <si>
    <t>熊飨
吐息</t>
    <phoneticPr fontId="18" type="noConversion"/>
  </si>
  <si>
    <t>无</t>
    <phoneticPr fontId="16" type="noConversion"/>
  </si>
  <si>
    <t>第一段为突刺，其余为斩击</t>
    <phoneticPr fontId="16" type="noConversion"/>
  </si>
  <si>
    <t>霸体</t>
    <phoneticPr fontId="16" type="noConversion"/>
  </si>
  <si>
    <t>固定50</t>
    <phoneticPr fontId="16" type="noConversion"/>
  </si>
  <si>
    <t>固定20</t>
    <phoneticPr fontId="16" type="noConversion"/>
  </si>
  <si>
    <t>固定30</t>
    <phoneticPr fontId="16" type="noConversion"/>
  </si>
  <si>
    <t>爆炸</t>
    <phoneticPr fontId="16" type="noConversion"/>
  </si>
  <si>
    <t>一段1</t>
    <phoneticPr fontId="16" type="noConversion"/>
  </si>
  <si>
    <t>一段2</t>
    <phoneticPr fontId="16" type="noConversion"/>
  </si>
  <si>
    <t>突刺
普通</t>
    <phoneticPr fontId="16" type="noConversion"/>
  </si>
  <si>
    <t>固定15</t>
    <phoneticPr fontId="16" type="noConversion"/>
  </si>
  <si>
    <r>
      <t>为武器附魔160雷攻击力与</t>
    </r>
    <r>
      <rPr>
        <sz val="11"/>
        <color rgb="FF2F5597"/>
        <rFont val="微软雅黑"/>
        <family val="2"/>
        <charset val="134"/>
      </rPr>
      <t>80冰冻值</t>
    </r>
    <r>
      <rPr>
        <sz val="11"/>
        <color rgb="FF000000"/>
        <rFont val="微软雅黑"/>
        <family val="2"/>
        <charset val="134"/>
      </rPr>
      <t>，持续45秒</t>
    </r>
    <phoneticPr fontId="16" type="noConversion"/>
  </si>
  <si>
    <r>
      <t>207%，</t>
    </r>
    <r>
      <rPr>
        <sz val="11"/>
        <color theme="8" tint="-0.249977111117893"/>
        <rFont val="微软雅黑"/>
        <family val="2"/>
        <charset val="134"/>
      </rPr>
      <t>150冰冻值</t>
    </r>
    <phoneticPr fontId="16" type="noConversion"/>
  </si>
  <si>
    <t>固定12</t>
    <phoneticPr fontId="16" type="noConversion"/>
  </si>
  <si>
    <t>1档光波</t>
    <phoneticPr fontId="16" type="noConversion"/>
  </si>
  <si>
    <t>2档光波</t>
    <phoneticPr fontId="16" type="noConversion"/>
  </si>
  <si>
    <t>固定35</t>
    <phoneticPr fontId="16" type="noConversion"/>
  </si>
  <si>
    <t>仅起手有额外霸体</t>
    <phoneticPr fontId="16" type="noConversion"/>
  </si>
  <si>
    <t>固定40</t>
    <phoneticPr fontId="16" type="noConversion"/>
  </si>
  <si>
    <t>不蓄力后续霸体会变为+11.8</t>
    <phoneticPr fontId="16" type="noConversion"/>
  </si>
  <si>
    <t>霸体</t>
    <phoneticPr fontId="18" type="noConversion"/>
  </si>
  <si>
    <t>固定20</t>
    <phoneticPr fontId="18" type="noConversion"/>
  </si>
  <si>
    <t>固定70</t>
    <phoneticPr fontId="18" type="noConversion"/>
  </si>
  <si>
    <t>无</t>
    <phoneticPr fontId="18" type="noConversion"/>
  </si>
  <si>
    <t>/</t>
    <phoneticPr fontId="18" type="noConversion"/>
  </si>
  <si>
    <t>固定50</t>
    <phoneticPr fontId="18" type="noConversion"/>
  </si>
  <si>
    <t>固定135</t>
    <phoneticPr fontId="18" type="noConversion"/>
  </si>
  <si>
    <t>箭步动作时减伤50%</t>
    <phoneticPr fontId="18" type="noConversion"/>
  </si>
  <si>
    <t>箭步</t>
    <phoneticPr fontId="18" type="noConversion"/>
  </si>
  <si>
    <t>第二段冲击力7（击退）</t>
    <phoneticPr fontId="18" type="noConversion"/>
  </si>
  <si>
    <t>固定18</t>
    <phoneticPr fontId="18" type="noConversion"/>
  </si>
  <si>
    <t>固定30</t>
    <phoneticPr fontId="18" type="noConversion"/>
  </si>
  <si>
    <t>固定15</t>
    <phoneticPr fontId="18" type="noConversion"/>
  </si>
  <si>
    <t>固定25</t>
    <phoneticPr fontId="18" type="noConversion"/>
  </si>
  <si>
    <t>固定20
固定10</t>
    <phoneticPr fontId="18" type="noConversion"/>
  </si>
  <si>
    <t>后续韧性降低</t>
    <phoneticPr fontId="18" type="noConversion"/>
  </si>
  <si>
    <t>固定35</t>
    <phoneticPr fontId="18" type="noConversion"/>
  </si>
  <si>
    <t>剧毒：每秒扣血0.14%+14，持续30秒；可解除敌人中毒状态，并使敌人扣血5%+250；武器本身异常不生效（异常倍率0%）</t>
    <phoneticPr fontId="18" type="noConversion"/>
  </si>
  <si>
    <t>格挡判定</t>
    <phoneticPr fontId="18" type="noConversion"/>
  </si>
  <si>
    <r>
      <t>[63，</t>
    </r>
    <r>
      <rPr>
        <sz val="11"/>
        <color rgb="FFC00000"/>
        <rFont val="微软雅黑"/>
        <family val="2"/>
        <charset val="134"/>
      </rPr>
      <t>17出血值</t>
    </r>
    <r>
      <rPr>
        <sz val="11"/>
        <rFont val="微软雅黑"/>
        <family val="2"/>
        <charset val="134"/>
      </rPr>
      <t>]×6</t>
    </r>
    <phoneticPr fontId="16" type="noConversion"/>
  </si>
  <si>
    <t>不蓄力：109×3
蓄力：127×3</t>
    <phoneticPr fontId="16" type="noConversion"/>
  </si>
  <si>
    <t>不蓄力：216
蓄力：269</t>
    <phoneticPr fontId="16" type="noConversion"/>
  </si>
  <si>
    <t>不蓄力：66×6
蓄力：75×6</t>
    <phoneticPr fontId="16" type="noConversion"/>
  </si>
  <si>
    <t>不蓄力：261
蓄力：302+185×2</t>
    <phoneticPr fontId="16" type="noConversion"/>
  </si>
  <si>
    <t>1.67×6</t>
    <phoneticPr fontId="16" type="noConversion"/>
  </si>
  <si>
    <r>
      <t>不蓄力：[53，</t>
    </r>
    <r>
      <rPr>
        <sz val="11"/>
        <color theme="4" tint="-0.499984740745262"/>
        <rFont val="微软雅黑"/>
        <family val="2"/>
        <charset val="134"/>
      </rPr>
      <t>19冰冻值</t>
    </r>
    <r>
      <rPr>
        <sz val="11"/>
        <color indexed="8"/>
        <rFont val="微软雅黑"/>
        <family val="2"/>
        <charset val="134"/>
      </rPr>
      <t>]×6
蓄力： [63，</t>
    </r>
    <r>
      <rPr>
        <sz val="11"/>
        <color theme="4" tint="-0.499984740745262"/>
        <rFont val="微软雅黑"/>
        <family val="2"/>
        <charset val="134"/>
      </rPr>
      <t>23冰冻值</t>
    </r>
    <r>
      <rPr>
        <sz val="11"/>
        <color indexed="8"/>
        <rFont val="微软雅黑"/>
        <family val="2"/>
        <charset val="134"/>
      </rPr>
      <t>]×6</t>
    </r>
    <phoneticPr fontId="16" type="noConversion"/>
  </si>
  <si>
    <t>不蓄力：97×2+154
蓄力：98×3+163</t>
    <phoneticPr fontId="18" type="noConversion"/>
  </si>
  <si>
    <t>不蓄力：355
蓄力：250+30×10+100+200</t>
    <phoneticPr fontId="18" type="noConversion"/>
  </si>
  <si>
    <t>仍有命中cd过长的问题，实际难以全部命中</t>
    <phoneticPr fontId="18" type="noConversion"/>
  </si>
  <si>
    <t>不蓄力：每发52
蓄力：每发63</t>
    <phoneticPr fontId="18" type="noConversion"/>
  </si>
  <si>
    <t>147%（物理）/155%（其他）</t>
    <phoneticPr fontId="18" type="noConversion"/>
  </si>
  <si>
    <t>不蓄力：每发138
蓄力：每发164</t>
    <phoneticPr fontId="18" type="noConversion"/>
  </si>
  <si>
    <t>32/防御后使用95</t>
    <phoneticPr fontId="16" type="noConversion"/>
  </si>
  <si>
    <t>3/防御后使用15</t>
    <phoneticPr fontId="16" type="noConversion"/>
  </si>
  <si>
    <t>87%+97%+103%（物理）
90%+95%+110%（其他）</t>
    <phoneticPr fontId="18" type="noConversion"/>
  </si>
  <si>
    <t>47%×2+63%×2+68%×2+52%×2（双头剑）
283%（短剑）
258%（轻）
247%（重、长柄、重刺剑）
231%（特大剑）</t>
    <phoneticPr fontId="18" type="noConversion"/>
  </si>
  <si>
    <t>75%×4</t>
    <phoneticPr fontId="16" type="noConversion"/>
  </si>
  <si>
    <t>138%+56%×2</t>
    <phoneticPr fontId="16" type="noConversion"/>
  </si>
  <si>
    <t>129%+56%×2</t>
    <phoneticPr fontId="16" type="noConversion"/>
  </si>
  <si>
    <t>86%×2+49%×2</t>
    <phoneticPr fontId="16" type="noConversion"/>
  </si>
  <si>
    <r>
      <t>[46，</t>
    </r>
    <r>
      <rPr>
        <sz val="11"/>
        <color theme="4" tint="-0.499984740745262"/>
        <rFont val="微软雅黑"/>
        <family val="2"/>
        <charset val="134"/>
      </rPr>
      <t>30冰冻值</t>
    </r>
    <r>
      <rPr>
        <sz val="11"/>
        <color rgb="FF000000"/>
        <rFont val="微软雅黑"/>
        <family val="2"/>
        <charset val="134"/>
      </rPr>
      <t>]×2</t>
    </r>
    <phoneticPr fontId="16" type="noConversion"/>
  </si>
  <si>
    <t>每条[35%+8圣]或[17%+3圣]</t>
    <phoneticPr fontId="16" type="noConversion"/>
  </si>
  <si>
    <t>每条[38%+8圣]或[19%+3圣]</t>
    <phoneticPr fontId="16" type="noConversion"/>
  </si>
  <si>
    <t>风5，蝴蝶3</t>
    <phoneticPr fontId="18" type="noConversion"/>
  </si>
  <si>
    <r>
      <t>风[100，</t>
    </r>
    <r>
      <rPr>
        <sz val="11"/>
        <color theme="5" tint="-0.499984740745262"/>
        <rFont val="微软雅黑"/>
        <family val="2"/>
        <charset val="134"/>
      </rPr>
      <t>80腐败值</t>
    </r>
    <r>
      <rPr>
        <sz val="11"/>
        <color rgb="FF000000"/>
        <rFont val="微软雅黑"/>
        <family val="2"/>
        <charset val="134"/>
      </rPr>
      <t>]，每个蝴蝶持续造成</t>
    </r>
    <r>
      <rPr>
        <sz val="11"/>
        <color theme="5" tint="-0.499984740745262"/>
        <rFont val="微软雅黑"/>
        <family val="2"/>
        <charset val="134"/>
      </rPr>
      <t>20腐败值</t>
    </r>
    <r>
      <rPr>
        <sz val="11"/>
        <color rgb="FF000000"/>
        <rFont val="微软雅黑"/>
        <family val="2"/>
        <charset val="134"/>
      </rPr>
      <t>，蝴蝶爆炸100</t>
    </r>
    <phoneticPr fontId="18" type="noConversion"/>
  </si>
  <si>
    <t>[99%+35圣]+[100%+35圣]</t>
    <phoneticPr fontId="16" type="noConversion"/>
  </si>
  <si>
    <t>[101%+35圣]+[102%+35圣]</t>
    <phoneticPr fontId="16" type="noConversion"/>
  </si>
  <si>
    <t>[103%+35圣]+[104%+35圣]</t>
    <phoneticPr fontId="16" type="noConversion"/>
  </si>
  <si>
    <t>130%+130%（重）
120%+120%（轻、双头剑、长柄）</t>
    <phoneticPr fontId="18" type="noConversion"/>
  </si>
  <si>
    <t>150%（轻、重）
155%（双头剑、长柄）</t>
    <phoneticPr fontId="18" type="noConversion"/>
  </si>
  <si>
    <t>不蓄力：14
蓄力：14×3</t>
    <phoneticPr fontId="18" type="noConversion"/>
  </si>
  <si>
    <t>每发1.5</t>
    <phoneticPr fontId="18" type="noConversion"/>
  </si>
  <si>
    <t>固定60</t>
    <phoneticPr fontId="16" type="noConversion"/>
  </si>
  <si>
    <t>112永眠值</t>
    <phoneticPr fontId="16" type="noConversion"/>
  </si>
  <si>
    <t>136睡眠值</t>
    <phoneticPr fontId="16" type="noConversion"/>
  </si>
  <si>
    <r>
      <t>额外附带</t>
    </r>
    <r>
      <rPr>
        <sz val="11"/>
        <color rgb="FFC00000"/>
        <rFont val="微软雅黑"/>
        <family val="2"/>
        <charset val="134"/>
      </rPr>
      <t>55出血值（感应补正）</t>
    </r>
    <r>
      <rPr>
        <sz val="11"/>
        <color rgb="FF000000"/>
        <rFont val="微软雅黑"/>
        <family val="2"/>
        <charset val="134"/>
      </rPr>
      <t>附魔</t>
    </r>
    <phoneticPr fontId="16" type="noConversion"/>
  </si>
  <si>
    <t>在树范围内每0.25秒回复9生命值，队友有效</t>
    <phoneticPr fontId="18" type="noConversion"/>
  </si>
  <si>
    <t>固定15/10/20</t>
    <phoneticPr fontId="18" type="noConversion"/>
  </si>
  <si>
    <t>无</t>
  </si>
  <si>
    <t>固定45</t>
    <phoneticPr fontId="18" type="noConversion"/>
  </si>
  <si>
    <t>米凯拉</t>
    <phoneticPr fontId="18" type="noConversion"/>
  </si>
  <si>
    <r>
      <t>消耗50生命，自身累积</t>
    </r>
    <r>
      <rPr>
        <sz val="11"/>
        <color rgb="FFC00000"/>
        <rFont val="微软雅黑"/>
        <family val="2"/>
        <charset val="134"/>
      </rPr>
      <t>25出血值</t>
    </r>
    <phoneticPr fontId="18" type="noConversion"/>
  </si>
  <si>
    <t>敏捷补正魔属性，基础补正150%</t>
    <phoneticPr fontId="16" type="noConversion"/>
  </si>
  <si>
    <t>该武器的叠档机制：一档、二档时为武器附魔95、120圣攻击力</t>
    <phoneticPr fontId="18" type="noConversion"/>
  </si>
  <si>
    <t>普通+魔+圣</t>
    <phoneticPr fontId="16" type="noConversion"/>
  </si>
  <si>
    <t>不蓄力：5×2+3
蓄力：5×3+3</t>
    <phoneticPr fontId="18" type="noConversion"/>
  </si>
  <si>
    <t>撞击120+针每发45，蓄力重复2次</t>
    <phoneticPr fontId="18" type="noConversion"/>
  </si>
  <si>
    <t>[280普通+220火+280雷]</t>
    <phoneticPr fontId="18" type="noConversion"/>
  </si>
  <si>
    <t>2倍基础</t>
  </si>
  <si>
    <t>1倍基础</t>
  </si>
  <si>
    <t>50%*2+160%</t>
    <phoneticPr fontId="16" type="noConversion"/>
  </si>
  <si>
    <t>65%*2+200%</t>
    <phoneticPr fontId="16" type="noConversion"/>
  </si>
  <si>
    <r>
      <t>每发[21，</t>
    </r>
    <r>
      <rPr>
        <sz val="11"/>
        <color theme="7" tint="-0.499984740745262"/>
        <rFont val="微软雅黑"/>
        <family val="2"/>
        <charset val="134"/>
      </rPr>
      <t>65发狂值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</si>
  <si>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t>架式</t>
    <phoneticPr fontId="18" type="noConversion"/>
  </si>
  <si>
    <t>罗蕾塔的战镰使用罗蕾塔的斩击倍率不一样；使用镰刀则穿盾20%</t>
    <phoneticPr fontId="18" type="noConversion"/>
  </si>
  <si>
    <t>贴脸[120打击+142圣]
远[98普通+120圣]</t>
    <phoneticPr fontId="16" type="noConversion"/>
  </si>
  <si>
    <t>架式</t>
    <phoneticPr fontId="16" type="noConversion"/>
  </si>
  <si>
    <t>夜与火的架式</t>
    <phoneticPr fontId="16" type="noConversion"/>
  </si>
  <si>
    <t>猎龙大刀本身具有30%对龙增伤及15%对古龙增伤，该战技额外具有20%对龙增伤及对古龙增伤</t>
    <phoneticPr fontId="16" type="noConversion"/>
  </si>
  <si>
    <t>冲击力6（击倒）</t>
  </si>
  <si>
    <t>剑身冲击力6（击倒）</t>
  </si>
  <si>
    <t>冲击力6（击倒）；命中后自身回复30%生命，附近队友回复14%生命</t>
  </si>
  <si>
    <t>贴脸打击，不贴脸圣属性；贴脸冲击力6（击倒），不贴脸冲击力7（击退）</t>
  </si>
  <si>
    <t>同上</t>
    <phoneticPr fontId="18" type="noConversion"/>
  </si>
  <si>
    <r>
      <t>[125%，</t>
    </r>
    <r>
      <rPr>
        <sz val="11"/>
        <color theme="9" tint="-0.499984740745262"/>
        <rFont val="微软雅黑"/>
        <family val="2"/>
        <charset val="134"/>
      </rPr>
      <t>250中毒值（固定值）]</t>
    </r>
    <phoneticPr fontId="18" type="noConversion"/>
  </si>
  <si>
    <t>为武器附魔，增加10%伤害，人物对骷髅增加100%伤害并阻止复活，持续60秒</t>
    <phoneticPr fontId="18" type="noConversion"/>
  </si>
  <si>
    <t>增加10%伤害（队友增加7.5%伤害)，人物对骷髅增加50%伤害并阻止复活，持续60秒（队友有效）</t>
    <phoneticPr fontId="18" type="noConversion"/>
  </si>
  <si>
    <t>一段蓄力</t>
    <phoneticPr fontId="18" type="noConversion"/>
  </si>
  <si>
    <t>二段本身不可蓄力，如果一段蓄力了，二段就是蓄力的</t>
    <phoneticPr fontId="18" type="noConversion"/>
  </si>
  <si>
    <t>使用后圣属性伤害提升20%，持续60秒，属于身体类buff</t>
    <phoneticPr fontId="16" type="noConversion"/>
  </si>
  <si>
    <t>冲击力11（踉跄击倒）；命中敌人使其受到圣属性伤害增加20%，持续60秒</t>
  </si>
  <si>
    <t>冲击力11（踉跄击倒）</t>
  </si>
  <si>
    <t>霸体</t>
  </si>
  <si>
    <t>可以使用战技后再喝血，buff不会掉档</t>
    <phoneticPr fontId="18" type="noConversion"/>
  </si>
  <si>
    <t>直接命中没有岩浆且伤害降低（类似于魂3沸腾混沌）</t>
    <phoneticPr fontId="18" type="noConversion"/>
  </si>
  <si>
    <r>
      <t>每次</t>
    </r>
    <r>
      <rPr>
        <sz val="11"/>
        <color theme="9" tint="-0.499984740745262"/>
        <rFont val="微软雅黑"/>
        <family val="2"/>
        <charset val="134"/>
      </rPr>
      <t>20中毒值</t>
    </r>
    <r>
      <rPr>
        <sz val="11"/>
        <color rgb="FF000000"/>
        <rFont val="微软雅黑"/>
        <family val="2"/>
        <charset val="134"/>
      </rPr>
      <t>（感应补正）</t>
    </r>
    <phoneticPr fontId="18" type="noConversion"/>
  </si>
  <si>
    <r>
      <t>为右手武器附魔</t>
    </r>
    <r>
      <rPr>
        <sz val="11"/>
        <color theme="9" tint="-0.499984740745262"/>
        <rFont val="微软雅黑"/>
        <family val="2"/>
        <charset val="134"/>
      </rPr>
      <t>70中毒值</t>
    </r>
    <r>
      <rPr>
        <sz val="11"/>
        <color rgb="FF000000"/>
        <rFont val="微软雅黑"/>
        <family val="2"/>
        <charset val="134"/>
      </rPr>
      <t>（感应补正）</t>
    </r>
    <phoneticPr fontId="18" type="noConversion"/>
  </si>
  <si>
    <t>进行弹反，可偏移法术飞行物</t>
    <phoneticPr fontId="18" type="noConversion"/>
  </si>
  <si>
    <t>弹反帧较长；可弹反自己的飞行物并生成辉剑</t>
    <phoneticPr fontId="18" type="noConversion"/>
  </si>
  <si>
    <t>可以弹反自己的飞行物</t>
    <phoneticPr fontId="16" type="noConversion"/>
  </si>
  <si>
    <t>无补正</t>
    <phoneticPr fontId="16" type="noConversion"/>
  </si>
  <si>
    <t>无补正；冲击力7（击退）</t>
    <phoneticPr fontId="16" type="noConversion"/>
  </si>
  <si>
    <t>烟雾内每0.3秒叠加一次中毒条，异常倍率100%（对自己也有效）</t>
    <phoneticPr fontId="16" type="noConversion"/>
  </si>
  <si>
    <t>每发78%（物理）/110%（其他属性）</t>
    <phoneticPr fontId="16" type="noConversion"/>
  </si>
  <si>
    <t>（战灰版）</t>
    <phoneticPr fontId="18" type="noConversion"/>
  </si>
  <si>
    <t>特大武器处决第二段无法吃到决心</t>
    <phoneticPr fontId="18" type="noConversion"/>
  </si>
  <si>
    <t>猎犬步法</t>
    <phoneticPr fontId="18" type="noConversion"/>
  </si>
  <si>
    <t>格挡</t>
    <phoneticPr fontId="18" type="noConversion"/>
  </si>
  <si>
    <t>进行弹反</t>
    <phoneticPr fontId="18" type="noConversion"/>
  </si>
  <si>
    <t>进行弹反并消除箭类飞行物</t>
    <phoneticPr fontId="18" type="noConversion"/>
  </si>
  <si>
    <t>风暴障壁</t>
    <phoneticPr fontId="18" type="noConversion"/>
  </si>
  <si>
    <t>附魔</t>
    <phoneticPr fontId="16" type="noConversion"/>
  </si>
  <si>
    <t>并不会降低异常抗性</t>
    <phoneticPr fontId="16" type="noConversion"/>
  </si>
  <si>
    <t>最后一段冲击力4（大击退）</t>
    <phoneticPr fontId="16" type="noConversion"/>
  </si>
  <si>
    <t>108%×2（魔）+162%×6（魔）+194%（魔）</t>
    <phoneticPr fontId="16" type="noConversion"/>
  </si>
  <si>
    <t>200%×2（魔）</t>
    <phoneticPr fontId="16" type="noConversion"/>
  </si>
  <si>
    <t>托莉娜暗剑</t>
  </si>
  <si>
    <t>光明剑</t>
  </si>
  <si>
    <t>黑暗剑</t>
  </si>
  <si>
    <t>蕾妲的剑</t>
  </si>
  <si>
    <t>蕾菈娜的对剑</t>
  </si>
  <si>
    <t>孤牢大剑</t>
  </si>
  <si>
    <t>永罚大剑</t>
  </si>
  <si>
    <t>穆利缇尔的骑士剑</t>
  </si>
  <si>
    <t>古铁陨石大剑</t>
  </si>
  <si>
    <t>拉塔恩的大剑（王）</t>
  </si>
  <si>
    <t>拉塔恩的大剑（光）</t>
  </si>
  <si>
    <t>灵魂剑</t>
  </si>
  <si>
    <t>镰型刀</t>
  </si>
  <si>
    <t>拉纳舞蹈剑</t>
  </si>
  <si>
    <t>角战士曲剑</t>
  </si>
  <si>
    <t>角战士大曲剑</t>
  </si>
  <si>
    <t>咒剑士圆刃刀</t>
  </si>
  <si>
    <t>黑夜刀</t>
  </si>
  <si>
    <t>连星剑</t>
  </si>
  <si>
    <t>猎龙大刀</t>
  </si>
  <si>
    <t>罗刹大刀</t>
  </si>
  <si>
    <t>艾珀莉亚</t>
  </si>
  <si>
    <t>分岔舌手斧</t>
  </si>
  <si>
    <t>死骑士对斧</t>
  </si>
  <si>
    <t>波尼肢解菜刀</t>
  </si>
  <si>
    <t>死骑士长柄斧</t>
  </si>
  <si>
    <t>融泥大柴刀</t>
  </si>
  <si>
    <t>花岩槌</t>
  </si>
  <si>
    <t>蛇连枷</t>
  </si>
  <si>
    <t>铁砧大锤</t>
  </si>
  <si>
    <t>泥盆亚的大槌</t>
  </si>
  <si>
    <t>影轮草大花</t>
  </si>
  <si>
    <t>凝望指头</t>
  </si>
  <si>
    <t>倒刺杖矛</t>
  </si>
  <si>
    <t>血怪圣矛</t>
  </si>
  <si>
    <t>穿刺者矛</t>
  </si>
  <si>
    <t>灵魂剑刃戟</t>
  </si>
  <si>
    <t>花蕾刀</t>
  </si>
  <si>
    <t>黑曜薄刀</t>
  </si>
  <si>
    <t>畸齿软鞭</t>
  </si>
  <si>
    <t>毒皮手套</t>
  </si>
  <si>
    <t>癫狂皮手套</t>
  </si>
  <si>
    <t>休里耶的暗针</t>
  </si>
  <si>
    <t>黑夜爪</t>
  </si>
  <si>
    <t>红熊爪</t>
  </si>
  <si>
    <t>剧毒调香瓶</t>
  </si>
  <si>
    <t>骸骨弓</t>
  </si>
  <si>
    <t>安帕赫的长弓</t>
  </si>
  <si>
    <t>连射弩</t>
  </si>
  <si>
    <t>娜娜亚烛火</t>
  </si>
  <si>
    <t>喟叹头颅</t>
  </si>
  <si>
    <t>流纹盾</t>
  </si>
  <si>
    <t>黑夜盾</t>
  </si>
  <si>
    <t>黄金狮子盾</t>
  </si>
  <si>
    <t>铜绿大盾</t>
  </si>
  <si>
    <r>
      <t xml:space="preserve">艾尔登法环 v1.16 专用战技倍率、基础攻击力表   </t>
    </r>
    <r>
      <rPr>
        <b/>
        <sz val="12"/>
        <color rgb="FF000000"/>
        <rFont val="微软雅黑"/>
        <family val="2"/>
        <charset val="134"/>
      </rPr>
      <t>by: 虚空蛋黄酱</t>
    </r>
    <phoneticPr fontId="16" type="noConversion"/>
  </si>
  <si>
    <r>
      <t xml:space="preserve">艾尔登法环 v1.16 战灰战技倍率、基础攻击力表  </t>
    </r>
    <r>
      <rPr>
        <b/>
        <sz val="14"/>
        <color rgb="FF000000"/>
        <rFont val="微软雅黑"/>
        <family val="2"/>
        <charset val="134"/>
      </rPr>
      <t>by: 虚空蛋黄酱</t>
    </r>
    <phoneticPr fontId="18" type="noConversion"/>
  </si>
  <si>
    <t>勇猛狮子斩</t>
  </si>
  <si>
    <t>重力旋刺</t>
  </si>
  <si>
    <t>死角一击</t>
  </si>
  <si>
    <t>迅斩</t>
  </si>
  <si>
    <t>大上段</t>
  </si>
  <si>
    <t>野兽爪击</t>
  </si>
  <si>
    <t>野兽突袭</t>
  </si>
  <si>
    <t>贯穿投掷</t>
  </si>
  <si>
    <t>多重投掷</t>
  </si>
  <si>
    <t>单翼架式</t>
  </si>
  <si>
    <t>尊矣卡利亚</t>
  </si>
  <si>
    <t>火焰穿刺</t>
  </si>
  <si>
    <t>火焰枪</t>
  </si>
  <si>
    <t>瞬雷</t>
  </si>
  <si>
    <t>熔炉百相之羽</t>
  </si>
  <si>
    <t>双刺毒花</t>
  </si>
  <si>
    <t>唤起灵火</t>
  </si>
  <si>
    <t>神兽冻霜踏地</t>
  </si>
  <si>
    <t>悲恸惨叫</t>
  </si>
  <si>
    <t>发劲</t>
  </si>
  <si>
    <t>落叶旋风脚</t>
  </si>
  <si>
    <t>四面火花香</t>
  </si>
  <si>
    <t>串联火花香</t>
  </si>
  <si>
    <t>盾牌攻击</t>
  </si>
  <si>
    <t>埃贡的猎龙</t>
  </si>
  <si>
    <t>为方便描述，首先：按伤害可分为五种飞行物：A和A'（基础攻击55)，B（基础攻击75），C(基础攻击90），D（基础攻击100，冲击力7击退），A射程较短，A'只在起手出现，D只在收招时出现，A、B、C可组成组合子弹，每次造成伤害均为它们的组合。
不蓄力：共计4发，分别为A'ABC，ABC，ABC，D。
持续：前4发分别为A'ABC，ABC，ABC，AB，第4发开始额外耗蓝，每耗蓝1次发射一次组合子弹，第5至16发分别为：AB，ABC，ABC，ABC，AB，AB，AB，ABC，ABC，ABC，AB，AAB，随后继续施放将以每12发为一循环，重复上述5-16发的过程。最后在收招时施放D。
（注：1、同一个子弹实际上造成伤害的顺序并不是ABC，只是为了简化才按字母顺序排的。要考虑顺序的话更复杂，ABC、BAC、BCA、CBA都出现过，可能跟施法的位置、敌人的受击面等都有关。
2、收招施放D后，可能会因为当前的组合子弹没有施放完，会追加一至两个A。）</t>
    <phoneticPr fontId="16" type="noConversion"/>
  </si>
  <si>
    <t>魔法三辉剑</t>
  </si>
  <si>
    <t>蕾菈娜的双月</t>
  </si>
  <si>
    <t>引力球</t>
  </si>
  <si>
    <t>岩块刀刃</t>
  </si>
  <si>
    <t>辉石指爪</t>
  </si>
  <si>
    <t>辉石繁指爪</t>
  </si>
  <si>
    <t>虚幻小宇宙</t>
  </si>
  <si>
    <t>守护指头</t>
  </si>
  <si>
    <t>拒绝的刺</t>
  </si>
  <si>
    <t>灵魂光环</t>
  </si>
  <si>
    <t>融泥块</t>
  </si>
  <si>
    <t>融泥漩</t>
  </si>
  <si>
    <t>A+B代表两段伤害，可以打在同一敌人身上；A/B代表两种伤害，不能对同一敌人生效；A×n即为A+A+A+……，代表多段同类伤害重复n次。（注意，因为破防率的原因，攻击力不能直接相加，即使是相同属性相同敌人，攻击力1000和100×10的伤害可能会差出好几倍。）</t>
    <phoneticPr fontId="18" type="noConversion"/>
  </si>
  <si>
    <t>法术自己没有任何补正，攻击力完全取决于触媒，法术的攻击力=基础威力×触媒法强%。异常值中，毒、出血、发狂可受感应补正（不包括血焰的出血），其他均为固定值。</t>
    <phoneticPr fontId="18" type="noConversion"/>
  </si>
  <si>
    <t>所有伤害提升10%，任意武器增加25圣攻击力（附魔），人物对骷髅伤害提升100%且阻止复活，持续60秒（队友有效）</t>
    <phoneticPr fontId="16" type="noConversion"/>
  </si>
  <si>
    <t>下戳冲击力9（击飞）；黑焰：每0.1秒扣血0.1%+1，持续2秒（可叠加）</t>
    <phoneticPr fontId="18" type="noConversion"/>
  </si>
  <si>
    <t>远方之怒</t>
  </si>
  <si>
    <t>相迭光环</t>
  </si>
  <si>
    <t>米凯拉的光</t>
  </si>
  <si>
    <t>幽影之地</t>
  </si>
  <si>
    <t>熔炉百相之针</t>
  </si>
  <si>
    <t>熔炉百相之花</t>
  </si>
  <si>
    <t>骑士雷电枪</t>
  </si>
  <si>
    <t>带电</t>
  </si>
  <si>
    <t>黄金弯弧</t>
  </si>
  <si>
    <t>黄金大弯弧</t>
  </si>
  <si>
    <t>旋流</t>
  </si>
  <si>
    <t>守护灵</t>
  </si>
  <si>
    <t>神鸟羽毛</t>
  </si>
  <si>
    <t>神兽龙卷风</t>
  </si>
  <si>
    <t>火焰蛇</t>
  </si>
  <si>
    <t>火焰雨</t>
  </si>
  <si>
    <t>梅瑟莫的火球</t>
  </si>
  <si>
    <t>鲁格利亚的咆哮</t>
  </si>
  <si>
    <t>安帕赫的狂刃</t>
  </si>
  <si>
    <t>虫丝枪</t>
  </si>
  <si>
    <t>腐败蝶</t>
  </si>
  <si>
    <t>米德拉的癫火</t>
  </si>
  <si>
    <t>灵火吐息</t>
  </si>
  <si>
    <t>贝勒的残虐</t>
  </si>
  <si>
    <t>贝勒的焰雷</t>
  </si>
  <si>
    <t>法术自己没有任何补正，攻击力完全取决于触媒的法强，法术的攻击力=基础威力×触媒法强%。异常值中，毒、出血、发狂可受感应补正（不包括血焰的出血），其他均为固定值。</t>
    <phoneticPr fontId="18" type="noConversion"/>
  </si>
  <si>
    <r>
      <t>不蓄力：[513，</t>
    </r>
    <r>
      <rPr>
        <sz val="11"/>
        <color rgb="FF595959"/>
        <rFont val="微软雅黑"/>
        <family val="2"/>
        <charset val="134"/>
      </rPr>
      <t>50死亡值]</t>
    </r>
    <r>
      <rPr>
        <sz val="11"/>
        <color rgb="FF000000"/>
        <rFont val="微软雅黑"/>
        <family val="2"/>
        <charset val="134"/>
      </rPr>
      <t>+烟雾</t>
    </r>
    <r>
      <rPr>
        <sz val="11"/>
        <color rgb="FF595959"/>
        <rFont val="微软雅黑"/>
        <family val="2"/>
        <charset val="134"/>
      </rPr>
      <t>30死亡值</t>
    </r>
    <r>
      <rPr>
        <sz val="11"/>
        <color rgb="FF000000"/>
        <rFont val="微软雅黑"/>
        <family val="2"/>
        <charset val="134"/>
      </rPr>
      <t xml:space="preserve">
蓄力：[564，</t>
    </r>
    <r>
      <rPr>
        <sz val="11"/>
        <color rgb="FF595959"/>
        <rFont val="微软雅黑"/>
        <family val="2"/>
        <charset val="134"/>
      </rPr>
      <t>50死亡值]</t>
    </r>
    <r>
      <rPr>
        <sz val="11"/>
        <color rgb="FF000000"/>
        <rFont val="微软雅黑"/>
        <family val="2"/>
        <charset val="134"/>
      </rPr>
      <t>+烟雾</t>
    </r>
    <r>
      <rPr>
        <sz val="11"/>
        <color rgb="FF595959"/>
        <rFont val="微软雅黑"/>
        <family val="2"/>
        <charset val="134"/>
      </rPr>
      <t>30死亡值</t>
    </r>
    <phoneticPr fontId="18" type="noConversion"/>
  </si>
  <si>
    <t>不蓄力：215
蓄力：265</t>
    <phoneticPr fontId="18" type="noConversion"/>
  </si>
  <si>
    <t>爪395/震波253+二段爪410/震波263</t>
    <phoneticPr fontId="18" type="noConversion"/>
  </si>
  <si>
    <t>爪与震波不可同时命中；二段爪冲击力7（击退）</t>
    <phoneticPr fontId="18" type="noConversion"/>
  </si>
  <si>
    <t>喷火部分最多可中5段；不属于龙飨
龙吼、喷火冲击力7（击退），喷火爆炸冲击力9（击飞）</t>
    <phoneticPr fontId="18" type="noConversion"/>
  </si>
  <si>
    <t>龙吼241雷+喷火356火</t>
    <phoneticPr fontId="18" type="noConversion"/>
  </si>
  <si>
    <t>为左手盾牌附魔，盾牌魔属性减伤70%，其他属性减伤30%，耗精降低35%</t>
    <phoneticPr fontId="18" type="noConversion"/>
  </si>
  <si>
    <t>受到伤害减少10%，盾牌减伤20%，队友有效</t>
    <phoneticPr fontId="18" type="noConversion"/>
  </si>
  <si>
    <t>220%（火）+226%（火）+250%（火）+持续120%（火）</t>
    <phoneticPr fontId="16" type="noConversion"/>
  </si>
  <si>
    <t>削韧倍率/削韧
（基础削韧：5.75）</t>
  </si>
  <si>
    <t>优质战灰
（B类补正：力敏）</t>
    <phoneticPr fontId="18" type="noConversion"/>
  </si>
  <si>
    <t>寒冷战灰
（B类补正：敏智）</t>
    <phoneticPr fontId="18" type="noConversion"/>
  </si>
  <si>
    <t>起手375+光柱每发70</t>
    <phoneticPr fontId="18" type="noConversion"/>
  </si>
  <si>
    <t>黄金律法
光环</t>
  </si>
  <si>
    <t xml:space="preserve"> </t>
    <phoneticPr fontId="18" type="noConversion"/>
  </si>
  <si>
    <t>空中霸体</t>
    <phoneticPr fontId="18" type="noConversion"/>
  </si>
  <si>
    <t>空中霸体</t>
    <phoneticPr fontId="16" type="noConversion"/>
  </si>
  <si>
    <t>只有贴脸才会变成打击属性；贴脸冲击力6（击倒）</t>
    <phoneticPr fontId="18" type="noConversion"/>
  </si>
  <si>
    <t>不蓄力：每发80
蓄力：每发100，提升子弹数</t>
    <phoneticPr fontId="18" type="noConversion"/>
  </si>
  <si>
    <t>100×4</t>
    <phoneticPr fontId="18" type="noConversion"/>
  </si>
  <si>
    <t>蓄力冲击力9（击飞）；大型敌人可多次受到伤害</t>
    <phoneticPr fontId="18" type="noConversion"/>
  </si>
  <si>
    <r>
      <t>血焰：命中敌人后每0.1秒累积</t>
    </r>
    <r>
      <rPr>
        <sz val="11"/>
        <color rgb="FFC00000"/>
        <rFont val="微软雅黑"/>
        <family val="2"/>
        <charset val="134"/>
      </rPr>
      <t>3出血值</t>
    </r>
    <r>
      <rPr>
        <sz val="11"/>
        <color rgb="FF000000"/>
        <rFont val="微软雅黑"/>
        <family val="2"/>
        <charset val="134"/>
      </rPr>
      <t>，持续2秒</t>
    </r>
    <phoneticPr fontId="18" type="noConversion"/>
  </si>
  <si>
    <r>
      <t>无视盾牌；后续伤害命中敌人后每0.1秒累积</t>
    </r>
    <r>
      <rPr>
        <sz val="11"/>
        <color rgb="FFC00000"/>
        <rFont val="微软雅黑"/>
        <family val="2"/>
        <charset val="134"/>
      </rPr>
      <t>4出血值</t>
    </r>
    <r>
      <rPr>
        <sz val="11"/>
        <color rgb="FF000000"/>
        <rFont val="微软雅黑"/>
        <family val="2"/>
        <charset val="134"/>
      </rPr>
      <t>，持续2秒（持续命中不叠加，刷新时间），</t>
    </r>
    <r>
      <rPr>
        <sz val="11"/>
        <color rgb="FFFF0000"/>
        <rFont val="微软雅黑"/>
        <family val="2"/>
        <charset val="134"/>
      </rPr>
      <t>目前版本有严重bug，出血伤害有概率被吞掉</t>
    </r>
    <phoneticPr fontId="18" type="noConversion"/>
  </si>
  <si>
    <t>贴脸有双重判定；岩浆伤害不属于吐息</t>
    <phoneticPr fontId="18" type="noConversion"/>
  </si>
  <si>
    <t>咆哮冲击力7（击退）</t>
    <phoneticPr fontId="18" type="noConversion"/>
  </si>
  <si>
    <t>2×2</t>
    <phoneticPr fontId="18" type="noConversion"/>
  </si>
  <si>
    <t>3×2</t>
    <phoneticPr fontId="18" type="noConversion"/>
  </si>
  <si>
    <r>
      <t xml:space="preserve">艾尔登法环 v1.16 祷告基础攻击力表   </t>
    </r>
    <r>
      <rPr>
        <sz val="12"/>
        <color rgb="FF000000"/>
        <rFont val="微软雅黑"/>
        <family val="2"/>
        <charset val="134"/>
      </rPr>
      <t>by: 虚空蛋黄酱</t>
    </r>
    <phoneticPr fontId="18" type="noConversion"/>
  </si>
  <si>
    <t>不蓄力：每发5
蓄力：每发9.25</t>
    <phoneticPr fontId="18" type="noConversion"/>
  </si>
  <si>
    <t>段数会随飞行距离衰减，远距离约6次，大型敌人贴脸最多可命中约20发</t>
    <phoneticPr fontId="18" type="noConversion"/>
  </si>
  <si>
    <t>落地的基础伤害受触媒强化等级影响（类似战技）；花瓣无视盾牌；猩红腐败：每秒扣血0.33%+13，持续90秒</t>
    <phoneticPr fontId="18" type="noConversion"/>
  </si>
  <si>
    <t>不蓄力：298
蓄力：355</t>
    <phoneticPr fontId="18" type="noConversion"/>
  </si>
  <si>
    <t>不蓄力：54×9
蓄力：65×9</t>
    <phoneticPr fontId="16" type="noConversion"/>
  </si>
  <si>
    <t>不蓄力：287
蓄力：355，可击退</t>
    <phoneticPr fontId="18" type="noConversion"/>
  </si>
  <si>
    <t>不蓄力：每发49
蓄力：每发54，增加持续时间、数量</t>
    <phoneticPr fontId="18" type="noConversion"/>
  </si>
  <si>
    <t>升空125+每发碎片100</t>
    <phoneticPr fontId="18" type="noConversion"/>
  </si>
  <si>
    <r>
      <t>[328，</t>
    </r>
    <r>
      <rPr>
        <sz val="11"/>
        <color theme="4" tint="-0.499984740745262"/>
        <rFont val="微软雅黑"/>
        <family val="2"/>
        <charset val="134"/>
      </rPr>
      <t>170冰冻值</t>
    </r>
    <r>
      <rPr>
        <sz val="11"/>
        <color indexed="8"/>
        <rFont val="微软雅黑"/>
        <family val="2"/>
        <charset val="134"/>
      </rPr>
      <t>]</t>
    </r>
    <phoneticPr fontId="16" type="noConversion"/>
  </si>
  <si>
    <t>同上；插地冲击力6（击倒），震地冲击力9（击飞）</t>
  </si>
  <si>
    <t>头部命中可加伤12.5%；最后一段冲击力6（击倒）</t>
  </si>
  <si>
    <t>贴脸冲击力6（击倒），不贴脸冲击力7（击退）；因为腐败仪式杖无信仰补正，战技伤害远低于化身仪式杖</t>
  </si>
  <si>
    <t>同上；本体冲击力6（击倒），爆炸冲击力7（击退）</t>
  </si>
  <si>
    <t>剑气没有补正；命定之死：每0.1秒扣血0.1%+1，持续2秒（可叠加），没有扣上限效果</t>
    <phoneticPr fontId="16" type="noConversion"/>
  </si>
  <si>
    <r>
      <t>[190%，</t>
    </r>
    <r>
      <rPr>
        <sz val="11"/>
        <color rgb="FF595959"/>
        <rFont val="微软雅黑"/>
        <family val="2"/>
        <charset val="134"/>
      </rPr>
      <t>100死亡值]</t>
    </r>
    <phoneticPr fontId="16" type="noConversion"/>
  </si>
  <si>
    <r>
      <t>[160%，</t>
    </r>
    <r>
      <rPr>
        <sz val="11"/>
        <color rgb="FF7030A0"/>
        <rFont val="微软雅黑"/>
        <family val="2"/>
        <charset val="134"/>
      </rPr>
      <t>86睡眠值]</t>
    </r>
    <phoneticPr fontId="16" type="noConversion"/>
  </si>
  <si>
    <r>
      <t>[160%，</t>
    </r>
    <r>
      <rPr>
        <sz val="11"/>
        <color rgb="FF4C216D"/>
        <rFont val="微软雅黑"/>
        <family val="2"/>
        <charset val="134"/>
      </rPr>
      <t>57永眠值]</t>
    </r>
    <phoneticPr fontId="16" type="noConversion"/>
  </si>
  <si>
    <t>不受武器本身的出血值影响（异常倍率0%）</t>
    <phoneticPr fontId="16" type="noConversion"/>
  </si>
  <si>
    <r>
      <t>为武器附魔65魔攻击力及</t>
    </r>
    <r>
      <rPr>
        <sz val="11"/>
        <color rgb="FF2F5597"/>
        <rFont val="微软雅黑"/>
        <family val="2"/>
        <charset val="134"/>
      </rPr>
      <t>35冰冻值</t>
    </r>
    <r>
      <rPr>
        <sz val="11"/>
        <color rgb="FF000000"/>
        <rFont val="微软雅黑"/>
        <family val="2"/>
        <charset val="134"/>
      </rPr>
      <t>，武器重击可发射剑气，持续60秒</t>
    </r>
    <phoneticPr fontId="16" type="noConversion"/>
  </si>
  <si>
    <r>
      <t>[120%+50魔+</t>
    </r>
    <r>
      <rPr>
        <sz val="11"/>
        <color rgb="FF2F5597"/>
        <rFont val="微软雅黑"/>
        <family val="2"/>
        <charset val="134"/>
      </rPr>
      <t>60冰冻值]</t>
    </r>
    <phoneticPr fontId="16" type="noConversion"/>
  </si>
  <si>
    <r>
      <t>[110%+50魔+</t>
    </r>
    <r>
      <rPr>
        <sz val="11"/>
        <color rgb="FF2F5597"/>
        <rFont val="微软雅黑"/>
        <family val="2"/>
        <charset val="134"/>
      </rPr>
      <t>100冰冻值]</t>
    </r>
    <phoneticPr fontId="16" type="noConversion"/>
  </si>
  <si>
    <r>
      <t>[115，</t>
    </r>
    <r>
      <rPr>
        <sz val="11"/>
        <color rgb="FF2F5597"/>
        <rFont val="微软雅黑"/>
        <family val="2"/>
        <charset val="134"/>
      </rPr>
      <t>66冰冻值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</si>
  <si>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[140，</t>
    </r>
    <r>
      <rPr>
        <sz val="11"/>
        <color rgb="FF2F5597"/>
        <rFont val="微软雅黑"/>
        <family val="2"/>
        <charset val="134"/>
      </rPr>
      <t>83冰冻值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</si>
  <si>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[110%，</t>
    </r>
    <r>
      <rPr>
        <sz val="11"/>
        <color rgb="FF2F5597"/>
        <rFont val="微软雅黑"/>
        <family val="2"/>
        <charset val="134"/>
      </rPr>
      <t>65冰冻值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</si>
  <si>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[150，</t>
    </r>
    <r>
      <rPr>
        <sz val="11"/>
        <color rgb="FF2F5597"/>
        <rFont val="微软雅黑"/>
        <family val="2"/>
        <charset val="134"/>
      </rPr>
      <t>65冰冻值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</si>
  <si>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每段[60，</t>
    </r>
    <r>
      <rPr>
        <sz val="11"/>
        <color rgb="FF2F5597"/>
        <rFont val="微软雅黑"/>
        <family val="2"/>
        <charset val="134"/>
      </rPr>
      <t>130冰冻值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</si>
  <si>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[200，</t>
    </r>
    <r>
      <rPr>
        <sz val="11"/>
        <color rgb="FF2F5597"/>
        <rFont val="微软雅黑"/>
        <family val="2"/>
        <charset val="134"/>
      </rPr>
      <t>145冰冻值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</si>
  <si>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t>施放后续战技后不会爆炸</t>
    <phoneticPr fontId="16" type="noConversion"/>
  </si>
  <si>
    <r>
      <t>燃烧55×4+爆炸140，每段</t>
    </r>
    <r>
      <rPr>
        <sz val="11"/>
        <color rgb="FF2F5597"/>
        <rFont val="微软雅黑"/>
        <family val="2"/>
        <charset val="134"/>
      </rPr>
      <t>120冰冻值</t>
    </r>
    <phoneticPr fontId="16" type="noConversion"/>
  </si>
  <si>
    <t>接轻击（蔓延）</t>
    <phoneticPr fontId="16" type="noConversion"/>
  </si>
  <si>
    <t>弹反法术飞行物后发出光波，基础威力250圣</t>
    <phoneticPr fontId="16" type="noConversion"/>
  </si>
  <si>
    <r>
      <t>[40，</t>
    </r>
    <r>
      <rPr>
        <sz val="11"/>
        <color theme="7" tint="-0.499984740745262"/>
        <rFont val="微软雅黑"/>
        <family val="2"/>
        <charset val="134"/>
      </rPr>
      <t>23发狂值]</t>
    </r>
    <phoneticPr fontId="16" type="noConversion"/>
  </si>
  <si>
    <r>
      <t>[80%，</t>
    </r>
    <r>
      <rPr>
        <sz val="11"/>
        <color theme="7" tint="-0.499984740745262"/>
        <rFont val="微软雅黑"/>
        <family val="2"/>
        <charset val="134"/>
      </rPr>
      <t>98发狂值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</si>
  <si>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r>
      <t>[155，</t>
    </r>
    <r>
      <rPr>
        <sz val="11"/>
        <color theme="7" tint="-0.499984740745262"/>
        <rFont val="微软雅黑"/>
        <family val="2"/>
        <charset val="134"/>
      </rPr>
      <t>65发狂值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</si>
  <si>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t>蓄力时减伤25%，不蓄力施放时霸体20</t>
    <phoneticPr fontId="18" type="noConversion"/>
  </si>
  <si>
    <t>消除中毒与猩红腐败效果与累积，消除冻伤效果，扣血15点</t>
    <phoneticPr fontId="18" type="noConversion"/>
  </si>
  <si>
    <t>消除冻伤效果是因为15点扣血属于火焰伤害</t>
    <phoneticPr fontId="18" type="noConversion"/>
  </si>
  <si>
    <t>不蓄力：220
蓄力：275，扩大范围，延长距离</t>
    <phoneticPr fontId="18" type="noConversion"/>
  </si>
  <si>
    <t>不蓄力：每次317
蓄力：每次379，扩大范围</t>
    <phoneticPr fontId="18" type="noConversion"/>
  </si>
  <si>
    <t>不蓄力：爆炸213+持续45
蓄力：爆炸262+持续59
（后续持续伤害不受法强加成）</t>
    <phoneticPr fontId="18" type="noConversion"/>
  </si>
  <si>
    <t>不蓄力：239
蓄力：279，可击飞</t>
    <phoneticPr fontId="18" type="noConversion"/>
  </si>
  <si>
    <t>每发288，持续施放延长时间</t>
    <phoneticPr fontId="18" type="noConversion"/>
  </si>
  <si>
    <t>全程霸体</t>
  </si>
  <si>
    <t>全程霸体</t>
    <phoneticPr fontId="18" type="noConversion"/>
  </si>
  <si>
    <t>比忍耐时间长（应该是1.08削弱忍耐时候忘改这个了）</t>
    <phoneticPr fontId="16" type="noConversion"/>
  </si>
  <si>
    <t>进行弹反，若弹反并吸收法术飞行物，则耗蓝并生成3把辉剑，攻击力270×3（魔，固定值，不受武器强化等加成）</t>
    <phoneticPr fontId="18" type="noConversion"/>
  </si>
  <si>
    <t>0或8</t>
    <phoneticPr fontId="18" type="noConversion"/>
  </si>
  <si>
    <t>继续按R1可以循环使用，并且蕾菈娜浮雕的buff一直都在</t>
    <phoneticPr fontId="18" type="noConversion"/>
  </si>
  <si>
    <t>轻、重、长柄武器、拳套类均有独立模组</t>
    <phoneticPr fontId="18" type="noConversion"/>
  </si>
  <si>
    <t>受到所有伤害减少45%，抵抗除11以外所有冲击，人物获得35弹刀力，持续3.5秒（重、特大）/3秒（其他）</t>
    <phoneticPr fontId="18" type="noConversion"/>
  </si>
  <si>
    <t>使用后受到所有伤害减少45%，抵抗除11以外所有冲击，人物获得35弹刀力，持续5秒；人物所有属性+5，持续60秒</t>
    <phoneticPr fontId="16" type="noConversion"/>
  </si>
  <si>
    <t>旋转</t>
    <phoneticPr fontId="16" type="noConversion"/>
  </si>
  <si>
    <t>为武器附魔90火攻击力，持续30秒，持续时间内使用武器砸地（重击、滚攻或跳重击）将引爆</t>
    <phoneticPr fontId="16" type="noConversion"/>
  </si>
  <si>
    <t>削韧
（基础削韧：短剑3，投掷剑2）</t>
    <phoneticPr fontId="16" type="noConversion"/>
  </si>
  <si>
    <t>15+0.75×6+2×2</t>
    <phoneticPr fontId="16" type="noConversion"/>
  </si>
  <si>
    <t>15+1.5×6+2+5</t>
    <phoneticPr fontId="16" type="noConversion"/>
  </si>
  <si>
    <t>3+18</t>
  </si>
  <si>
    <t>7.5×2</t>
  </si>
  <si>
    <t>5×2+3.25×6+5</t>
    <phoneticPr fontId="16" type="noConversion"/>
  </si>
  <si>
    <t>2.75×2</t>
  </si>
  <si>
    <t>2.75×2</t>
    <phoneticPr fontId="16" type="noConversion"/>
  </si>
  <si>
    <t>5.5×2</t>
  </si>
  <si>
    <t>5.5×2</t>
    <phoneticPr fontId="16" type="noConversion"/>
  </si>
  <si>
    <t>5×2</t>
  </si>
  <si>
    <t>5×2</t>
    <phoneticPr fontId="16" type="noConversion"/>
  </si>
  <si>
    <t>2.75×3</t>
    <phoneticPr fontId="16" type="noConversion"/>
  </si>
  <si>
    <t>8.25×2+11+持续5.5</t>
    <phoneticPr fontId="16" type="noConversion"/>
  </si>
  <si>
    <t>8.25+1.1×10</t>
    <phoneticPr fontId="16" type="noConversion"/>
  </si>
  <si>
    <t>3×10+10×2</t>
    <phoneticPr fontId="16" type="noConversion"/>
  </si>
  <si>
    <t>45%×10+125%×2</t>
    <phoneticPr fontId="16" type="noConversion"/>
  </si>
  <si>
    <t>为武器附魔100圣攻击力，替换武器双手重击模组，持续60秒</t>
    <phoneticPr fontId="16" type="noConversion"/>
  </si>
  <si>
    <t>16.5+0.825×6+2.2×2</t>
    <phoneticPr fontId="16" type="noConversion"/>
  </si>
  <si>
    <t>16.5+1.65×6+2.2+5.5</t>
    <phoneticPr fontId="16" type="noConversion"/>
  </si>
  <si>
    <t>5.5+11</t>
    <phoneticPr fontId="16" type="noConversion"/>
  </si>
  <si>
    <t>11+8.25</t>
    <phoneticPr fontId="16" type="noConversion"/>
  </si>
  <si>
    <t>33+11×3</t>
    <phoneticPr fontId="16" type="noConversion"/>
  </si>
  <si>
    <t>5.1+18</t>
    <phoneticPr fontId="16" type="noConversion"/>
  </si>
  <si>
    <t>12+3</t>
    <phoneticPr fontId="16" type="noConversion"/>
  </si>
  <si>
    <t>9+3×2</t>
    <phoneticPr fontId="16" type="noConversion"/>
  </si>
  <si>
    <t>7.8+9+1.8×3</t>
    <phoneticPr fontId="16" type="noConversion"/>
  </si>
  <si>
    <t>11×2</t>
  </si>
  <si>
    <t>每次2</t>
  </si>
  <si>
    <t>4.5+14.5</t>
  </si>
  <si>
    <t>4.25×2</t>
  </si>
  <si>
    <t>3.5×7</t>
  </si>
  <si>
    <t>1.5+2</t>
  </si>
  <si>
    <t>3+3.5</t>
  </si>
  <si>
    <t>2+2.5</t>
  </si>
  <si>
    <t>3.5+1.5</t>
  </si>
  <si>
    <t>33+5.5</t>
  </si>
  <si>
    <t>一段10.12，二段12.65</t>
  </si>
  <si>
    <t>4×4</t>
  </si>
  <si>
    <t>3.5×2+6.5</t>
  </si>
  <si>
    <t>7×2+10</t>
  </si>
  <si>
    <t>4×2（剑身）
2+2.5（剑气）</t>
  </si>
  <si>
    <t>4×3（剑身）
2×2+3（剑气）</t>
  </si>
  <si>
    <t>10（剑身）
5（剑气）</t>
  </si>
  <si>
    <t>5+2.5</t>
  </si>
  <si>
    <t>3.75+3.75</t>
  </si>
  <si>
    <t>2.5+12.5</t>
  </si>
  <si>
    <t>2.5×2+5×2+7.5×2+15</t>
  </si>
  <si>
    <t>15×2</t>
  </si>
  <si>
    <t>1.25×5</t>
  </si>
  <si>
    <t>2.5×8+5</t>
  </si>
  <si>
    <t>1.25×11</t>
  </si>
  <si>
    <t>3.25×26+5</t>
  </si>
  <si>
    <t>4.5×3</t>
  </si>
  <si>
    <t>4.5×2</t>
  </si>
  <si>
    <t>7.5×4</t>
  </si>
  <si>
    <t>5×6</t>
  </si>
  <si>
    <t>8.25×2</t>
  </si>
  <si>
    <t>5.5+2.75+5.5</t>
  </si>
  <si>
    <t>8.25+8.25+16.5</t>
  </si>
  <si>
    <t>9.75×2</t>
  </si>
  <si>
    <t>13+26</t>
  </si>
  <si>
    <t>26.65+16.25</t>
  </si>
  <si>
    <t>5.4+12</t>
  </si>
  <si>
    <t>9+15</t>
  </si>
  <si>
    <t>5.4+3.6×2+1.8×4</t>
  </si>
  <si>
    <t>每个1.9</t>
  </si>
  <si>
    <t>11+22</t>
  </si>
  <si>
    <t>5.5+19.25</t>
  </si>
  <si>
    <t>7.15×3</t>
  </si>
  <si>
    <t>1.5×8</t>
  </si>
  <si>
    <t>起手3，后续0.6每次</t>
  </si>
  <si>
    <t>15+30</t>
  </si>
  <si>
    <t>7.5×2+22.5</t>
  </si>
  <si>
    <t>7.5×2+30</t>
  </si>
  <si>
    <t>每发6</t>
  </si>
  <si>
    <t>每发2.8</t>
    <phoneticPr fontId="16" type="noConversion"/>
  </si>
  <si>
    <t>8+1.2×2</t>
    <phoneticPr fontId="16" type="noConversion"/>
  </si>
  <si>
    <t>4.6×2+1.2×2</t>
    <phoneticPr fontId="16" type="noConversion"/>
  </si>
  <si>
    <t>3.75+11.5</t>
  </si>
  <si>
    <t>12.5+10</t>
  </si>
  <si>
    <t>8.5+11+蝴蝶每个2</t>
  </si>
  <si>
    <t>10+19.5</t>
  </si>
  <si>
    <t>10+2.5+10</t>
  </si>
  <si>
    <t>2.8+8</t>
  </si>
  <si>
    <t>每次8</t>
  </si>
  <si>
    <t>起手2.5，火球2.5，上挑7.5，燃烧4</t>
  </si>
  <si>
    <t>突刺10/风5</t>
    <phoneticPr fontId="16" type="noConversion"/>
  </si>
  <si>
    <t>突刺178%/风132%</t>
    <phoneticPr fontId="16" type="noConversion"/>
  </si>
  <si>
    <r>
      <t>150%，</t>
    </r>
    <r>
      <rPr>
        <sz val="11"/>
        <color theme="7" tint="-0.499984740745262"/>
        <rFont val="微软雅黑"/>
        <family val="2"/>
        <charset val="134"/>
      </rPr>
      <t>305发狂值</t>
    </r>
    <phoneticPr fontId="16" type="noConversion"/>
  </si>
  <si>
    <r>
      <t>[110，</t>
    </r>
    <r>
      <rPr>
        <sz val="11"/>
        <color rgb="FF2F5597"/>
        <rFont val="微软雅黑"/>
        <family val="2"/>
        <charset val="134"/>
      </rPr>
      <t>80冰冻值]</t>
    </r>
    <r>
      <rPr>
        <sz val="11"/>
        <color rgb="FF000000"/>
        <rFont val="微软雅黑"/>
        <family val="2"/>
        <charset val="134"/>
      </rPr>
      <t>×5</t>
    </r>
    <phoneticPr fontId="16" type="noConversion"/>
  </si>
  <si>
    <r>
      <t>每发[59，</t>
    </r>
    <r>
      <rPr>
        <sz val="11"/>
        <color rgb="FFC00000"/>
        <rFont val="微软雅黑"/>
        <family val="2"/>
        <charset val="134"/>
      </rPr>
      <t>28出血值（固定值）</t>
    </r>
    <r>
      <rPr>
        <sz val="11"/>
        <color rgb="FF000000"/>
        <rFont val="微软雅黑"/>
        <family val="2"/>
        <charset val="134"/>
      </rPr>
      <t>]</t>
    </r>
    <phoneticPr fontId="16" type="noConversion"/>
  </si>
  <si>
    <t>削韧
（基础削韧：3）</t>
    <phoneticPr fontId="16" type="noConversion"/>
  </si>
  <si>
    <t>削韧
（基础削韧：5）</t>
  </si>
  <si>
    <t>削韧
（基础削韧：5.5）</t>
  </si>
  <si>
    <t>削韧
（基础削韧：6）</t>
  </si>
  <si>
    <t>削韧
（基础削韧：刺剑4，重刺剑5.5）</t>
  </si>
  <si>
    <t>削韧
（基础削韧：6.5）</t>
  </si>
  <si>
    <t>削韧
（基础削韧：特大斧6，特大锤7.5）</t>
  </si>
  <si>
    <t>削韧
（基础削韧：4）</t>
  </si>
  <si>
    <t>削韧
（基础削韧：拳套、拳剑5；钩爪、格斗术、兽爪4）</t>
  </si>
  <si>
    <t>削韧
（基础削韧：7）</t>
    <phoneticPr fontId="16" type="noConversion"/>
  </si>
  <si>
    <t>爆炸10.5，火球4.9</t>
  </si>
  <si>
    <t>削韧
（基础削韧：小盾5，中盾5.5，大盾6，突刺盾5.5）</t>
    <phoneticPr fontId="16" type="noConversion"/>
  </si>
  <si>
    <t>每次突进4.5+爆炸7.5</t>
    <phoneticPr fontId="16" type="noConversion"/>
  </si>
  <si>
    <t>没有伤害</t>
    <phoneticPr fontId="16" type="noConversion"/>
  </si>
  <si>
    <t>难以被敌人发现，持续15秒</t>
    <phoneticPr fontId="16" type="noConversion"/>
  </si>
  <si>
    <r>
      <t>264%，</t>
    </r>
    <r>
      <rPr>
        <sz val="11"/>
        <color theme="9" tint="-0.499984740745262"/>
        <rFont val="微软雅黑"/>
        <family val="2"/>
        <charset val="134"/>
      </rPr>
      <t>322中毒值（固定值）</t>
    </r>
    <phoneticPr fontId="16" type="noConversion"/>
  </si>
  <si>
    <r>
      <t>150%，额外附带</t>
    </r>
    <r>
      <rPr>
        <sz val="11"/>
        <color theme="9" tint="-0.499984740745262"/>
        <rFont val="微软雅黑"/>
        <family val="2"/>
        <charset val="134"/>
      </rPr>
      <t>155中毒值（感应补正）</t>
    </r>
    <phoneticPr fontId="16" type="noConversion"/>
  </si>
  <si>
    <t>每发140%</t>
    <phoneticPr fontId="16" type="noConversion"/>
  </si>
  <si>
    <t>每发2</t>
    <phoneticPr fontId="16" type="noConversion"/>
  </si>
  <si>
    <t>每发36%，约33发（魔像大箭为44%每发）</t>
    <phoneticPr fontId="16" type="noConversion"/>
  </si>
  <si>
    <t>每发2.45（魔像大箭3.5）</t>
    <phoneticPr fontId="16" type="noConversion"/>
  </si>
  <si>
    <t>削韧
（基础削韧：小箭2，大箭7，魔像大箭10）</t>
    <phoneticPr fontId="16" type="noConversion"/>
  </si>
  <si>
    <t>最后一段为斩击，其余为普通，与欧赫宝剑物理属性不同</t>
    <phoneticPr fontId="16" type="noConversion"/>
  </si>
  <si>
    <t>祷告</t>
    <phoneticPr fontId="18" type="noConversion"/>
  </si>
  <si>
    <t>魔法</t>
    <phoneticPr fontId="18" type="noConversion"/>
  </si>
  <si>
    <r>
      <t xml:space="preserve">艾尔登法环 v1.16 魔法基础攻击力表   </t>
    </r>
    <r>
      <rPr>
        <sz val="11"/>
        <color rgb="FF000000"/>
        <rFont val="微软雅黑"/>
        <family val="2"/>
        <charset val="134"/>
      </rPr>
      <t>by: 虚空蛋黄酱</t>
    </r>
    <phoneticPr fontId="16" type="noConversion"/>
  </si>
  <si>
    <t>A&amp;B</t>
  </si>
  <si>
    <r>
      <t>A类：攻击力完全取决于武器面板，A类战技攻击力=武器面板×攻击倍率
B类：基础攻击力只取决于武器强化等级（强化系数：不强化为1，满强为4，线性成长），</t>
    </r>
    <r>
      <rPr>
        <sz val="11"/>
        <color rgb="FFC00000"/>
        <rFont val="微软雅黑"/>
        <family val="2"/>
        <charset val="134"/>
      </rPr>
      <t>B类专用战技补正系数与武器一致（但有部分例外）</t>
    </r>
    <r>
      <rPr>
        <sz val="11"/>
        <color rgb="FF000000"/>
        <rFont val="微软雅黑"/>
        <family val="2"/>
        <charset val="134"/>
      </rPr>
      <t>，B类战技攻击力=基础值×强化系数×(1+补正倍率1+补正倍率2+...)
A&amp;B类：A类与B类混合型（攻击力为A部分攻击力+B部分攻击力）
其他类：无伤害成分，辅助类战技
战技为武器附魔的攻击力全部为固定值；异常值除了出血、中毒外均为固定值，出血、中毒有的受感应补正，有的是固定值。</t>
    </r>
    <phoneticPr fontId="16" type="noConversion"/>
  </si>
  <si>
    <r>
      <t xml:space="preserve">      艾尔登法环 v1.16 辅助类法术   </t>
    </r>
    <r>
      <rPr>
        <b/>
        <sz val="10"/>
        <color rgb="FF000000"/>
        <rFont val="微软雅黑"/>
        <family val="2"/>
        <charset val="134"/>
      </rPr>
      <t>by: 虚空蛋黄酱</t>
    </r>
    <phoneticPr fontId="18" type="noConversion"/>
  </si>
  <si>
    <t>主动使用法术、道具或骨灰效果获得的buff可分为两大类（有些攻略分的“群体、单体”并不十分合适）：
立誓类buff：包括各种版本的黄金树立誓、哀悼墓碑、共享圣律等等。
身体类buff：包括各种减伤效果（x防护以及升级版，虾子螃蟹，各种肝脏干等等）以及火赐、嘶吼等加伤buff。
以上两种buff均为同类互相冲突，同一时间内最多只能有一个立誓类和一个身体类buff，其余手段获得的buff则均不冲突。</t>
    <phoneticPr fontId="18" type="noConversion"/>
  </si>
  <si>
    <t>米丽安的消失</t>
  </si>
  <si>
    <t>棘刺上身</t>
  </si>
  <si>
    <t>远方之恢复</t>
  </si>
  <si>
    <t>芙柔桑克斯的龙雷</t>
  </si>
  <si>
    <t>小黄金树</t>
  </si>
  <si>
    <t>A类：攻击力完全取决于武器面板，A类战技攻击力=武器面板×攻击倍率
B类：基础攻击力只取决于武器强化等级（强化系数：不强化为1，满强为4，线性成长），B类战灰战技基础补正系数被替换为25%（单补正）或15%（双补正），B类战技攻击力=基础值×强化系数×(1+补正倍率1+补正倍率2+...)
A&amp;B类：A类与B类混合型（攻击力为A部分攻击力+B部分攻击力，其中B部分攻击力以武器本身对应属性补正计算）
其他类：无伤害成分，辅助类战技
战技为武器附魔的攻击力全部为固定值；异常值有的为固定值，有的可受感应补正。</t>
  </si>
  <si>
    <t>部分战灰战技的模组、威力、性能与武器分类有关。武器分类及基础削韧值如下：
轻：短剑3、投掷剑2、长剑5、轻大剑5.5、刺剑4、重刺剑5.5、曲剑5、反手剑5、刀5、槌6.5、连枷6、斧5、调香瓶4（以及拳套类武器）
重：大剑5.5、大刀5.5、大曲剑5.5、大斧5.5、大槌7
特大：特大剑6、特大武器7.5（特大锤）或6（特大斧）
长柄：双头剑5、矛5、大矛5.5、戟5、镰刀5
拳套类：拳头5、钩爪4、格斗术4、兽爪4
盾牌类：小盾5，中盾5.5，大盾6，突刺盾5.5</t>
    <phoneticPr fontId="18" type="noConversion"/>
  </si>
  <si>
    <t>攻击力为智力补正；冲击力9（击飞）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</si>
</sst>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1"/>
      <name val="宋体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18"/>
      <color rgb="FF000000"/>
      <name val="微软雅黑"/>
      <family val="2"/>
      <charset val="134"/>
    </font>
    <font>
      <sz val="11"/>
      <color rgb="FF7030A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2F5597"/>
      <name val="微软雅黑"/>
      <family val="2"/>
      <charset val="134"/>
    </font>
    <font>
      <sz val="11"/>
      <color rgb="FF595959"/>
      <name val="微软雅黑"/>
      <family val="2"/>
      <charset val="134"/>
    </font>
    <font>
      <sz val="9"/>
      <name val="宋体"/>
      <family val="3"/>
      <charset val="134"/>
    </font>
    <font>
      <sz val="11"/>
      <color rgb="FF000000"/>
      <name val="微软雅黑"/>
      <family val="2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8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8" tint="-0.249977111117893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11"/>
      <color rgb="FF833B0B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color rgb="FF2F75B6"/>
      <name val="微软雅黑"/>
      <family val="2"/>
      <charset val="134"/>
    </font>
    <font>
      <sz val="11"/>
      <color theme="4" tint="-0.499984740745262"/>
      <name val="微软雅黑"/>
      <family val="2"/>
      <charset val="134"/>
    </font>
    <font>
      <sz val="11"/>
      <color theme="5" tint="-0.499984740745262"/>
      <name val="微软雅黑"/>
      <family val="2"/>
      <charset val="134"/>
    </font>
    <font>
      <sz val="11"/>
      <color theme="9" tint="-0.499984740745262"/>
      <name val="微软雅黑"/>
      <family val="2"/>
      <charset val="134"/>
    </font>
    <font>
      <sz val="11"/>
      <color rgb="FF4C216D"/>
      <name val="微软雅黑"/>
      <family val="2"/>
      <charset val="134"/>
    </font>
    <font>
      <sz val="11"/>
      <color theme="7" tint="-0.499984740745262"/>
      <name val="微软雅黑"/>
      <family val="2"/>
      <charset val="134"/>
    </font>
    <font>
      <b/>
      <sz val="11"/>
      <name val="宋体"/>
      <family val="3"/>
      <charset val="134"/>
    </font>
    <font>
      <sz val="11"/>
      <color rgb="FF806000"/>
      <name val="微软雅黑"/>
      <family val="2"/>
      <charset val="134"/>
    </font>
    <font>
      <sz val="11"/>
      <color rgb="FF1F4E78"/>
      <name val="微软雅黑"/>
      <family val="2"/>
      <charset val="134"/>
    </font>
    <font>
      <b/>
      <sz val="12"/>
      <color rgb="FF00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1"/>
      <color rgb="FFD20000"/>
      <name val="微软雅黑"/>
      <family val="2"/>
      <charset val="134"/>
    </font>
    <font>
      <sz val="11"/>
      <color rgb="FFDF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0"/>
      <color rgb="FF000000"/>
      <name val="微软雅黑"/>
      <family val="2"/>
      <charset val="134"/>
    </font>
  </fonts>
  <fills count="52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7DDFF"/>
        <bgColor indexed="64"/>
      </patternFill>
    </fill>
    <fill>
      <patternFill patternType="solid">
        <fgColor rgb="FF93C0E4"/>
        <bgColor indexed="64"/>
      </patternFill>
    </fill>
    <fill>
      <patternFill patternType="solid">
        <fgColor rgb="FFFDC8BB"/>
        <bgColor indexed="64"/>
      </patternFill>
    </fill>
    <fill>
      <patternFill patternType="solid">
        <fgColor rgb="FFDBEEFF"/>
        <bgColor indexed="64"/>
      </patternFill>
    </fill>
    <fill>
      <patternFill patternType="solid">
        <fgColor rgb="FFF3B2B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E5CFCA"/>
        <bgColor indexed="64"/>
      </patternFill>
    </fill>
    <fill>
      <patternFill patternType="solid">
        <fgColor rgb="FFFFD291"/>
        <bgColor indexed="64"/>
      </patternFill>
    </fill>
    <fill>
      <patternFill patternType="solid">
        <fgColor rgb="FFFCEBBD"/>
        <bgColor indexed="64"/>
      </patternFill>
    </fill>
    <fill>
      <patternFill patternType="solid">
        <fgColor rgb="FFFFD3BD"/>
        <bgColor indexed="64"/>
      </patternFill>
    </fill>
    <fill>
      <patternFill patternType="solid">
        <fgColor rgb="FFFFBFA6"/>
        <bgColor indexed="64"/>
      </patternFill>
    </fill>
    <fill>
      <patternFill patternType="solid">
        <fgColor rgb="FFE2DFCB"/>
        <bgColor indexed="64"/>
      </patternFill>
    </fill>
    <fill>
      <patternFill patternType="solid">
        <fgColor rgb="FFFFFEA9"/>
        <bgColor indexed="64"/>
      </patternFill>
    </fill>
    <fill>
      <patternFill patternType="solid">
        <fgColor rgb="FFF5ECD6"/>
        <bgColor indexed="64"/>
      </patternFill>
    </fill>
    <fill>
      <patternFill patternType="solid">
        <fgColor rgb="FFCFB4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C5F3"/>
        <bgColor indexed="64"/>
      </patternFill>
    </fill>
    <fill>
      <patternFill patternType="solid">
        <fgColor rgb="FFFFF4D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1F3FF"/>
        <bgColor indexed="64"/>
      </patternFill>
    </fill>
    <fill>
      <patternFill patternType="solid">
        <fgColor rgb="FFECE9E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F2CC"/>
        <bgColor indexed="64"/>
      </patternFill>
    </fill>
    <fill>
      <patternFill patternType="solid">
        <fgColor rgb="FFABC8FB"/>
        <bgColor indexed="64"/>
      </patternFill>
    </fill>
    <fill>
      <patternFill patternType="solid">
        <fgColor rgb="FFC4D8FC"/>
        <bgColor indexed="64"/>
      </patternFill>
    </fill>
    <fill>
      <patternFill patternType="solid">
        <fgColor rgb="FFCCCEE2"/>
        <bgColor indexed="64"/>
      </patternFill>
    </fill>
    <fill>
      <patternFill patternType="solid">
        <fgColor rgb="FFFAEB94"/>
        <bgColor indexed="64"/>
      </patternFill>
    </fill>
    <fill>
      <patternFill patternType="solid">
        <fgColor rgb="FFE9D6BD"/>
        <bgColor indexed="64"/>
      </patternFill>
    </fill>
    <fill>
      <patternFill patternType="solid">
        <fgColor rgb="FFEDE9DB"/>
        <bgColor indexed="64"/>
      </patternFill>
    </fill>
    <fill>
      <patternFill patternType="solid">
        <fgColor rgb="FFECB7B6"/>
        <bgColor indexed="64"/>
      </patternFill>
    </fill>
    <fill>
      <patternFill patternType="solid">
        <fgColor rgb="FFFFCCB7"/>
        <bgColor indexed="64"/>
      </patternFill>
    </fill>
    <fill>
      <patternFill patternType="solid">
        <fgColor rgb="FFD7D4CB"/>
        <bgColor indexed="64"/>
      </patternFill>
    </fill>
    <fill>
      <patternFill patternType="solid">
        <fgColor rgb="FFFDC7E1"/>
        <bgColor indexed="64"/>
      </patternFill>
    </fill>
    <fill>
      <patternFill patternType="solid">
        <fgColor rgb="FFFFCDB9"/>
        <bgColor indexed="64"/>
      </patternFill>
    </fill>
    <fill>
      <patternFill patternType="solid">
        <fgColor rgb="FFF7C9C9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F8CCAE"/>
        <bgColor indexed="64"/>
      </patternFill>
    </fill>
    <fill>
      <patternFill patternType="solid">
        <fgColor rgb="FFFFC2A3"/>
        <bgColor indexed="64"/>
      </patternFill>
    </fill>
    <fill>
      <patternFill patternType="solid">
        <fgColor rgb="FFDFCDBB"/>
        <bgColor indexed="64"/>
      </patternFill>
    </fill>
    <fill>
      <patternFill patternType="solid">
        <fgColor rgb="FFFFEBB3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19" fillId="0" borderId="0">
      <alignment vertical="center"/>
    </xf>
  </cellStyleXfs>
  <cellXfs count="235">
    <xf numFmtId="0" fontId="0" fillId="0" borderId="0" xfId="0">
      <alignment vertical="center"/>
    </xf>
    <xf numFmtId="0" fontId="4" fillId="0" borderId="0" xfId="0" applyFont="1">
      <alignment vertical="center"/>
    </xf>
    <xf numFmtId="9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9" fontId="7" fillId="3" borderId="2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9" fontId="7" fillId="3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9" fontId="7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9" fillId="0" borderId="0" xfId="1">
      <alignment vertical="center"/>
    </xf>
    <xf numFmtId="0" fontId="21" fillId="0" borderId="0" xfId="1" applyFont="1" applyAlignment="1">
      <alignment horizontal="center" vertical="center" wrapText="1"/>
    </xf>
    <xf numFmtId="0" fontId="22" fillId="6" borderId="1" xfId="1" applyFont="1" applyFill="1" applyBorder="1" applyAlignment="1">
      <alignment horizontal="center" vertical="center" wrapText="1"/>
    </xf>
    <xf numFmtId="0" fontId="22" fillId="7" borderId="1" xfId="1" applyFont="1" applyFill="1" applyBorder="1" applyAlignment="1">
      <alignment horizontal="center" vertical="center" wrapText="1"/>
    </xf>
    <xf numFmtId="0" fontId="23" fillId="8" borderId="2" xfId="1" applyFont="1" applyFill="1" applyBorder="1" applyAlignment="1">
      <alignment horizontal="center" vertical="center" wrapText="1"/>
    </xf>
    <xf numFmtId="0" fontId="22" fillId="9" borderId="1" xfId="1" applyFont="1" applyFill="1" applyBorder="1" applyAlignment="1">
      <alignment horizontal="center" vertical="center" wrapText="1"/>
    </xf>
    <xf numFmtId="0" fontId="22" fillId="10" borderId="1" xfId="1" applyFont="1" applyFill="1" applyBorder="1" applyAlignment="1">
      <alignment horizontal="center" vertical="center" wrapText="1"/>
    </xf>
    <xf numFmtId="0" fontId="22" fillId="5" borderId="1" xfId="1" applyFont="1" applyFill="1" applyBorder="1" applyAlignment="1">
      <alignment horizontal="center" vertical="center" wrapText="1"/>
    </xf>
    <xf numFmtId="0" fontId="22" fillId="11" borderId="1" xfId="1" applyFont="1" applyFill="1" applyBorder="1" applyAlignment="1">
      <alignment horizontal="center" vertical="center" wrapText="1"/>
    </xf>
    <xf numFmtId="0" fontId="22" fillId="12" borderId="1" xfId="1" applyFont="1" applyFill="1" applyBorder="1" applyAlignment="1">
      <alignment horizontal="center" vertical="center" wrapText="1"/>
    </xf>
    <xf numFmtId="0" fontId="22" fillId="3" borderId="1" xfId="1" applyFont="1" applyFill="1" applyBorder="1" applyAlignment="1">
      <alignment horizontal="center" vertical="center" wrapText="1"/>
    </xf>
    <xf numFmtId="0" fontId="22" fillId="13" borderId="1" xfId="1" applyFont="1" applyFill="1" applyBorder="1" applyAlignment="1">
      <alignment horizontal="center" vertical="center" wrapText="1"/>
    </xf>
    <xf numFmtId="0" fontId="22" fillId="14" borderId="1" xfId="1" applyFont="1" applyFill="1" applyBorder="1" applyAlignment="1">
      <alignment horizontal="center" vertical="center" wrapText="1"/>
    </xf>
    <xf numFmtId="0" fontId="22" fillId="15" borderId="1" xfId="1" applyFont="1" applyFill="1" applyBorder="1" applyAlignment="1">
      <alignment horizontal="center" vertical="center" wrapText="1"/>
    </xf>
    <xf numFmtId="0" fontId="22" fillId="16" borderId="1" xfId="1" applyFont="1" applyFill="1" applyBorder="1" applyAlignment="1">
      <alignment horizontal="center" vertical="center" wrapText="1"/>
    </xf>
    <xf numFmtId="0" fontId="22" fillId="17" borderId="1" xfId="1" applyFont="1" applyFill="1" applyBorder="1" applyAlignment="1">
      <alignment horizontal="center" vertical="center" wrapText="1"/>
    </xf>
    <xf numFmtId="0" fontId="22" fillId="18" borderId="1" xfId="1" applyFont="1" applyFill="1" applyBorder="1" applyAlignment="1">
      <alignment horizontal="center" vertical="center" wrapText="1"/>
    </xf>
    <xf numFmtId="0" fontId="22" fillId="2" borderId="1" xfId="1" applyFont="1" applyFill="1" applyBorder="1" applyAlignment="1">
      <alignment horizontal="center" vertical="center" wrapText="1"/>
    </xf>
    <xf numFmtId="0" fontId="22" fillId="19" borderId="1" xfId="1" applyFont="1" applyFill="1" applyBorder="1" applyAlignment="1">
      <alignment horizontal="center" vertical="center" wrapText="1"/>
    </xf>
    <xf numFmtId="0" fontId="22" fillId="20" borderId="1" xfId="1" applyFont="1" applyFill="1" applyBorder="1" applyAlignment="1">
      <alignment horizontal="center" vertical="center" wrapText="1"/>
    </xf>
    <xf numFmtId="0" fontId="22" fillId="4" borderId="1" xfId="1" applyFont="1" applyFill="1" applyBorder="1" applyAlignment="1">
      <alignment horizontal="center" vertical="center" wrapText="1"/>
    </xf>
    <xf numFmtId="0" fontId="23" fillId="21" borderId="1" xfId="1" applyFont="1" applyFill="1" applyBorder="1" applyAlignment="1">
      <alignment horizontal="center" vertical="center" wrapText="1"/>
    </xf>
    <xf numFmtId="0" fontId="22" fillId="7" borderId="8" xfId="1" applyFont="1" applyFill="1" applyBorder="1" applyAlignment="1">
      <alignment horizontal="center" vertical="center" wrapText="1"/>
    </xf>
    <xf numFmtId="0" fontId="22" fillId="7" borderId="2" xfId="1" applyFont="1" applyFill="1" applyBorder="1" applyAlignment="1">
      <alignment horizontal="center" vertical="center" wrapText="1"/>
    </xf>
    <xf numFmtId="0" fontId="23" fillId="22" borderId="1" xfId="1" applyFont="1" applyFill="1" applyBorder="1" applyAlignment="1">
      <alignment horizontal="center" vertical="center" wrapText="1"/>
    </xf>
    <xf numFmtId="0" fontId="22" fillId="24" borderId="1" xfId="1" applyFont="1" applyFill="1" applyBorder="1" applyAlignment="1">
      <alignment horizontal="center" vertical="center" wrapText="1"/>
    </xf>
    <xf numFmtId="0" fontId="22" fillId="25" borderId="1" xfId="1" applyFont="1" applyFill="1" applyBorder="1" applyAlignment="1">
      <alignment horizontal="center" vertical="center" wrapText="1"/>
    </xf>
    <xf numFmtId="0" fontId="7" fillId="11" borderId="1" xfId="1" applyFont="1" applyFill="1" applyBorder="1" applyAlignment="1">
      <alignment horizontal="center" vertical="center" wrapText="1"/>
    </xf>
    <xf numFmtId="0" fontId="6" fillId="11" borderId="1" xfId="1" applyFont="1" applyFill="1" applyBorder="1" applyAlignment="1">
      <alignment horizontal="center" vertical="center" wrapText="1"/>
    </xf>
    <xf numFmtId="0" fontId="8" fillId="22" borderId="1" xfId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6" fillId="17" borderId="1" xfId="1" applyFont="1" applyFill="1" applyBorder="1" applyAlignment="1">
      <alignment horizontal="center" vertical="center" wrapText="1"/>
    </xf>
    <xf numFmtId="0" fontId="6" fillId="4" borderId="1" xfId="1" applyFont="1" applyFill="1" applyBorder="1" applyAlignment="1">
      <alignment horizontal="center" vertical="center" wrapText="1"/>
    </xf>
    <xf numFmtId="0" fontId="8" fillId="8" borderId="2" xfId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6" fillId="16" borderId="7" xfId="1" applyFont="1" applyFill="1" applyBorder="1" applyAlignment="1">
      <alignment horizontal="center" vertical="center" wrapText="1"/>
    </xf>
    <xf numFmtId="0" fontId="22" fillId="26" borderId="1" xfId="1" applyFont="1" applyFill="1" applyBorder="1" applyAlignment="1">
      <alignment horizontal="center" vertical="center" wrapText="1"/>
    </xf>
    <xf numFmtId="0" fontId="6" fillId="13" borderId="1" xfId="1" applyFont="1" applyFill="1" applyBorder="1" applyAlignment="1">
      <alignment horizontal="center" vertical="center" wrapText="1"/>
    </xf>
    <xf numFmtId="0" fontId="3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6" fillId="10" borderId="1" xfId="1" applyFont="1" applyFill="1" applyBorder="1" applyAlignment="1">
      <alignment horizontal="center" vertical="center" wrapText="1"/>
    </xf>
    <xf numFmtId="0" fontId="6" fillId="6" borderId="1" xfId="1" applyFont="1" applyFill="1" applyBorder="1" applyAlignment="1">
      <alignment horizontal="center" vertical="center" wrapText="1"/>
    </xf>
    <xf numFmtId="0" fontId="6" fillId="16" borderId="6" xfId="1" applyFont="1" applyFill="1" applyBorder="1" applyAlignment="1">
      <alignment horizontal="center" vertical="center" wrapText="1"/>
    </xf>
    <xf numFmtId="0" fontId="6" fillId="14" borderId="1" xfId="1" applyFont="1" applyFill="1" applyBorder="1" applyAlignment="1">
      <alignment horizontal="center" vertical="center" wrapText="1"/>
    </xf>
    <xf numFmtId="0" fontId="6" fillId="19" borderId="1" xfId="1" applyFont="1" applyFill="1" applyBorder="1" applyAlignment="1">
      <alignment horizontal="center" vertical="center" wrapText="1"/>
    </xf>
    <xf numFmtId="0" fontId="6" fillId="18" borderId="1" xfId="1" applyFont="1" applyFill="1" applyBorder="1" applyAlignment="1">
      <alignment horizontal="center" vertical="center" wrapText="1"/>
    </xf>
    <xf numFmtId="0" fontId="6" fillId="16" borderId="1" xfId="1" applyFont="1" applyFill="1" applyBorder="1" applyAlignment="1">
      <alignment horizontal="center" vertical="center" wrapText="1"/>
    </xf>
    <xf numFmtId="0" fontId="6" fillId="7" borderId="8" xfId="1" applyFont="1" applyFill="1" applyBorder="1" applyAlignment="1">
      <alignment horizontal="center" vertical="center" wrapText="1"/>
    </xf>
    <xf numFmtId="0" fontId="6" fillId="15" borderId="1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24" borderId="1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6" fillId="7" borderId="2" xfId="1" applyFont="1" applyFill="1" applyBorder="1" applyAlignment="1">
      <alignment horizontal="center" vertical="center" wrapText="1"/>
    </xf>
    <xf numFmtId="0" fontId="7" fillId="7" borderId="1" xfId="1" applyFont="1" applyFill="1" applyBorder="1" applyAlignment="1">
      <alignment horizontal="center" vertical="center" wrapText="1"/>
    </xf>
    <xf numFmtId="0" fontId="6" fillId="9" borderId="1" xfId="1" applyFont="1" applyFill="1" applyBorder="1" applyAlignment="1">
      <alignment horizontal="center" vertical="center" wrapText="1"/>
    </xf>
    <xf numFmtId="0" fontId="7" fillId="10" borderId="1" xfId="1" applyFont="1" applyFill="1" applyBorder="1" applyAlignment="1">
      <alignment horizontal="center" vertical="center" wrapText="1"/>
    </xf>
    <xf numFmtId="0" fontId="6" fillId="26" borderId="1" xfId="1" applyFont="1" applyFill="1" applyBorder="1" applyAlignment="1">
      <alignment horizontal="center" vertical="center" wrapText="1"/>
    </xf>
    <xf numFmtId="0" fontId="6" fillId="5" borderId="1" xfId="1" applyFont="1" applyFill="1" applyBorder="1" applyAlignment="1">
      <alignment horizontal="center" vertical="center" wrapText="1"/>
    </xf>
    <xf numFmtId="0" fontId="6" fillId="7" borderId="3" xfId="1" applyFont="1" applyFill="1" applyBorder="1" applyAlignment="1">
      <alignment horizontal="center" vertical="center" wrapText="1"/>
    </xf>
    <xf numFmtId="0" fontId="6" fillId="7" borderId="9" xfId="1" applyFont="1" applyFill="1" applyBorder="1" applyAlignment="1">
      <alignment horizontal="center" vertical="center" wrapText="1"/>
    </xf>
    <xf numFmtId="0" fontId="8" fillId="8" borderId="9" xfId="1" applyFont="1" applyFill="1" applyBorder="1" applyAlignment="1">
      <alignment horizontal="center" vertical="center" wrapText="1"/>
    </xf>
    <xf numFmtId="0" fontId="8" fillId="8" borderId="1" xfId="1" applyFont="1" applyFill="1" applyBorder="1" applyAlignment="1">
      <alignment horizontal="center" vertical="center" wrapText="1"/>
    </xf>
    <xf numFmtId="0" fontId="7" fillId="10" borderId="3" xfId="1" applyFont="1" applyFill="1" applyBorder="1" applyAlignment="1">
      <alignment horizontal="center" vertical="center" wrapText="1"/>
    </xf>
    <xf numFmtId="0" fontId="6" fillId="10" borderId="3" xfId="1" applyFont="1" applyFill="1" applyBorder="1" applyAlignment="1">
      <alignment horizontal="center" vertical="center" wrapText="1"/>
    </xf>
    <xf numFmtId="0" fontId="7" fillId="12" borderId="1" xfId="1" applyFont="1" applyFill="1" applyBorder="1" applyAlignment="1">
      <alignment horizontal="center" vertical="center" wrapText="1"/>
    </xf>
    <xf numFmtId="0" fontId="7" fillId="12" borderId="3" xfId="1" applyFont="1" applyFill="1" applyBorder="1" applyAlignment="1">
      <alignment horizontal="center" vertical="center" wrapText="1"/>
    </xf>
    <xf numFmtId="0" fontId="6" fillId="12" borderId="3" xfId="1" applyFont="1" applyFill="1" applyBorder="1" applyAlignment="1">
      <alignment horizontal="center" vertical="center" wrapText="1"/>
    </xf>
    <xf numFmtId="0" fontId="6" fillId="12" borderId="1" xfId="1" applyFont="1" applyFill="1" applyBorder="1" applyAlignment="1">
      <alignment horizontal="center" vertical="center" wrapText="1"/>
    </xf>
    <xf numFmtId="0" fontId="8" fillId="21" borderId="1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22" fillId="28" borderId="1" xfId="1" applyFont="1" applyFill="1" applyBorder="1" applyAlignment="1">
      <alignment horizontal="center" vertical="center" wrapText="1"/>
    </xf>
    <xf numFmtId="0" fontId="6" fillId="28" borderId="1" xfId="1" applyFont="1" applyFill="1" applyBorder="1" applyAlignment="1">
      <alignment horizontal="center" vertical="center" wrapText="1"/>
    </xf>
    <xf numFmtId="0" fontId="6" fillId="25" borderId="1" xfId="1" applyFont="1" applyFill="1" applyBorder="1" applyAlignment="1">
      <alignment horizontal="center" vertical="center" wrapText="1"/>
    </xf>
    <xf numFmtId="0" fontId="6" fillId="16" borderId="2" xfId="1" applyFont="1" applyFill="1" applyBorder="1" applyAlignment="1">
      <alignment horizontal="center" vertical="center" wrapText="1"/>
    </xf>
    <xf numFmtId="0" fontId="6" fillId="17" borderId="6" xfId="1" applyFont="1" applyFill="1" applyBorder="1" applyAlignment="1">
      <alignment horizontal="center" vertical="center" wrapText="1"/>
    </xf>
    <xf numFmtId="0" fontId="6" fillId="17" borderId="7" xfId="1" applyFont="1" applyFill="1" applyBorder="1" applyAlignment="1">
      <alignment horizontal="center" vertical="center" wrapText="1"/>
    </xf>
    <xf numFmtId="0" fontId="7" fillId="28" borderId="1" xfId="1" applyFont="1" applyFill="1" applyBorder="1" applyAlignment="1">
      <alignment horizontal="center" vertical="center" wrapText="1"/>
    </xf>
    <xf numFmtId="0" fontId="22" fillId="29" borderId="1" xfId="1" applyFont="1" applyFill="1" applyBorder="1" applyAlignment="1">
      <alignment horizontal="center" vertical="center" wrapText="1"/>
    </xf>
    <xf numFmtId="0" fontId="6" fillId="29" borderId="1" xfId="1" applyFont="1" applyFill="1" applyBorder="1" applyAlignment="1">
      <alignment horizontal="center" vertical="center" wrapText="1"/>
    </xf>
    <xf numFmtId="0" fontId="23" fillId="28" borderId="1" xfId="1" applyFont="1" applyFill="1" applyBorder="1" applyAlignment="1">
      <alignment horizontal="center" vertical="center" wrapText="1"/>
    </xf>
    <xf numFmtId="0" fontId="8" fillId="28" borderId="1" xfId="1" applyFont="1" applyFill="1" applyBorder="1" applyAlignment="1">
      <alignment horizontal="center" vertical="center" wrapText="1"/>
    </xf>
    <xf numFmtId="0" fontId="22" fillId="30" borderId="2" xfId="1" applyFont="1" applyFill="1" applyBorder="1" applyAlignment="1">
      <alignment horizontal="center" vertical="center" wrapText="1"/>
    </xf>
    <xf numFmtId="0" fontId="6" fillId="30" borderId="2" xfId="1" applyFont="1" applyFill="1" applyBorder="1" applyAlignment="1">
      <alignment horizontal="center" vertical="center" wrapText="1"/>
    </xf>
    <xf numFmtId="0" fontId="22" fillId="30" borderId="1" xfId="1" applyFont="1" applyFill="1" applyBorder="1" applyAlignment="1">
      <alignment horizontal="center" vertical="center" wrapText="1"/>
    </xf>
    <xf numFmtId="0" fontId="6" fillId="30" borderId="1" xfId="1" applyFont="1" applyFill="1" applyBorder="1" applyAlignment="1">
      <alignment horizontal="center" vertical="center" wrapText="1"/>
    </xf>
    <xf numFmtId="0" fontId="22" fillId="31" borderId="1" xfId="1" applyFont="1" applyFill="1" applyBorder="1" applyAlignment="1">
      <alignment horizontal="center" vertical="center" wrapText="1"/>
    </xf>
    <xf numFmtId="0" fontId="6" fillId="31" borderId="1" xfId="1" applyFont="1" applyFill="1" applyBorder="1" applyAlignment="1">
      <alignment horizontal="center" vertical="center" wrapText="1"/>
    </xf>
    <xf numFmtId="0" fontId="22" fillId="32" borderId="1" xfId="1" applyFont="1" applyFill="1" applyBorder="1" applyAlignment="1">
      <alignment horizontal="center" vertical="center" wrapText="1"/>
    </xf>
    <xf numFmtId="0" fontId="7" fillId="32" borderId="1" xfId="1" applyFont="1" applyFill="1" applyBorder="1" applyAlignment="1">
      <alignment horizontal="center" vertical="center" wrapText="1"/>
    </xf>
    <xf numFmtId="0" fontId="6" fillId="32" borderId="1" xfId="1" applyFont="1" applyFill="1" applyBorder="1" applyAlignment="1">
      <alignment horizontal="center" vertical="center" wrapText="1"/>
    </xf>
    <xf numFmtId="0" fontId="9" fillId="28" borderId="1" xfId="0" applyFont="1" applyFill="1" applyBorder="1" applyAlignment="1">
      <alignment horizontal="center" vertical="center" wrapText="1"/>
    </xf>
    <xf numFmtId="0" fontId="7" fillId="28" borderId="1" xfId="0" applyFont="1" applyFill="1" applyBorder="1" applyAlignment="1">
      <alignment horizontal="center" vertical="center" wrapText="1"/>
    </xf>
    <xf numFmtId="0" fontId="17" fillId="28" borderId="1" xfId="0" applyFont="1" applyFill="1" applyBorder="1" applyAlignment="1">
      <alignment horizontal="center" vertical="center" wrapText="1"/>
    </xf>
    <xf numFmtId="0" fontId="9" fillId="28" borderId="1" xfId="0" applyFont="1" applyFill="1" applyBorder="1" applyAlignment="1">
      <alignment horizontal="center" vertical="center"/>
    </xf>
    <xf numFmtId="0" fontId="7" fillId="33" borderId="1" xfId="0" applyFont="1" applyFill="1" applyBorder="1" applyAlignment="1">
      <alignment horizontal="center" vertical="center" wrapText="1"/>
    </xf>
    <xf numFmtId="9" fontId="7" fillId="33" borderId="1" xfId="0" applyNumberFormat="1" applyFont="1" applyFill="1" applyBorder="1" applyAlignment="1">
      <alignment horizontal="center" vertical="center" wrapText="1"/>
    </xf>
    <xf numFmtId="0" fontId="9" fillId="33" borderId="1" xfId="0" applyFont="1" applyFill="1" applyBorder="1" applyAlignment="1">
      <alignment horizontal="center" vertical="center" wrapText="1"/>
    </xf>
    <xf numFmtId="9" fontId="11" fillId="33" borderId="1" xfId="0" applyNumberFormat="1" applyFont="1" applyFill="1" applyBorder="1" applyAlignment="1">
      <alignment horizontal="center" vertical="center" wrapText="1"/>
    </xf>
    <xf numFmtId="0" fontId="17" fillId="33" borderId="1" xfId="0" applyFont="1" applyFill="1" applyBorder="1" applyAlignment="1">
      <alignment horizontal="center" vertical="center" wrapText="1"/>
    </xf>
    <xf numFmtId="0" fontId="12" fillId="33" borderId="1" xfId="0" applyFont="1" applyFill="1" applyBorder="1" applyAlignment="1">
      <alignment horizontal="center" vertical="center" wrapText="1"/>
    </xf>
    <xf numFmtId="9" fontId="17" fillId="33" borderId="1" xfId="0" applyNumberFormat="1" applyFont="1" applyFill="1" applyBorder="1" applyAlignment="1">
      <alignment horizontal="center" vertical="center" wrapText="1"/>
    </xf>
    <xf numFmtId="0" fontId="8" fillId="33" borderId="1" xfId="0" applyFont="1" applyFill="1" applyBorder="1" applyAlignment="1">
      <alignment horizontal="center" vertical="center" wrapText="1"/>
    </xf>
    <xf numFmtId="9" fontId="8" fillId="33" borderId="1" xfId="0" applyNumberFormat="1" applyFont="1" applyFill="1" applyBorder="1" applyAlignment="1">
      <alignment horizontal="center" vertical="center" wrapText="1"/>
    </xf>
    <xf numFmtId="0" fontId="9" fillId="33" borderId="1" xfId="0" applyFont="1" applyFill="1" applyBorder="1" applyAlignment="1">
      <alignment horizontal="center" vertical="center"/>
    </xf>
    <xf numFmtId="0" fontId="7" fillId="34" borderId="1" xfId="0" applyFont="1" applyFill="1" applyBorder="1" applyAlignment="1">
      <alignment horizontal="center" vertical="center" wrapText="1"/>
    </xf>
    <xf numFmtId="9" fontId="7" fillId="34" borderId="1" xfId="0" applyNumberFormat="1" applyFont="1" applyFill="1" applyBorder="1" applyAlignment="1">
      <alignment horizontal="center" vertical="center" wrapText="1"/>
    </xf>
    <xf numFmtId="0" fontId="9" fillId="34" borderId="1" xfId="0" applyFont="1" applyFill="1" applyBorder="1" applyAlignment="1">
      <alignment horizontal="center" vertical="center" wrapText="1"/>
    </xf>
    <xf numFmtId="9" fontId="32" fillId="34" borderId="1" xfId="0" applyNumberFormat="1" applyFont="1" applyFill="1" applyBorder="1" applyAlignment="1">
      <alignment horizontal="center" vertical="center" wrapText="1"/>
    </xf>
    <xf numFmtId="0" fontId="17" fillId="34" borderId="1" xfId="0" applyFont="1" applyFill="1" applyBorder="1" applyAlignment="1">
      <alignment horizontal="center" vertical="center" wrapText="1"/>
    </xf>
    <xf numFmtId="0" fontId="3" fillId="34" borderId="1" xfId="0" applyFont="1" applyFill="1" applyBorder="1" applyAlignment="1">
      <alignment horizontal="center" vertical="center" wrapText="1"/>
    </xf>
    <xf numFmtId="0" fontId="12" fillId="34" borderId="1" xfId="0" applyFont="1" applyFill="1" applyBorder="1" applyAlignment="1">
      <alignment horizontal="center" vertical="center" wrapText="1"/>
    </xf>
    <xf numFmtId="9" fontId="17" fillId="34" borderId="1" xfId="0" applyNumberFormat="1" applyFont="1" applyFill="1" applyBorder="1" applyAlignment="1">
      <alignment horizontal="center" vertical="center" wrapText="1"/>
    </xf>
    <xf numFmtId="0" fontId="8" fillId="34" borderId="1" xfId="0" applyFont="1" applyFill="1" applyBorder="1" applyAlignment="1">
      <alignment horizontal="center" vertical="center" wrapText="1"/>
    </xf>
    <xf numFmtId="9" fontId="8" fillId="34" borderId="1" xfId="0" applyNumberFormat="1" applyFont="1" applyFill="1" applyBorder="1" applyAlignment="1">
      <alignment horizontal="center" vertical="center" wrapText="1"/>
    </xf>
    <xf numFmtId="0" fontId="9" fillId="34" borderId="1" xfId="0" applyFont="1" applyFill="1" applyBorder="1" applyAlignment="1">
      <alignment horizontal="center" vertical="center"/>
    </xf>
    <xf numFmtId="0" fontId="39" fillId="33" borderId="1" xfId="0" applyFont="1" applyFill="1" applyBorder="1" applyAlignment="1">
      <alignment horizontal="center" vertical="center" wrapText="1"/>
    </xf>
    <xf numFmtId="0" fontId="40" fillId="34" borderId="1" xfId="0" applyFont="1" applyFill="1" applyBorder="1" applyAlignment="1">
      <alignment horizontal="center" vertical="center" wrapText="1"/>
    </xf>
    <xf numFmtId="0" fontId="22" fillId="35" borderId="1" xfId="1" applyFont="1" applyFill="1" applyBorder="1" applyAlignment="1">
      <alignment horizontal="center" vertical="center" wrapText="1"/>
    </xf>
    <xf numFmtId="0" fontId="6" fillId="35" borderId="1" xfId="1" applyFont="1" applyFill="1" applyBorder="1" applyAlignment="1">
      <alignment horizontal="center" vertical="center" wrapText="1"/>
    </xf>
    <xf numFmtId="0" fontId="22" fillId="36" borderId="2" xfId="1" applyFont="1" applyFill="1" applyBorder="1" applyAlignment="1">
      <alignment horizontal="center" vertical="center" wrapText="1"/>
    </xf>
    <xf numFmtId="0" fontId="6" fillId="36" borderId="2" xfId="1" applyFont="1" applyFill="1" applyBorder="1" applyAlignment="1">
      <alignment horizontal="center" vertical="center" wrapText="1"/>
    </xf>
    <xf numFmtId="0" fontId="7" fillId="6" borderId="1" xfId="1" applyFont="1" applyFill="1" applyBorder="1" applyAlignment="1">
      <alignment horizontal="center" vertical="center" wrapText="1"/>
    </xf>
    <xf numFmtId="0" fontId="22" fillId="37" borderId="1" xfId="1" applyFont="1" applyFill="1" applyBorder="1" applyAlignment="1">
      <alignment horizontal="center" vertical="center" wrapText="1"/>
    </xf>
    <xf numFmtId="0" fontId="6" fillId="37" borderId="1" xfId="1" applyFont="1" applyFill="1" applyBorder="1" applyAlignment="1">
      <alignment horizontal="center" vertical="center" wrapText="1"/>
    </xf>
    <xf numFmtId="0" fontId="22" fillId="38" borderId="1" xfId="1" applyFont="1" applyFill="1" applyBorder="1" applyAlignment="1">
      <alignment horizontal="center" vertical="center" wrapText="1"/>
    </xf>
    <xf numFmtId="0" fontId="6" fillId="38" borderId="1" xfId="1" applyFont="1" applyFill="1" applyBorder="1" applyAlignment="1">
      <alignment horizontal="center" vertical="center" wrapText="1"/>
    </xf>
    <xf numFmtId="0" fontId="22" fillId="39" borderId="1" xfId="1" applyFont="1" applyFill="1" applyBorder="1" applyAlignment="1">
      <alignment horizontal="center" vertical="center" wrapText="1"/>
    </xf>
    <xf numFmtId="0" fontId="7" fillId="39" borderId="1" xfId="1" applyFont="1" applyFill="1" applyBorder="1" applyAlignment="1">
      <alignment horizontal="center" vertical="center" wrapText="1"/>
    </xf>
    <xf numFmtId="0" fontId="6" fillId="39" borderId="1" xfId="1" applyFont="1" applyFill="1" applyBorder="1" applyAlignment="1">
      <alignment horizontal="center" vertical="center" wrapText="1"/>
    </xf>
    <xf numFmtId="0" fontId="22" fillId="40" borderId="1" xfId="1" applyFont="1" applyFill="1" applyBorder="1" applyAlignment="1">
      <alignment horizontal="center" vertical="center" wrapText="1"/>
    </xf>
    <xf numFmtId="0" fontId="7" fillId="40" borderId="1" xfId="1" applyFont="1" applyFill="1" applyBorder="1" applyAlignment="1">
      <alignment horizontal="center" vertical="center" wrapText="1"/>
    </xf>
    <xf numFmtId="0" fontId="6" fillId="40" borderId="1" xfId="1" applyFont="1" applyFill="1" applyBorder="1" applyAlignment="1">
      <alignment horizontal="center" vertical="center" wrapText="1"/>
    </xf>
    <xf numFmtId="0" fontId="22" fillId="41" borderId="1" xfId="1" applyFont="1" applyFill="1" applyBorder="1" applyAlignment="1">
      <alignment horizontal="center" vertical="center" wrapText="1"/>
    </xf>
    <xf numFmtId="0" fontId="6" fillId="41" borderId="1" xfId="1" applyFont="1" applyFill="1" applyBorder="1" applyAlignment="1">
      <alignment horizontal="center" vertical="center" wrapText="1"/>
    </xf>
    <xf numFmtId="0" fontId="22" fillId="42" borderId="1" xfId="1" applyFont="1" applyFill="1" applyBorder="1" applyAlignment="1">
      <alignment horizontal="center" vertical="center" wrapText="1"/>
    </xf>
    <xf numFmtId="0" fontId="6" fillId="42" borderId="1" xfId="1" applyFont="1" applyFill="1" applyBorder="1" applyAlignment="1">
      <alignment horizontal="center" vertical="center" wrapText="1"/>
    </xf>
    <xf numFmtId="0" fontId="7" fillId="42" borderId="1" xfId="1" applyFont="1" applyFill="1" applyBorder="1" applyAlignment="1">
      <alignment horizontal="center" vertical="center" wrapText="1"/>
    </xf>
    <xf numFmtId="0" fontId="22" fillId="43" borderId="1" xfId="1" applyFont="1" applyFill="1" applyBorder="1" applyAlignment="1">
      <alignment horizontal="center" vertical="center" wrapText="1"/>
    </xf>
    <xf numFmtId="0" fontId="6" fillId="43" borderId="1" xfId="1" applyFont="1" applyFill="1" applyBorder="1" applyAlignment="1">
      <alignment horizontal="center" vertical="center" wrapText="1"/>
    </xf>
    <xf numFmtId="0" fontId="12" fillId="43" borderId="1" xfId="1" applyFont="1" applyFill="1" applyBorder="1" applyAlignment="1">
      <alignment horizontal="center" vertical="center" wrapText="1"/>
    </xf>
    <xf numFmtId="0" fontId="22" fillId="44" borderId="1" xfId="1" applyFont="1" applyFill="1" applyBorder="1" applyAlignment="1">
      <alignment horizontal="center" vertical="center" wrapText="1"/>
    </xf>
    <xf numFmtId="0" fontId="7" fillId="44" borderId="1" xfId="1" applyFont="1" applyFill="1" applyBorder="1" applyAlignment="1">
      <alignment horizontal="center" vertical="center" wrapText="1"/>
    </xf>
    <xf numFmtId="0" fontId="6" fillId="44" borderId="1" xfId="1" applyFont="1" applyFill="1" applyBorder="1" applyAlignment="1">
      <alignment horizontal="center" vertical="center" wrapText="1"/>
    </xf>
    <xf numFmtId="0" fontId="22" fillId="45" borderId="1" xfId="1" applyFont="1" applyFill="1" applyBorder="1" applyAlignment="1">
      <alignment horizontal="center" vertical="center" wrapText="1"/>
    </xf>
    <xf numFmtId="0" fontId="7" fillId="45" borderId="1" xfId="1" applyFont="1" applyFill="1" applyBorder="1" applyAlignment="1">
      <alignment horizontal="center" vertical="center" wrapText="1"/>
    </xf>
    <xf numFmtId="0" fontId="6" fillId="45" borderId="1" xfId="1" applyFont="1" applyFill="1" applyBorder="1" applyAlignment="1">
      <alignment horizontal="center" vertical="center" wrapText="1"/>
    </xf>
    <xf numFmtId="0" fontId="22" fillId="46" borderId="1" xfId="1" applyFont="1" applyFill="1" applyBorder="1" applyAlignment="1">
      <alignment horizontal="center" vertical="center" wrapText="1"/>
    </xf>
    <xf numFmtId="0" fontId="7" fillId="46" borderId="1" xfId="1" applyFont="1" applyFill="1" applyBorder="1" applyAlignment="1">
      <alignment horizontal="center" vertical="center" wrapText="1"/>
    </xf>
    <xf numFmtId="0" fontId="6" fillId="46" borderId="1" xfId="1" applyFont="1" applyFill="1" applyBorder="1" applyAlignment="1">
      <alignment horizontal="center" vertical="center" wrapText="1"/>
    </xf>
    <xf numFmtId="0" fontId="22" fillId="47" borderId="1" xfId="1" applyFont="1" applyFill="1" applyBorder="1" applyAlignment="1">
      <alignment horizontal="center" vertical="center" wrapText="1"/>
    </xf>
    <xf numFmtId="0" fontId="7" fillId="47" borderId="1" xfId="1" applyFont="1" applyFill="1" applyBorder="1" applyAlignment="1">
      <alignment horizontal="center" vertical="center" wrapText="1"/>
    </xf>
    <xf numFmtId="0" fontId="6" fillId="47" borderId="1" xfId="1" applyFont="1" applyFill="1" applyBorder="1" applyAlignment="1">
      <alignment horizontal="center" vertical="center" wrapText="1"/>
    </xf>
    <xf numFmtId="0" fontId="8" fillId="47" borderId="1" xfId="1" applyFont="1" applyFill="1" applyBorder="1" applyAlignment="1">
      <alignment horizontal="center" vertical="center" wrapText="1"/>
    </xf>
    <xf numFmtId="0" fontId="22" fillId="48" borderId="1" xfId="1" applyFont="1" applyFill="1" applyBorder="1" applyAlignment="1">
      <alignment horizontal="center" vertical="center" wrapText="1"/>
    </xf>
    <xf numFmtId="0" fontId="6" fillId="48" borderId="1" xfId="1" applyFont="1" applyFill="1" applyBorder="1" applyAlignment="1">
      <alignment horizontal="center" vertical="center" wrapText="1"/>
    </xf>
    <xf numFmtId="0" fontId="22" fillId="49" borderId="1" xfId="1" applyFont="1" applyFill="1" applyBorder="1" applyAlignment="1">
      <alignment horizontal="center" vertical="center" wrapText="1"/>
    </xf>
    <xf numFmtId="0" fontId="6" fillId="49" borderId="1" xfId="1" applyFont="1" applyFill="1" applyBorder="1" applyAlignment="1">
      <alignment horizontal="center" vertical="center" wrapText="1"/>
    </xf>
    <xf numFmtId="0" fontId="23" fillId="50" borderId="1" xfId="1" applyFont="1" applyFill="1" applyBorder="1" applyAlignment="1">
      <alignment horizontal="center" vertical="center" wrapText="1"/>
    </xf>
    <xf numFmtId="0" fontId="8" fillId="50" borderId="1" xfId="1" applyFont="1" applyFill="1" applyBorder="1" applyAlignment="1">
      <alignment horizontal="center" vertical="center" wrapText="1"/>
    </xf>
    <xf numFmtId="0" fontId="22" fillId="51" borderId="1" xfId="1" applyFont="1" applyFill="1" applyBorder="1" applyAlignment="1">
      <alignment horizontal="center" vertical="center" wrapText="1"/>
    </xf>
    <xf numFmtId="0" fontId="6" fillId="51" borderId="1" xfId="1" applyFont="1" applyFill="1" applyBorder="1" applyAlignment="1">
      <alignment horizontal="center" vertical="center" wrapText="1"/>
    </xf>
    <xf numFmtId="0" fontId="6" fillId="51" borderId="3" xfId="1" applyFont="1" applyFill="1" applyBorder="1" applyAlignment="1">
      <alignment horizontal="center" vertical="center" wrapText="1"/>
    </xf>
    <xf numFmtId="0" fontId="22" fillId="51" borderId="2" xfId="1" applyFont="1" applyFill="1" applyBorder="1" applyAlignment="1">
      <alignment horizontal="center" vertical="center" wrapText="1"/>
    </xf>
    <xf numFmtId="0" fontId="6" fillId="51" borderId="2" xfId="1" applyFont="1" applyFill="1" applyBorder="1" applyAlignment="1">
      <alignment horizontal="center" vertical="center" wrapText="1"/>
    </xf>
    <xf numFmtId="0" fontId="2" fillId="34" borderId="1" xfId="0" applyFont="1" applyFill="1" applyBorder="1" applyAlignment="1">
      <alignment horizontal="center" vertical="center" wrapText="1"/>
    </xf>
    <xf numFmtId="0" fontId="7" fillId="34" borderId="1" xfId="0" applyFont="1" applyFill="1" applyBorder="1" applyAlignment="1">
      <alignment vertical="center" wrapText="1"/>
    </xf>
    <xf numFmtId="0" fontId="10" fillId="0" borderId="0" xfId="1" applyFont="1" applyAlignment="1">
      <alignment horizontal="center" vertical="center" wrapText="1"/>
    </xf>
    <xf numFmtId="0" fontId="41" fillId="0" borderId="0" xfId="1" applyFont="1" applyAlignment="1">
      <alignment horizontal="center" vertical="center" wrapText="1"/>
    </xf>
    <xf numFmtId="0" fontId="7" fillId="33" borderId="1" xfId="0" applyFont="1" applyFill="1" applyBorder="1" applyAlignment="1">
      <alignment horizontal="center" vertical="center" wrapText="1"/>
    </xf>
    <xf numFmtId="0" fontId="7" fillId="3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34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7" fillId="34" borderId="8" xfId="0" applyFont="1" applyFill="1" applyBorder="1" applyAlignment="1">
      <alignment horizontal="center" vertical="center" wrapText="1"/>
    </xf>
    <xf numFmtId="0" fontId="7" fillId="34" borderId="2" xfId="0" applyFont="1" applyFill="1" applyBorder="1" applyAlignment="1">
      <alignment horizontal="center" vertical="center" wrapText="1"/>
    </xf>
    <xf numFmtId="0" fontId="7" fillId="33" borderId="8" xfId="0" applyFont="1" applyFill="1" applyBorder="1" applyAlignment="1">
      <alignment horizontal="center" vertical="center" wrapText="1"/>
    </xf>
    <xf numFmtId="0" fontId="7" fillId="33" borderId="2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7" fillId="33" borderId="10" xfId="0" applyFont="1" applyFill="1" applyBorder="1" applyAlignment="1">
      <alignment horizontal="center" vertical="center" wrapText="1"/>
    </xf>
    <xf numFmtId="0" fontId="8" fillId="34" borderId="8" xfId="0" applyFont="1" applyFill="1" applyBorder="1" applyAlignment="1">
      <alignment horizontal="center" vertical="center" wrapText="1"/>
    </xf>
    <xf numFmtId="0" fontId="8" fillId="34" borderId="2" xfId="0" applyFont="1" applyFill="1" applyBorder="1" applyAlignment="1">
      <alignment horizontal="center" vertical="center" wrapText="1"/>
    </xf>
    <xf numFmtId="0" fontId="9" fillId="34" borderId="8" xfId="0" applyFont="1" applyFill="1" applyBorder="1" applyAlignment="1">
      <alignment horizontal="center" vertical="center" wrapText="1"/>
    </xf>
    <xf numFmtId="0" fontId="9" fillId="34" borderId="2" xfId="0" applyFont="1" applyFill="1" applyBorder="1" applyAlignment="1">
      <alignment horizontal="center" vertical="center" wrapText="1"/>
    </xf>
    <xf numFmtId="0" fontId="9" fillId="34" borderId="10" xfId="0" applyFont="1" applyFill="1" applyBorder="1" applyAlignment="1">
      <alignment horizontal="center" vertical="center" wrapText="1"/>
    </xf>
    <xf numFmtId="0" fontId="9" fillId="33" borderId="8" xfId="0" applyFont="1" applyFill="1" applyBorder="1" applyAlignment="1">
      <alignment horizontal="center" vertical="center" wrapText="1"/>
    </xf>
    <xf numFmtId="0" fontId="9" fillId="33" borderId="10" xfId="0" applyFont="1" applyFill="1" applyBorder="1" applyAlignment="1">
      <alignment horizontal="center" vertical="center" wrapText="1"/>
    </xf>
    <xf numFmtId="0" fontId="9" fillId="33" borderId="2" xfId="0" applyFont="1" applyFill="1" applyBorder="1" applyAlignment="1">
      <alignment horizontal="center" vertical="center" wrapText="1"/>
    </xf>
    <xf numFmtId="0" fontId="9" fillId="34" borderId="8" xfId="0" applyFont="1" applyFill="1" applyBorder="1" applyAlignment="1">
      <alignment horizontal="center" vertical="center"/>
    </xf>
    <xf numFmtId="0" fontId="9" fillId="34" borderId="10" xfId="0" applyFont="1" applyFill="1" applyBorder="1" applyAlignment="1">
      <alignment horizontal="center" vertical="center"/>
    </xf>
    <xf numFmtId="0" fontId="9" fillId="34" borderId="2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23" borderId="1" xfId="1" applyFont="1" applyFill="1" applyBorder="1" applyAlignment="1">
      <alignment horizontal="center" vertical="center" wrapText="1"/>
    </xf>
    <xf numFmtId="0" fontId="20" fillId="23" borderId="1" xfId="1" applyFont="1" applyFill="1" applyBorder="1" applyAlignment="1">
      <alignment horizontal="center" vertical="center" wrapText="1"/>
    </xf>
    <xf numFmtId="0" fontId="19" fillId="23" borderId="1" xfId="1" applyFill="1" applyBorder="1">
      <alignment vertical="center"/>
    </xf>
    <xf numFmtId="0" fontId="6" fillId="23" borderId="1" xfId="1" applyFont="1" applyFill="1" applyBorder="1" applyAlignment="1">
      <alignment horizontal="center" vertical="center" wrapText="1"/>
    </xf>
    <xf numFmtId="0" fontId="8" fillId="30" borderId="3" xfId="1" applyFont="1" applyFill="1" applyBorder="1" applyAlignment="1">
      <alignment horizontal="left" vertical="center" wrapText="1"/>
    </xf>
    <xf numFmtId="0" fontId="8" fillId="30" borderId="4" xfId="1" applyFont="1" applyFill="1" applyBorder="1" applyAlignment="1">
      <alignment horizontal="left" vertical="center" wrapText="1"/>
    </xf>
    <xf numFmtId="0" fontId="8" fillId="30" borderId="5" xfId="1" applyFont="1" applyFill="1" applyBorder="1" applyAlignment="1">
      <alignment horizontal="left" vertical="center" wrapText="1"/>
    </xf>
    <xf numFmtId="0" fontId="10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19" fillId="0" borderId="1" xfId="1" applyBorder="1">
      <alignment vertical="center"/>
    </xf>
    <xf numFmtId="0" fontId="20" fillId="0" borderId="1" xfId="1" applyFont="1" applyBorder="1" applyAlignment="1">
      <alignment horizontal="center" vertical="center" wrapText="1"/>
    </xf>
    <xf numFmtId="0" fontId="6" fillId="27" borderId="1" xfId="1" applyFont="1" applyFill="1" applyBorder="1" applyAlignment="1">
      <alignment horizontal="center" vertical="center" wrapText="1"/>
    </xf>
    <xf numFmtId="0" fontId="19" fillId="27" borderId="1" xfId="1" applyFill="1" applyBorder="1">
      <alignment vertical="center"/>
    </xf>
    <xf numFmtId="0" fontId="8" fillId="47" borderId="1" xfId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 xr:uid="{1C3A2E6E-3026-4D9F-9996-109DA988A1E7}"/>
  </cellStyles>
  <dxfs count="83"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13" formatCode="0%"/>
      <fill>
        <patternFill>
          <bgColor theme="7" tint="0.79998168889431442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FE9AD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FE9AD"/>
        </patternFill>
      </fill>
    </dxf>
    <dxf>
      <fill>
        <patternFill>
          <bgColor theme="9" tint="0.79998168889431442"/>
        </patternFill>
      </fill>
    </dxf>
    <dxf>
      <numFmt numFmtId="0" formatCode="General"/>
      <fill>
        <patternFill patternType="solid">
          <bgColor rgb="FFCFCDCD"/>
        </patternFill>
      </fill>
    </dxf>
    <dxf>
      <fill>
        <patternFill patternType="solid">
          <bgColor rgb="FFE2EFD9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>
          <bgColor theme="7" tint="0.59996337778862885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CFCDCD"/>
        </patternFill>
      </fill>
    </dxf>
    <dxf>
      <fill>
        <patternFill patternType="solid">
          <bgColor rgb="FFCFCDCD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>
          <bgColor theme="7" tint="0.59996337778862885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  <dxf>
      <numFmt numFmtId="13" formatCode="0%"/>
      <fill>
        <patternFill>
          <bgColor theme="7" tint="0.79998168889431442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  <dxf>
      <fill>
        <patternFill patternType="solid">
          <bgColor rgb="FFFBE4D5"/>
        </patternFill>
      </fill>
    </dxf>
    <dxf>
      <fill>
        <patternFill patternType="solid">
          <bgColor rgb="FFDEEBF6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E2EFD9"/>
        </patternFill>
      </fill>
    </dxf>
    <dxf>
      <numFmt numFmtId="0" formatCode="General"/>
      <fill>
        <patternFill patternType="solid">
          <bgColor rgb="FFCFCDCD"/>
        </patternFill>
      </fill>
    </dxf>
  </dxfs>
  <tableStyles count="0" defaultTableStyle="TableStyleMedium2" defaultPivotStyle="PivotStyleLight16"/>
  <colors>
    <mruColors>
      <color rgb="FFFFEBB3"/>
      <color rgb="FFDFCDBB"/>
      <color rgb="FFFFC2A3"/>
      <color rgb="FFFECDA4"/>
      <color rgb="FFF8CCAE"/>
      <color rgb="FFFFFFD5"/>
      <color rgb="FFF7C9C9"/>
      <color rgb="FFFFCDB9"/>
      <color rgb="FFFDC7E1"/>
      <color rgb="FFD7D4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06"/>
  <sheetViews>
    <sheetView topLeftCell="A88" zoomScale="70" zoomScaleNormal="70" zoomScalePageLayoutView="70" workbookViewId="0">
      <selection sqref="A1:K110"/>
    </sheetView>
  </sheetViews>
  <sheetFormatPr defaultColWidth="9" defaultRowHeight="16.3"/>
  <cols>
    <col min="1" max="1" width="19.07421875" style="19" customWidth="1"/>
    <col min="2" max="2" width="11.4609375" style="7" bestFit="1" customWidth="1"/>
    <col min="3" max="3" width="13.15234375" style="7" bestFit="1" customWidth="1"/>
    <col min="4" max="4" width="10.921875" style="7" customWidth="1"/>
    <col min="5" max="5" width="8.3828125" style="7" customWidth="1"/>
    <col min="6" max="6" width="41.07421875" style="7" customWidth="1"/>
    <col min="7" max="7" width="10.84375" style="7" bestFit="1" customWidth="1"/>
    <col min="8" max="8" width="27.3828125" style="7" customWidth="1"/>
    <col min="9" max="9" width="11.3828125" style="7" customWidth="1"/>
    <col min="10" max="10" width="10.69140625" style="7" customWidth="1"/>
    <col min="11" max="11" width="38.4609375" style="7" customWidth="1"/>
  </cols>
  <sheetData>
    <row r="1" spans="1:11" s="60" customFormat="1" ht="44.15" customHeight="1">
      <c r="A1" s="196" t="s">
        <v>2306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</row>
    <row r="2" spans="1:11" s="60" customFormat="1" ht="130.30000000000001" customHeight="1">
      <c r="A2" s="193" t="s">
        <v>2584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1" s="60" customFormat="1" ht="91.75" customHeight="1">
      <c r="A3" s="193" t="s">
        <v>2583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</row>
    <row r="4" spans="1:11" ht="32.6">
      <c r="A4" s="113" t="s">
        <v>0</v>
      </c>
      <c r="B4" s="114" t="s">
        <v>1</v>
      </c>
      <c r="C4" s="114" t="s">
        <v>2</v>
      </c>
      <c r="D4" s="114" t="s">
        <v>2134</v>
      </c>
      <c r="E4" s="114" t="s">
        <v>3</v>
      </c>
      <c r="F4" s="114" t="s">
        <v>4</v>
      </c>
      <c r="G4" s="114" t="s">
        <v>1098</v>
      </c>
      <c r="H4" s="114" t="s">
        <v>6</v>
      </c>
      <c r="I4" s="114" t="s">
        <v>2067</v>
      </c>
      <c r="J4" s="114" t="s">
        <v>5</v>
      </c>
      <c r="K4" s="114" t="s">
        <v>7</v>
      </c>
    </row>
    <row r="5" spans="1:11">
      <c r="A5" s="195" t="s">
        <v>8</v>
      </c>
      <c r="B5" s="117" t="s">
        <v>2142</v>
      </c>
      <c r="C5" s="117">
        <v>5</v>
      </c>
      <c r="D5" s="117" t="s">
        <v>2140</v>
      </c>
      <c r="E5" s="117" t="s">
        <v>1203</v>
      </c>
      <c r="F5" s="117" t="s">
        <v>2141</v>
      </c>
      <c r="G5" s="117"/>
      <c r="H5" s="117" t="s">
        <v>2138</v>
      </c>
      <c r="I5" s="117" t="s">
        <v>2138</v>
      </c>
      <c r="J5" s="117" t="s">
        <v>2138</v>
      </c>
      <c r="K5" s="117"/>
    </row>
    <row r="6" spans="1:11">
      <c r="A6" s="195"/>
      <c r="B6" s="117" t="s">
        <v>9</v>
      </c>
      <c r="C6" s="117">
        <v>8</v>
      </c>
      <c r="D6" s="117" t="s">
        <v>2139</v>
      </c>
      <c r="E6" s="117" t="s">
        <v>10</v>
      </c>
      <c r="F6" s="118">
        <v>2.15</v>
      </c>
      <c r="G6" s="117"/>
      <c r="H6" s="118">
        <v>6</v>
      </c>
      <c r="I6" s="118" t="s">
        <v>2066</v>
      </c>
      <c r="J6" s="117" t="s">
        <v>2138</v>
      </c>
      <c r="K6" s="117" t="s">
        <v>1089</v>
      </c>
    </row>
    <row r="7" spans="1:11">
      <c r="A7" s="194" t="s">
        <v>11</v>
      </c>
      <c r="B7" s="127" t="s">
        <v>2142</v>
      </c>
      <c r="C7" s="127">
        <v>5</v>
      </c>
      <c r="D7" s="127" t="s">
        <v>2140</v>
      </c>
      <c r="E7" s="127" t="s">
        <v>1203</v>
      </c>
      <c r="F7" s="127" t="s">
        <v>2141</v>
      </c>
      <c r="G7" s="127"/>
      <c r="H7" s="127" t="s">
        <v>2138</v>
      </c>
      <c r="I7" s="128" t="s">
        <v>2138</v>
      </c>
      <c r="J7" s="127" t="s">
        <v>2138</v>
      </c>
      <c r="K7" s="127"/>
    </row>
    <row r="8" spans="1:11">
      <c r="A8" s="194"/>
      <c r="B8" s="127" t="s">
        <v>9</v>
      </c>
      <c r="C8" s="127">
        <v>8</v>
      </c>
      <c r="D8" s="127" t="s">
        <v>2202</v>
      </c>
      <c r="E8" s="127" t="s">
        <v>10</v>
      </c>
      <c r="F8" s="128" t="s">
        <v>12</v>
      </c>
      <c r="G8" s="127"/>
      <c r="H8" s="127" t="s">
        <v>13</v>
      </c>
      <c r="I8" s="127" t="s">
        <v>2066</v>
      </c>
      <c r="J8" s="127" t="s">
        <v>2138</v>
      </c>
      <c r="K8" s="127" t="s">
        <v>2143</v>
      </c>
    </row>
    <row r="9" spans="1:11" ht="32.6">
      <c r="A9" s="195" t="s">
        <v>14</v>
      </c>
      <c r="B9" s="117" t="s">
        <v>15</v>
      </c>
      <c r="C9" s="117">
        <v>2</v>
      </c>
      <c r="D9" s="117" t="s">
        <v>2144</v>
      </c>
      <c r="E9" s="117" t="s">
        <v>10</v>
      </c>
      <c r="F9" s="118" t="s">
        <v>16</v>
      </c>
      <c r="G9" s="117"/>
      <c r="H9" s="117" t="s">
        <v>17</v>
      </c>
      <c r="I9" s="117" t="s">
        <v>2066</v>
      </c>
      <c r="J9" s="117" t="s">
        <v>2138</v>
      </c>
      <c r="K9" s="117"/>
    </row>
    <row r="10" spans="1:11">
      <c r="A10" s="195"/>
      <c r="B10" s="117" t="s">
        <v>18</v>
      </c>
      <c r="C10" s="117">
        <v>2</v>
      </c>
      <c r="D10" s="117" t="s">
        <v>2144</v>
      </c>
      <c r="E10" s="117" t="s">
        <v>10</v>
      </c>
      <c r="F10" s="118">
        <v>1.19</v>
      </c>
      <c r="G10" s="117"/>
      <c r="H10" s="118">
        <v>1</v>
      </c>
      <c r="I10" s="118" t="s">
        <v>2066</v>
      </c>
      <c r="J10" s="117" t="s">
        <v>2138</v>
      </c>
      <c r="K10" s="117"/>
    </row>
    <row r="11" spans="1:11" ht="32.6">
      <c r="A11" s="195"/>
      <c r="B11" s="117" t="s">
        <v>19</v>
      </c>
      <c r="C11" s="117">
        <v>10</v>
      </c>
      <c r="D11" s="117" t="s">
        <v>2145</v>
      </c>
      <c r="E11" s="117" t="s">
        <v>10</v>
      </c>
      <c r="F11" s="117" t="s">
        <v>20</v>
      </c>
      <c r="G11" s="117"/>
      <c r="H11" s="117" t="s">
        <v>21</v>
      </c>
      <c r="I11" s="118" t="s">
        <v>2066</v>
      </c>
      <c r="J11" s="117" t="s">
        <v>2138</v>
      </c>
      <c r="K11" s="117"/>
    </row>
    <row r="12" spans="1:11" ht="32.6">
      <c r="A12" s="195"/>
      <c r="B12" s="117" t="s">
        <v>9</v>
      </c>
      <c r="C12" s="117">
        <v>15</v>
      </c>
      <c r="D12" s="117" t="s">
        <v>2145</v>
      </c>
      <c r="E12" s="117" t="s">
        <v>10</v>
      </c>
      <c r="F12" s="117" t="s">
        <v>22</v>
      </c>
      <c r="G12" s="117"/>
      <c r="H12" s="117" t="s">
        <v>23</v>
      </c>
      <c r="I12" s="118" t="s">
        <v>2066</v>
      </c>
      <c r="J12" s="117" t="s">
        <v>2138</v>
      </c>
      <c r="K12" s="117"/>
    </row>
    <row r="13" spans="1:11">
      <c r="A13" s="137" t="s">
        <v>24</v>
      </c>
      <c r="B13" s="127"/>
      <c r="C13" s="127">
        <v>20</v>
      </c>
      <c r="D13" s="127" t="s">
        <v>2446</v>
      </c>
      <c r="E13" s="127" t="s">
        <v>10</v>
      </c>
      <c r="F13" s="128">
        <v>2.4</v>
      </c>
      <c r="G13" s="127" t="s">
        <v>1103</v>
      </c>
      <c r="H13" s="128">
        <v>6</v>
      </c>
      <c r="I13" s="128" t="s">
        <v>2066</v>
      </c>
      <c r="J13" s="127" t="s">
        <v>2138</v>
      </c>
      <c r="K13" s="127" t="s">
        <v>2213</v>
      </c>
    </row>
    <row r="14" spans="1:11">
      <c r="A14" s="195" t="s">
        <v>2307</v>
      </c>
      <c r="B14" s="117" t="s">
        <v>1163</v>
      </c>
      <c r="C14" s="117">
        <v>20</v>
      </c>
      <c r="D14" s="117" t="s">
        <v>2445</v>
      </c>
      <c r="E14" s="117" t="s">
        <v>1148</v>
      </c>
      <c r="F14" s="118">
        <v>1.85</v>
      </c>
      <c r="G14" s="117" t="s">
        <v>1103</v>
      </c>
      <c r="H14" s="118">
        <v>2</v>
      </c>
      <c r="I14" s="118" t="s">
        <v>2066</v>
      </c>
      <c r="J14" s="117" t="s">
        <v>2138</v>
      </c>
      <c r="K14" s="117"/>
    </row>
    <row r="15" spans="1:11">
      <c r="A15" s="195"/>
      <c r="B15" s="117" t="s">
        <v>1149</v>
      </c>
      <c r="C15" s="117">
        <v>10</v>
      </c>
      <c r="D15" s="117" t="s">
        <v>2445</v>
      </c>
      <c r="E15" s="117" t="s">
        <v>1148</v>
      </c>
      <c r="F15" s="118" t="s">
        <v>1151</v>
      </c>
      <c r="G15" s="117" t="s">
        <v>1103</v>
      </c>
      <c r="H15" s="118" t="s">
        <v>1150</v>
      </c>
      <c r="I15" s="118" t="s">
        <v>2066</v>
      </c>
      <c r="J15" s="117" t="s">
        <v>2138</v>
      </c>
      <c r="K15" s="117" t="s">
        <v>1482</v>
      </c>
    </row>
    <row r="16" spans="1:11" ht="32.6">
      <c r="A16" s="137" t="s">
        <v>25</v>
      </c>
      <c r="B16" s="127"/>
      <c r="C16" s="127">
        <v>16</v>
      </c>
      <c r="D16" s="127" t="s">
        <v>2137</v>
      </c>
      <c r="E16" s="127" t="s">
        <v>10</v>
      </c>
      <c r="F16" s="127" t="s">
        <v>26</v>
      </c>
      <c r="G16" s="127"/>
      <c r="H16" s="127" t="s">
        <v>27</v>
      </c>
      <c r="I16" s="128" t="s">
        <v>2066</v>
      </c>
      <c r="J16" s="127" t="s">
        <v>2138</v>
      </c>
      <c r="K16" s="127" t="s">
        <v>1864</v>
      </c>
    </row>
    <row r="17" spans="1:11">
      <c r="A17" s="195" t="s">
        <v>2308</v>
      </c>
      <c r="B17" s="117" t="s">
        <v>1163</v>
      </c>
      <c r="C17" s="117">
        <v>26</v>
      </c>
      <c r="D17" s="117" t="s">
        <v>2445</v>
      </c>
      <c r="E17" s="117" t="s">
        <v>10</v>
      </c>
      <c r="F17" s="117" t="s">
        <v>1152</v>
      </c>
      <c r="G17" s="117"/>
      <c r="H17" s="117" t="s">
        <v>1364</v>
      </c>
      <c r="I17" s="117" t="s">
        <v>2095</v>
      </c>
      <c r="J17" s="117" t="s">
        <v>2138</v>
      </c>
      <c r="K17" s="117"/>
    </row>
    <row r="18" spans="1:11" ht="32.6">
      <c r="A18" s="195"/>
      <c r="B18" s="117" t="s">
        <v>1149</v>
      </c>
      <c r="C18" s="117">
        <v>12</v>
      </c>
      <c r="D18" s="117" t="s">
        <v>2445</v>
      </c>
      <c r="E18" s="117" t="s">
        <v>10</v>
      </c>
      <c r="F18" s="117" t="s">
        <v>1153</v>
      </c>
      <c r="G18" s="117"/>
      <c r="H18" s="117" t="s">
        <v>1366</v>
      </c>
      <c r="I18" s="117" t="s">
        <v>2096</v>
      </c>
      <c r="J18" s="117" t="s">
        <v>2138</v>
      </c>
      <c r="K18" s="117" t="s">
        <v>1154</v>
      </c>
    </row>
    <row r="19" spans="1:11" ht="32.6">
      <c r="A19" s="137" t="s">
        <v>28</v>
      </c>
      <c r="B19" s="127"/>
      <c r="C19" s="127">
        <v>0</v>
      </c>
      <c r="D19" s="127" t="s">
        <v>2146</v>
      </c>
      <c r="E19" s="127" t="s">
        <v>2574</v>
      </c>
      <c r="F19" s="127" t="s">
        <v>2103</v>
      </c>
      <c r="G19" s="127" t="s">
        <v>1099</v>
      </c>
      <c r="H19" s="127">
        <v>6</v>
      </c>
      <c r="I19" s="127" t="s">
        <v>2138</v>
      </c>
      <c r="J19" s="127" t="s">
        <v>30</v>
      </c>
      <c r="K19" s="127" t="s">
        <v>1094</v>
      </c>
    </row>
    <row r="20" spans="1:11">
      <c r="A20" s="126" t="s">
        <v>31</v>
      </c>
      <c r="B20" s="117"/>
      <c r="C20" s="117">
        <v>14</v>
      </c>
      <c r="D20" s="117" t="s">
        <v>2390</v>
      </c>
      <c r="E20" s="117" t="s">
        <v>32</v>
      </c>
      <c r="F20" s="117" t="s">
        <v>33</v>
      </c>
      <c r="G20" s="117"/>
      <c r="H20" s="117" t="s">
        <v>35</v>
      </c>
      <c r="I20" s="117" t="s">
        <v>2138</v>
      </c>
      <c r="J20" s="117" t="s">
        <v>34</v>
      </c>
      <c r="K20" s="117" t="s">
        <v>2392</v>
      </c>
    </row>
    <row r="21" spans="1:11">
      <c r="A21" s="194" t="s">
        <v>36</v>
      </c>
      <c r="B21" s="127" t="s">
        <v>1108</v>
      </c>
      <c r="C21" s="192">
        <v>10</v>
      </c>
      <c r="D21" s="192" t="s">
        <v>2139</v>
      </c>
      <c r="E21" s="127" t="s">
        <v>10</v>
      </c>
      <c r="F21" s="128" t="s">
        <v>1101</v>
      </c>
      <c r="G21" s="127"/>
      <c r="H21" s="128" t="s">
        <v>1101</v>
      </c>
      <c r="I21" s="128" t="s">
        <v>2066</v>
      </c>
      <c r="J21" s="127" t="s">
        <v>2138</v>
      </c>
      <c r="K21" s="127"/>
    </row>
    <row r="22" spans="1:11">
      <c r="A22" s="194"/>
      <c r="B22" s="127" t="s">
        <v>39</v>
      </c>
      <c r="C22" s="192"/>
      <c r="D22" s="192"/>
      <c r="E22" s="127" t="s">
        <v>32</v>
      </c>
      <c r="F22" s="127">
        <v>120</v>
      </c>
      <c r="G22" s="127"/>
      <c r="H22" s="127">
        <v>30</v>
      </c>
      <c r="I22" s="127" t="s">
        <v>2138</v>
      </c>
      <c r="J22" s="127" t="s">
        <v>40</v>
      </c>
      <c r="K22" s="127"/>
    </row>
    <row r="23" spans="1:11">
      <c r="A23" s="194"/>
      <c r="B23" s="127" t="s">
        <v>9</v>
      </c>
      <c r="C23" s="127">
        <v>5</v>
      </c>
      <c r="D23" s="127" t="s">
        <v>2139</v>
      </c>
      <c r="E23" s="127" t="s">
        <v>10</v>
      </c>
      <c r="F23" s="128">
        <v>1.4</v>
      </c>
      <c r="G23" s="127"/>
      <c r="H23" s="128">
        <v>1.4</v>
      </c>
      <c r="I23" s="128" t="s">
        <v>2066</v>
      </c>
      <c r="J23" s="127" t="s">
        <v>2138</v>
      </c>
      <c r="K23" s="127" t="s">
        <v>1102</v>
      </c>
    </row>
    <row r="24" spans="1:11">
      <c r="A24" s="195" t="s">
        <v>41</v>
      </c>
      <c r="B24" s="117" t="s">
        <v>42</v>
      </c>
      <c r="C24" s="117">
        <v>16</v>
      </c>
      <c r="D24" s="117" t="s">
        <v>2147</v>
      </c>
      <c r="E24" s="117" t="s">
        <v>32</v>
      </c>
      <c r="F24" s="117">
        <v>220</v>
      </c>
      <c r="G24" s="117"/>
      <c r="H24" s="117" t="s">
        <v>43</v>
      </c>
      <c r="I24" s="117" t="s">
        <v>2138</v>
      </c>
      <c r="J24" s="117" t="s">
        <v>40</v>
      </c>
      <c r="K24" s="117"/>
    </row>
    <row r="25" spans="1:11">
      <c r="A25" s="195"/>
      <c r="B25" s="117" t="s">
        <v>44</v>
      </c>
      <c r="C25" s="117">
        <v>16</v>
      </c>
      <c r="D25" s="117" t="s">
        <v>2137</v>
      </c>
      <c r="E25" s="117" t="s">
        <v>32</v>
      </c>
      <c r="F25" s="117">
        <v>250</v>
      </c>
      <c r="G25" s="117"/>
      <c r="H25" s="117">
        <v>20</v>
      </c>
      <c r="I25" s="117" t="s">
        <v>2138</v>
      </c>
      <c r="J25" s="117" t="s">
        <v>40</v>
      </c>
      <c r="K25" s="117" t="s">
        <v>1122</v>
      </c>
    </row>
    <row r="26" spans="1:11" ht="32.6">
      <c r="A26" s="194" t="s">
        <v>45</v>
      </c>
      <c r="B26" s="127" t="s">
        <v>46</v>
      </c>
      <c r="C26" s="127">
        <v>22</v>
      </c>
      <c r="D26" s="127" t="s">
        <v>2139</v>
      </c>
      <c r="E26" s="127" t="s">
        <v>32</v>
      </c>
      <c r="F26" s="127" t="s">
        <v>47</v>
      </c>
      <c r="G26" s="127" t="s">
        <v>1093</v>
      </c>
      <c r="H26" s="127" t="s">
        <v>48</v>
      </c>
      <c r="I26" s="127" t="s">
        <v>2138</v>
      </c>
      <c r="J26" s="127" t="s">
        <v>34</v>
      </c>
      <c r="K26" s="127" t="s">
        <v>1121</v>
      </c>
    </row>
    <row r="27" spans="1:11" ht="32.6">
      <c r="A27" s="194"/>
      <c r="B27" s="127" t="s">
        <v>9</v>
      </c>
      <c r="C27" s="127">
        <v>0</v>
      </c>
      <c r="D27" s="127" t="s">
        <v>2139</v>
      </c>
      <c r="E27" s="127" t="s">
        <v>10</v>
      </c>
      <c r="F27" s="128" t="s">
        <v>49</v>
      </c>
      <c r="G27" s="127" t="s">
        <v>1093</v>
      </c>
      <c r="H27" s="127" t="s">
        <v>50</v>
      </c>
      <c r="I27" s="127" t="s">
        <v>2098</v>
      </c>
      <c r="J27" s="127" t="s">
        <v>2138</v>
      </c>
      <c r="K27" s="127" t="s">
        <v>2214</v>
      </c>
    </row>
    <row r="28" spans="1:11" ht="48.9">
      <c r="A28" s="126" t="s">
        <v>51</v>
      </c>
      <c r="B28" s="117"/>
      <c r="C28" s="117">
        <v>16</v>
      </c>
      <c r="D28" s="117" t="s">
        <v>2137</v>
      </c>
      <c r="E28" s="117" t="s">
        <v>52</v>
      </c>
      <c r="F28" s="118" t="s">
        <v>1321</v>
      </c>
      <c r="G28" s="117"/>
      <c r="H28" s="117">
        <v>6</v>
      </c>
      <c r="I28" s="117" t="s">
        <v>2138</v>
      </c>
      <c r="J28" s="117" t="s">
        <v>2138</v>
      </c>
      <c r="K28" s="117" t="s">
        <v>2451</v>
      </c>
    </row>
    <row r="29" spans="1:11" ht="48.9">
      <c r="A29" s="137" t="s">
        <v>53</v>
      </c>
      <c r="B29" s="127"/>
      <c r="C29" s="127">
        <v>16</v>
      </c>
      <c r="D29" s="127" t="s">
        <v>2137</v>
      </c>
      <c r="E29" s="127" t="s">
        <v>52</v>
      </c>
      <c r="F29" s="128" t="s">
        <v>1322</v>
      </c>
      <c r="G29" s="127"/>
      <c r="H29" s="127">
        <v>6</v>
      </c>
      <c r="I29" s="127" t="s">
        <v>2138</v>
      </c>
      <c r="J29" s="127" t="s">
        <v>2138</v>
      </c>
      <c r="K29" s="127" t="s">
        <v>2217</v>
      </c>
    </row>
    <row r="30" spans="1:11" ht="48.9">
      <c r="A30" s="126" t="s">
        <v>54</v>
      </c>
      <c r="B30" s="117"/>
      <c r="C30" s="117">
        <v>16</v>
      </c>
      <c r="D30" s="117" t="s">
        <v>2137</v>
      </c>
      <c r="E30" s="117" t="s">
        <v>52</v>
      </c>
      <c r="F30" s="118" t="s">
        <v>2081</v>
      </c>
      <c r="G30" s="117"/>
      <c r="H30" s="117">
        <v>6</v>
      </c>
      <c r="I30" s="117" t="s">
        <v>2138</v>
      </c>
      <c r="J30" s="117" t="s">
        <v>2138</v>
      </c>
      <c r="K30" s="117" t="s">
        <v>2217</v>
      </c>
    </row>
    <row r="31" spans="1:11" ht="48.9">
      <c r="A31" s="137" t="s">
        <v>55</v>
      </c>
      <c r="B31" s="127"/>
      <c r="C31" s="127">
        <v>9</v>
      </c>
      <c r="D31" s="127" t="s">
        <v>2226</v>
      </c>
      <c r="E31" s="127" t="s">
        <v>52</v>
      </c>
      <c r="F31" s="128" t="s">
        <v>2452</v>
      </c>
      <c r="G31" s="127"/>
      <c r="H31" s="127" t="s">
        <v>56</v>
      </c>
      <c r="I31" s="127" t="s">
        <v>2138</v>
      </c>
      <c r="J31" s="127" t="s">
        <v>2138</v>
      </c>
      <c r="K31" s="127"/>
    </row>
    <row r="32" spans="1:11" ht="32.6">
      <c r="A32" s="113" t="s">
        <v>57</v>
      </c>
      <c r="B32" s="114" t="s">
        <v>1</v>
      </c>
      <c r="C32" s="114" t="s">
        <v>2</v>
      </c>
      <c r="D32" s="114" t="s">
        <v>2134</v>
      </c>
      <c r="E32" s="114" t="s">
        <v>3</v>
      </c>
      <c r="F32" s="114" t="s">
        <v>4</v>
      </c>
      <c r="G32" s="114" t="s">
        <v>1098</v>
      </c>
      <c r="H32" s="114" t="s">
        <v>6</v>
      </c>
      <c r="I32" s="114" t="s">
        <v>2067</v>
      </c>
      <c r="J32" s="114" t="s">
        <v>5</v>
      </c>
      <c r="K32" s="114" t="s">
        <v>7</v>
      </c>
    </row>
    <row r="33" spans="1:11" ht="32.6">
      <c r="A33" s="195" t="s">
        <v>63</v>
      </c>
      <c r="B33" s="117" t="s">
        <v>42</v>
      </c>
      <c r="C33" s="117">
        <v>6</v>
      </c>
      <c r="D33" s="117" t="s">
        <v>2202</v>
      </c>
      <c r="E33" s="117" t="s">
        <v>10</v>
      </c>
      <c r="F33" s="118" t="s">
        <v>2099</v>
      </c>
      <c r="G33" s="117"/>
      <c r="H33" s="117" t="s">
        <v>2101</v>
      </c>
      <c r="I33" s="117" t="s">
        <v>2066</v>
      </c>
      <c r="J33" s="117" t="s">
        <v>2138</v>
      </c>
      <c r="K33" s="117"/>
    </row>
    <row r="34" spans="1:11" ht="32.6">
      <c r="A34" s="195"/>
      <c r="B34" s="117" t="s">
        <v>44</v>
      </c>
      <c r="C34" s="117">
        <v>12</v>
      </c>
      <c r="D34" s="117" t="s">
        <v>2202</v>
      </c>
      <c r="E34" s="117" t="s">
        <v>10</v>
      </c>
      <c r="F34" s="117" t="s">
        <v>2100</v>
      </c>
      <c r="G34" s="117"/>
      <c r="H34" s="117" t="s">
        <v>2102</v>
      </c>
      <c r="I34" s="117" t="s">
        <v>2066</v>
      </c>
      <c r="J34" s="117" t="s">
        <v>2138</v>
      </c>
      <c r="K34" s="117"/>
    </row>
    <row r="35" spans="1:11">
      <c r="A35" s="137" t="s">
        <v>64</v>
      </c>
      <c r="B35" s="127"/>
      <c r="C35" s="127">
        <v>9</v>
      </c>
      <c r="D35" s="127" t="s">
        <v>2137</v>
      </c>
      <c r="E35" s="127" t="s">
        <v>10</v>
      </c>
      <c r="F35" s="128">
        <v>1.87</v>
      </c>
      <c r="G35" s="127"/>
      <c r="H35" s="128">
        <v>6</v>
      </c>
      <c r="I35" s="128" t="s">
        <v>2095</v>
      </c>
      <c r="J35" s="127" t="s">
        <v>2138</v>
      </c>
      <c r="K35" s="127" t="s">
        <v>65</v>
      </c>
    </row>
    <row r="36" spans="1:11">
      <c r="A36" s="126" t="s">
        <v>2309</v>
      </c>
      <c r="B36" s="117"/>
      <c r="C36" s="117">
        <v>9</v>
      </c>
      <c r="D36" s="117" t="s">
        <v>2137</v>
      </c>
      <c r="E36" s="117" t="s">
        <v>1148</v>
      </c>
      <c r="F36" s="118">
        <v>1.45</v>
      </c>
      <c r="G36" s="117"/>
      <c r="H36" s="118">
        <v>2</v>
      </c>
      <c r="I36" s="118" t="s">
        <v>2095</v>
      </c>
      <c r="J36" s="117" t="s">
        <v>2138</v>
      </c>
      <c r="K36" s="117" t="s">
        <v>67</v>
      </c>
    </row>
    <row r="37" spans="1:11">
      <c r="A37" s="194" t="s">
        <v>2310</v>
      </c>
      <c r="B37" s="127" t="s">
        <v>1157</v>
      </c>
      <c r="C37" s="192">
        <v>16</v>
      </c>
      <c r="D37" s="127" t="s">
        <v>2137</v>
      </c>
      <c r="E37" s="127" t="s">
        <v>1148</v>
      </c>
      <c r="F37" s="128" t="s">
        <v>1860</v>
      </c>
      <c r="G37" s="127"/>
      <c r="H37" s="128" t="s">
        <v>1862</v>
      </c>
      <c r="I37" s="128" t="s">
        <v>2066</v>
      </c>
      <c r="J37" s="127" t="s">
        <v>2138</v>
      </c>
      <c r="K37" s="127"/>
    </row>
    <row r="38" spans="1:11">
      <c r="A38" s="194"/>
      <c r="B38" s="127" t="s">
        <v>1159</v>
      </c>
      <c r="C38" s="192"/>
      <c r="D38" s="127" t="s">
        <v>2137</v>
      </c>
      <c r="E38" s="127" t="s">
        <v>1148</v>
      </c>
      <c r="F38" s="128" t="s">
        <v>1861</v>
      </c>
      <c r="G38" s="127"/>
      <c r="H38" s="128" t="s">
        <v>1863</v>
      </c>
      <c r="I38" s="128" t="s">
        <v>2066</v>
      </c>
      <c r="J38" s="127" t="s">
        <v>2138</v>
      </c>
      <c r="K38" s="127"/>
    </row>
    <row r="39" spans="1:11">
      <c r="A39" s="126" t="s">
        <v>66</v>
      </c>
      <c r="B39" s="117"/>
      <c r="C39" s="117">
        <v>16</v>
      </c>
      <c r="D39" s="117" t="s">
        <v>2137</v>
      </c>
      <c r="E39" s="117" t="s">
        <v>10</v>
      </c>
      <c r="F39" s="118">
        <v>2.12</v>
      </c>
      <c r="G39" s="117"/>
      <c r="H39" s="118">
        <v>6</v>
      </c>
      <c r="I39" s="118" t="s">
        <v>2095</v>
      </c>
      <c r="J39" s="117" t="s">
        <v>2138</v>
      </c>
      <c r="K39" s="117" t="s">
        <v>67</v>
      </c>
    </row>
    <row r="40" spans="1:11" ht="32.6">
      <c r="A40" s="137" t="s">
        <v>68</v>
      </c>
      <c r="B40" s="127"/>
      <c r="C40" s="127">
        <v>7</v>
      </c>
      <c r="D40" s="127" t="s">
        <v>2137</v>
      </c>
      <c r="E40" s="127" t="s">
        <v>10</v>
      </c>
      <c r="F40" s="127" t="s">
        <v>69</v>
      </c>
      <c r="G40" s="127"/>
      <c r="H40" s="127" t="s">
        <v>70</v>
      </c>
      <c r="I40" s="127" t="s">
        <v>2095</v>
      </c>
      <c r="J40" s="127" t="s">
        <v>2138</v>
      </c>
      <c r="K40" s="127"/>
    </row>
    <row r="41" spans="1:11">
      <c r="A41" s="195" t="s">
        <v>71</v>
      </c>
      <c r="B41" s="117" t="s">
        <v>42</v>
      </c>
      <c r="C41" s="117">
        <v>6</v>
      </c>
      <c r="D41" s="117" t="s">
        <v>2137</v>
      </c>
      <c r="E41" s="117" t="s">
        <v>10</v>
      </c>
      <c r="F41" s="117" t="s">
        <v>72</v>
      </c>
      <c r="G41" s="117"/>
      <c r="H41" s="117" t="s">
        <v>73</v>
      </c>
      <c r="I41" s="117" t="s">
        <v>2066</v>
      </c>
      <c r="J41" s="117" t="s">
        <v>2138</v>
      </c>
      <c r="K41" s="117" t="s">
        <v>1120</v>
      </c>
    </row>
    <row r="42" spans="1:11">
      <c r="A42" s="195"/>
      <c r="B42" s="117" t="s">
        <v>44</v>
      </c>
      <c r="C42" s="117">
        <v>3</v>
      </c>
      <c r="D42" s="117" t="s">
        <v>2137</v>
      </c>
      <c r="E42" s="117" t="s">
        <v>10</v>
      </c>
      <c r="F42" s="117" t="s">
        <v>74</v>
      </c>
      <c r="G42" s="117"/>
      <c r="H42" s="117" t="s">
        <v>75</v>
      </c>
      <c r="I42" s="117" t="s">
        <v>2066</v>
      </c>
      <c r="J42" s="117" t="s">
        <v>2138</v>
      </c>
      <c r="K42" s="117"/>
    </row>
    <row r="43" spans="1:11">
      <c r="A43" s="195"/>
      <c r="B43" s="117" t="s">
        <v>76</v>
      </c>
      <c r="C43" s="117">
        <v>3</v>
      </c>
      <c r="D43" s="117" t="s">
        <v>2137</v>
      </c>
      <c r="E43" s="117" t="s">
        <v>10</v>
      </c>
      <c r="F43" s="118">
        <v>1.45</v>
      </c>
      <c r="G43" s="117"/>
      <c r="H43" s="118">
        <v>2</v>
      </c>
      <c r="I43" s="117" t="s">
        <v>2066</v>
      </c>
      <c r="J43" s="117" t="s">
        <v>2138</v>
      </c>
      <c r="K43" s="117"/>
    </row>
    <row r="44" spans="1:11" ht="32.6">
      <c r="A44" s="194" t="s">
        <v>77</v>
      </c>
      <c r="B44" s="127" t="s">
        <v>42</v>
      </c>
      <c r="C44" s="127">
        <v>6</v>
      </c>
      <c r="D44" s="127" t="s">
        <v>2202</v>
      </c>
      <c r="E44" s="127" t="s">
        <v>10</v>
      </c>
      <c r="F44" s="127" t="s">
        <v>2182</v>
      </c>
      <c r="G44" s="127" t="s">
        <v>1106</v>
      </c>
      <c r="H44" s="127" t="s">
        <v>78</v>
      </c>
      <c r="I44" s="127" t="s">
        <v>2066</v>
      </c>
      <c r="J44" s="127" t="s">
        <v>2138</v>
      </c>
      <c r="K44" s="127"/>
    </row>
    <row r="45" spans="1:11" ht="32.6">
      <c r="A45" s="194"/>
      <c r="B45" s="127" t="s">
        <v>44</v>
      </c>
      <c r="C45" s="127">
        <v>6</v>
      </c>
      <c r="D45" s="127" t="s">
        <v>2202</v>
      </c>
      <c r="E45" s="127" t="s">
        <v>10</v>
      </c>
      <c r="F45" s="128" t="s">
        <v>2183</v>
      </c>
      <c r="G45" s="127" t="s">
        <v>1106</v>
      </c>
      <c r="H45" s="127" t="s">
        <v>78</v>
      </c>
      <c r="I45" s="127" t="s">
        <v>2066</v>
      </c>
      <c r="J45" s="127" t="s">
        <v>2138</v>
      </c>
      <c r="K45" s="127"/>
    </row>
    <row r="46" spans="1:11">
      <c r="A46" s="195" t="s">
        <v>79</v>
      </c>
      <c r="B46" s="117" t="s">
        <v>1160</v>
      </c>
      <c r="C46" s="117">
        <v>10</v>
      </c>
      <c r="D46" s="117" t="s">
        <v>2137</v>
      </c>
      <c r="E46" s="117" t="s">
        <v>10</v>
      </c>
      <c r="F46" s="118">
        <v>1.9</v>
      </c>
      <c r="G46" s="117" t="s">
        <v>2207</v>
      </c>
      <c r="H46" s="118">
        <v>3</v>
      </c>
      <c r="I46" s="118" t="s">
        <v>2066</v>
      </c>
      <c r="J46" s="117" t="s">
        <v>2138</v>
      </c>
      <c r="K46" s="117"/>
    </row>
    <row r="47" spans="1:11">
      <c r="A47" s="195"/>
      <c r="B47" s="117" t="s">
        <v>1161</v>
      </c>
      <c r="C47" s="117">
        <v>15</v>
      </c>
      <c r="D47" s="117" t="s">
        <v>2137</v>
      </c>
      <c r="E47" s="117" t="s">
        <v>10</v>
      </c>
      <c r="F47" s="118">
        <v>2.4500000000000002</v>
      </c>
      <c r="G47" s="117" t="s">
        <v>2207</v>
      </c>
      <c r="H47" s="118">
        <v>6</v>
      </c>
      <c r="I47" s="118" t="s">
        <v>2066</v>
      </c>
      <c r="J47" s="117" t="s">
        <v>2138</v>
      </c>
      <c r="K47" s="117"/>
    </row>
    <row r="48" spans="1:11">
      <c r="A48" s="194" t="s">
        <v>2311</v>
      </c>
      <c r="B48" s="127" t="s">
        <v>1160</v>
      </c>
      <c r="C48" s="127">
        <v>8</v>
      </c>
      <c r="D48" s="127" t="s">
        <v>2137</v>
      </c>
      <c r="E48" s="127" t="s">
        <v>1148</v>
      </c>
      <c r="F48" s="128" t="s">
        <v>2164</v>
      </c>
      <c r="G48" s="127" t="s">
        <v>2207</v>
      </c>
      <c r="H48" s="128">
        <v>2</v>
      </c>
      <c r="I48" s="128" t="s">
        <v>2066</v>
      </c>
      <c r="J48" s="127" t="s">
        <v>2138</v>
      </c>
      <c r="K48" s="128"/>
    </row>
    <row r="49" spans="1:11" ht="32.6">
      <c r="A49" s="194"/>
      <c r="B49" s="127" t="s">
        <v>1161</v>
      </c>
      <c r="C49" s="127">
        <v>10</v>
      </c>
      <c r="D49" s="127" t="s">
        <v>2137</v>
      </c>
      <c r="E49" s="127" t="s">
        <v>1148</v>
      </c>
      <c r="F49" s="128" t="s">
        <v>2168</v>
      </c>
      <c r="G49" s="127" t="s">
        <v>2207</v>
      </c>
      <c r="H49" s="127" t="s">
        <v>1162</v>
      </c>
      <c r="I49" s="127" t="s">
        <v>2066</v>
      </c>
      <c r="J49" s="127" t="s">
        <v>2138</v>
      </c>
      <c r="K49" s="127"/>
    </row>
    <row r="50" spans="1:11">
      <c r="A50" s="126" t="s">
        <v>58</v>
      </c>
      <c r="B50" s="117"/>
      <c r="C50" s="117">
        <v>3</v>
      </c>
      <c r="D50" s="117" t="s">
        <v>2137</v>
      </c>
      <c r="E50" s="117" t="s">
        <v>52</v>
      </c>
      <c r="F50" s="117" t="s">
        <v>59</v>
      </c>
      <c r="G50" s="117"/>
      <c r="H50" s="117" t="s">
        <v>56</v>
      </c>
      <c r="I50" s="117" t="s">
        <v>2138</v>
      </c>
      <c r="J50" s="117" t="s">
        <v>2138</v>
      </c>
      <c r="K50" s="117"/>
    </row>
    <row r="51" spans="1:11">
      <c r="A51" s="137" t="s">
        <v>2240</v>
      </c>
      <c r="B51" s="127"/>
      <c r="C51" s="127">
        <v>5</v>
      </c>
      <c r="D51" s="127" t="s">
        <v>2137</v>
      </c>
      <c r="E51" s="127" t="s">
        <v>52</v>
      </c>
      <c r="F51" s="127" t="s">
        <v>60</v>
      </c>
      <c r="G51" s="127"/>
      <c r="H51" s="127" t="s">
        <v>56</v>
      </c>
      <c r="I51" s="127" t="s">
        <v>2138</v>
      </c>
      <c r="J51" s="127" t="s">
        <v>2138</v>
      </c>
      <c r="K51" s="127"/>
    </row>
    <row r="52" spans="1:11" ht="32.6">
      <c r="A52" s="126" t="s">
        <v>61</v>
      </c>
      <c r="B52" s="117"/>
      <c r="C52" s="117">
        <v>6</v>
      </c>
      <c r="D52" s="117" t="s">
        <v>2137</v>
      </c>
      <c r="E52" s="117" t="s">
        <v>52</v>
      </c>
      <c r="F52" s="117" t="s">
        <v>62</v>
      </c>
      <c r="G52" s="117"/>
      <c r="H52" s="117" t="s">
        <v>2138</v>
      </c>
      <c r="I52" s="117" t="s">
        <v>2138</v>
      </c>
      <c r="J52" s="117" t="s">
        <v>2138</v>
      </c>
      <c r="K52" s="117"/>
    </row>
    <row r="53" spans="1:11">
      <c r="A53" s="194" t="s">
        <v>80</v>
      </c>
      <c r="B53" s="127" t="s">
        <v>81</v>
      </c>
      <c r="C53" s="192">
        <v>10</v>
      </c>
      <c r="D53" s="127" t="s">
        <v>2137</v>
      </c>
      <c r="E53" s="127" t="s">
        <v>32</v>
      </c>
      <c r="F53" s="127">
        <v>110</v>
      </c>
      <c r="G53" s="127" t="s">
        <v>1093</v>
      </c>
      <c r="H53" s="127">
        <v>6</v>
      </c>
      <c r="I53" s="127" t="s">
        <v>2138</v>
      </c>
      <c r="J53" s="127" t="s">
        <v>40</v>
      </c>
      <c r="K53" s="127" t="s">
        <v>82</v>
      </c>
    </row>
    <row r="54" spans="1:11">
      <c r="A54" s="194"/>
      <c r="B54" s="127" t="s">
        <v>83</v>
      </c>
      <c r="C54" s="192"/>
      <c r="D54" s="127" t="s">
        <v>2137</v>
      </c>
      <c r="E54" s="127" t="s">
        <v>32</v>
      </c>
      <c r="F54" s="127">
        <v>80</v>
      </c>
      <c r="G54" s="127" t="s">
        <v>1093</v>
      </c>
      <c r="H54" s="127">
        <v>6</v>
      </c>
      <c r="I54" s="127" t="s">
        <v>2138</v>
      </c>
      <c r="J54" s="127" t="s">
        <v>40</v>
      </c>
      <c r="K54" s="127" t="s">
        <v>84</v>
      </c>
    </row>
    <row r="55" spans="1:11">
      <c r="A55" s="126" t="s">
        <v>2312</v>
      </c>
      <c r="B55" s="117"/>
      <c r="C55" s="117">
        <v>13</v>
      </c>
      <c r="D55" s="117" t="s">
        <v>2137</v>
      </c>
      <c r="E55" s="117" t="s">
        <v>1148</v>
      </c>
      <c r="F55" s="117" t="s">
        <v>1164</v>
      </c>
      <c r="G55" s="117"/>
      <c r="H55" s="117" t="s">
        <v>1165</v>
      </c>
      <c r="I55" s="117" t="s">
        <v>2066</v>
      </c>
      <c r="J55" s="117" t="s">
        <v>2138</v>
      </c>
      <c r="K55" s="117"/>
    </row>
    <row r="56" spans="1:11">
      <c r="A56" s="194" t="s">
        <v>2313</v>
      </c>
      <c r="B56" s="127"/>
      <c r="C56" s="127">
        <v>7</v>
      </c>
      <c r="D56" s="127" t="s">
        <v>2137</v>
      </c>
      <c r="E56" s="127" t="s">
        <v>1148</v>
      </c>
      <c r="F56" s="128">
        <v>1.4</v>
      </c>
      <c r="G56" s="127"/>
      <c r="H56" s="128">
        <v>1.5</v>
      </c>
      <c r="I56" s="128" t="s">
        <v>2066</v>
      </c>
      <c r="J56" s="127" t="s">
        <v>2138</v>
      </c>
      <c r="K56" s="127"/>
    </row>
    <row r="57" spans="1:11">
      <c r="A57" s="194"/>
      <c r="B57" s="127" t="s">
        <v>1161</v>
      </c>
      <c r="C57" s="127">
        <v>7</v>
      </c>
      <c r="D57" s="127" t="s">
        <v>2137</v>
      </c>
      <c r="E57" s="127" t="s">
        <v>1148</v>
      </c>
      <c r="F57" s="127" t="s">
        <v>1166</v>
      </c>
      <c r="G57" s="127"/>
      <c r="H57" s="127" t="s">
        <v>1167</v>
      </c>
      <c r="I57" s="127" t="s">
        <v>2066</v>
      </c>
      <c r="J57" s="127" t="s">
        <v>2138</v>
      </c>
      <c r="K57" s="127"/>
    </row>
    <row r="58" spans="1:11">
      <c r="A58" s="126" t="s">
        <v>2314</v>
      </c>
      <c r="B58" s="117"/>
      <c r="C58" s="117">
        <v>8</v>
      </c>
      <c r="D58" s="117" t="s">
        <v>2137</v>
      </c>
      <c r="E58" s="117" t="s">
        <v>1148</v>
      </c>
      <c r="F58" s="118">
        <v>1.75</v>
      </c>
      <c r="G58" s="117" t="s">
        <v>1119</v>
      </c>
      <c r="H58" s="118">
        <v>1.5</v>
      </c>
      <c r="I58" s="118" t="s">
        <v>2094</v>
      </c>
      <c r="J58" s="117" t="s">
        <v>2138</v>
      </c>
      <c r="K58" s="117"/>
    </row>
    <row r="59" spans="1:11">
      <c r="A59" s="137" t="s">
        <v>2315</v>
      </c>
      <c r="B59" s="127"/>
      <c r="C59" s="127">
        <v>11</v>
      </c>
      <c r="D59" s="127" t="s">
        <v>2137</v>
      </c>
      <c r="E59" s="127" t="s">
        <v>1148</v>
      </c>
      <c r="F59" s="127" t="s">
        <v>1373</v>
      </c>
      <c r="G59" s="127" t="s">
        <v>1119</v>
      </c>
      <c r="H59" s="127" t="s">
        <v>1374</v>
      </c>
      <c r="I59" s="127" t="s">
        <v>2094</v>
      </c>
      <c r="J59" s="127" t="s">
        <v>2138</v>
      </c>
      <c r="K59" s="127" t="s">
        <v>1870</v>
      </c>
    </row>
    <row r="60" spans="1:11" ht="32.6">
      <c r="A60" s="113" t="s">
        <v>2385</v>
      </c>
      <c r="B60" s="114" t="s">
        <v>1</v>
      </c>
      <c r="C60" s="114" t="s">
        <v>2</v>
      </c>
      <c r="D60" s="114" t="s">
        <v>2134</v>
      </c>
      <c r="E60" s="114" t="s">
        <v>3</v>
      </c>
      <c r="F60" s="114" t="s">
        <v>4</v>
      </c>
      <c r="G60" s="114" t="s">
        <v>1098</v>
      </c>
      <c r="H60" s="114" t="s">
        <v>6</v>
      </c>
      <c r="I60" s="114" t="s">
        <v>2067</v>
      </c>
      <c r="J60" s="114" t="s">
        <v>5</v>
      </c>
      <c r="K60" s="114" t="s">
        <v>7</v>
      </c>
    </row>
    <row r="61" spans="1:11">
      <c r="A61" s="195" t="s">
        <v>1168</v>
      </c>
      <c r="B61" s="117" t="s">
        <v>19</v>
      </c>
      <c r="C61" s="117">
        <v>6</v>
      </c>
      <c r="D61" s="117" t="s">
        <v>2137</v>
      </c>
      <c r="E61" s="117" t="s">
        <v>10</v>
      </c>
      <c r="F61" s="118">
        <v>2</v>
      </c>
      <c r="G61" s="117" t="s">
        <v>2207</v>
      </c>
      <c r="H61" s="118">
        <v>6</v>
      </c>
      <c r="I61" s="118" t="s">
        <v>2066</v>
      </c>
      <c r="J61" s="117" t="s">
        <v>2138</v>
      </c>
      <c r="K61" s="117"/>
    </row>
    <row r="62" spans="1:11">
      <c r="A62" s="195"/>
      <c r="B62" s="117" t="s">
        <v>9</v>
      </c>
      <c r="C62" s="117">
        <v>8</v>
      </c>
      <c r="D62" s="117" t="s">
        <v>2137</v>
      </c>
      <c r="E62" s="117" t="s">
        <v>10</v>
      </c>
      <c r="F62" s="118">
        <v>2.4</v>
      </c>
      <c r="G62" s="117" t="s">
        <v>2207</v>
      </c>
      <c r="H62" s="118">
        <v>8</v>
      </c>
      <c r="I62" s="118" t="s">
        <v>2095</v>
      </c>
      <c r="J62" s="117" t="s">
        <v>2138</v>
      </c>
      <c r="K62" s="117"/>
    </row>
    <row r="63" spans="1:11" ht="32.6">
      <c r="A63" s="194" t="s">
        <v>2316</v>
      </c>
      <c r="B63" s="127" t="s">
        <v>19</v>
      </c>
      <c r="C63" s="127">
        <v>8</v>
      </c>
      <c r="D63" s="127" t="s">
        <v>2137</v>
      </c>
      <c r="E63" s="127" t="s">
        <v>1148</v>
      </c>
      <c r="F63" s="128" t="s">
        <v>1169</v>
      </c>
      <c r="G63" s="127" t="s">
        <v>2207</v>
      </c>
      <c r="H63" s="128" t="s">
        <v>1170</v>
      </c>
      <c r="I63" s="128" t="s">
        <v>2066</v>
      </c>
      <c r="J63" s="127" t="s">
        <v>2138</v>
      </c>
      <c r="K63" s="127" t="s">
        <v>2450</v>
      </c>
    </row>
    <row r="64" spans="1:11">
      <c r="A64" s="194"/>
      <c r="B64" s="127" t="s">
        <v>9</v>
      </c>
      <c r="C64" s="127">
        <v>10</v>
      </c>
      <c r="D64" s="127" t="s">
        <v>2137</v>
      </c>
      <c r="E64" s="127" t="s">
        <v>1148</v>
      </c>
      <c r="F64" s="128">
        <v>2.5099999999999998</v>
      </c>
      <c r="G64" s="127" t="s">
        <v>2207</v>
      </c>
      <c r="H64" s="128">
        <v>5.5</v>
      </c>
      <c r="I64" s="128" t="s">
        <v>2095</v>
      </c>
      <c r="J64" s="127" t="s">
        <v>2138</v>
      </c>
      <c r="K64" s="127"/>
    </row>
    <row r="65" spans="1:11">
      <c r="A65" s="195" t="s">
        <v>85</v>
      </c>
      <c r="B65" s="117" t="s">
        <v>86</v>
      </c>
      <c r="C65" s="191">
        <v>16</v>
      </c>
      <c r="D65" s="117" t="s">
        <v>2203</v>
      </c>
      <c r="E65" s="117" t="s">
        <v>10</v>
      </c>
      <c r="F65" s="117" t="s">
        <v>87</v>
      </c>
      <c r="G65" s="117"/>
      <c r="H65" s="117" t="s">
        <v>88</v>
      </c>
      <c r="I65" s="117" t="s">
        <v>2094</v>
      </c>
      <c r="J65" s="117" t="s">
        <v>2138</v>
      </c>
      <c r="K65" s="117" t="s">
        <v>1105</v>
      </c>
    </row>
    <row r="66" spans="1:11">
      <c r="A66" s="195"/>
      <c r="B66" s="117" t="s">
        <v>89</v>
      </c>
      <c r="C66" s="191"/>
      <c r="D66" s="117" t="s">
        <v>2203</v>
      </c>
      <c r="E66" s="117" t="s">
        <v>10</v>
      </c>
      <c r="F66" s="117" t="s">
        <v>90</v>
      </c>
      <c r="G66" s="117"/>
      <c r="H66" s="117" t="s">
        <v>91</v>
      </c>
      <c r="I66" s="117" t="s">
        <v>2094</v>
      </c>
      <c r="J66" s="117" t="s">
        <v>2138</v>
      </c>
      <c r="K66" s="117" t="s">
        <v>1105</v>
      </c>
    </row>
    <row r="67" spans="1:11">
      <c r="A67" s="194" t="s">
        <v>92</v>
      </c>
      <c r="B67" s="127" t="s">
        <v>93</v>
      </c>
      <c r="C67" s="127">
        <v>2</v>
      </c>
      <c r="D67" s="127" t="s">
        <v>2137</v>
      </c>
      <c r="E67" s="127" t="s">
        <v>10</v>
      </c>
      <c r="F67" s="128">
        <v>1.17</v>
      </c>
      <c r="G67" s="127"/>
      <c r="H67" s="128">
        <v>1.1200000000000001</v>
      </c>
      <c r="I67" s="128" t="s">
        <v>2066</v>
      </c>
      <c r="J67" s="127" t="s">
        <v>2138</v>
      </c>
      <c r="K67" s="133"/>
    </row>
    <row r="68" spans="1:11">
      <c r="A68" s="194"/>
      <c r="B68" s="127" t="s">
        <v>19</v>
      </c>
      <c r="C68" s="127">
        <v>10</v>
      </c>
      <c r="D68" s="127" t="s">
        <v>2137</v>
      </c>
      <c r="E68" s="127" t="s">
        <v>10</v>
      </c>
      <c r="F68" s="127" t="s">
        <v>94</v>
      </c>
      <c r="G68" s="127"/>
      <c r="H68" s="127" t="s">
        <v>95</v>
      </c>
      <c r="I68" s="127" t="s">
        <v>2066</v>
      </c>
      <c r="J68" s="127" t="s">
        <v>2138</v>
      </c>
      <c r="K68" s="127"/>
    </row>
    <row r="69" spans="1:11">
      <c r="A69" s="194"/>
      <c r="B69" s="127" t="s">
        <v>9</v>
      </c>
      <c r="C69" s="127">
        <v>15</v>
      </c>
      <c r="D69" s="127" t="s">
        <v>2137</v>
      </c>
      <c r="E69" s="127" t="s">
        <v>10</v>
      </c>
      <c r="F69" s="127" t="s">
        <v>96</v>
      </c>
      <c r="G69" s="127"/>
      <c r="H69" s="127" t="s">
        <v>97</v>
      </c>
      <c r="I69" s="127" t="s">
        <v>2066</v>
      </c>
      <c r="J69" s="127" t="s">
        <v>2138</v>
      </c>
      <c r="K69" s="127"/>
    </row>
    <row r="70" spans="1:11">
      <c r="A70" s="126" t="s">
        <v>98</v>
      </c>
      <c r="B70" s="117"/>
      <c r="C70" s="117">
        <v>16</v>
      </c>
      <c r="D70" s="117" t="s">
        <v>2202</v>
      </c>
      <c r="E70" s="117" t="s">
        <v>10</v>
      </c>
      <c r="F70" s="118">
        <v>2.2000000000000002</v>
      </c>
      <c r="G70" s="117"/>
      <c r="H70" s="118">
        <v>6</v>
      </c>
      <c r="I70" s="118" t="s">
        <v>2094</v>
      </c>
      <c r="J70" s="117" t="s">
        <v>2138</v>
      </c>
      <c r="K70" s="117" t="s">
        <v>1135</v>
      </c>
    </row>
    <row r="71" spans="1:11">
      <c r="A71" s="194" t="s">
        <v>99</v>
      </c>
      <c r="B71" s="127" t="s">
        <v>1108</v>
      </c>
      <c r="C71" s="192" t="s">
        <v>100</v>
      </c>
      <c r="D71" s="192" t="s">
        <v>2137</v>
      </c>
      <c r="E71" s="127" t="s">
        <v>1148</v>
      </c>
      <c r="F71" s="127" t="s">
        <v>1877</v>
      </c>
      <c r="G71" s="127" t="s">
        <v>1096</v>
      </c>
      <c r="H71" s="127" t="s">
        <v>1878</v>
      </c>
      <c r="I71" s="127" t="s">
        <v>2066</v>
      </c>
      <c r="J71" s="127" t="s">
        <v>2138</v>
      </c>
      <c r="K71" s="127"/>
    </row>
    <row r="72" spans="1:11">
      <c r="A72" s="194"/>
      <c r="B72" s="127" t="s">
        <v>1107</v>
      </c>
      <c r="C72" s="192"/>
      <c r="D72" s="192"/>
      <c r="E72" s="127" t="s">
        <v>32</v>
      </c>
      <c r="F72" s="127">
        <v>150</v>
      </c>
      <c r="G72" s="127" t="s">
        <v>1091</v>
      </c>
      <c r="H72" s="127">
        <v>7.5</v>
      </c>
      <c r="I72" s="127" t="s">
        <v>2138</v>
      </c>
      <c r="J72" s="127" t="s">
        <v>40</v>
      </c>
      <c r="K72" s="127"/>
    </row>
    <row r="73" spans="1:11" ht="32.6">
      <c r="A73" s="195" t="s">
        <v>101</v>
      </c>
      <c r="B73" s="117" t="s">
        <v>102</v>
      </c>
      <c r="C73" s="191">
        <v>22</v>
      </c>
      <c r="D73" s="191" t="s">
        <v>2202</v>
      </c>
      <c r="E73" s="117" t="s">
        <v>10</v>
      </c>
      <c r="F73" s="118">
        <v>0.9</v>
      </c>
      <c r="G73" s="117" t="s">
        <v>1096</v>
      </c>
      <c r="H73" s="118">
        <v>1</v>
      </c>
      <c r="I73" s="118" t="s">
        <v>2092</v>
      </c>
      <c r="J73" s="117" t="s">
        <v>2138</v>
      </c>
      <c r="K73" s="117" t="s">
        <v>103</v>
      </c>
    </row>
    <row r="74" spans="1:11">
      <c r="A74" s="195"/>
      <c r="B74" s="117" t="s">
        <v>66</v>
      </c>
      <c r="C74" s="191"/>
      <c r="D74" s="191"/>
      <c r="E74" s="117" t="s">
        <v>10</v>
      </c>
      <c r="F74" s="118">
        <v>2</v>
      </c>
      <c r="G74" s="117" t="s">
        <v>1096</v>
      </c>
      <c r="H74" s="118">
        <v>4</v>
      </c>
      <c r="I74" s="118" t="s">
        <v>2095</v>
      </c>
      <c r="J74" s="117" t="s">
        <v>2138</v>
      </c>
      <c r="K74" s="117" t="s">
        <v>2213</v>
      </c>
    </row>
    <row r="75" spans="1:11">
      <c r="A75" s="194" t="s">
        <v>104</v>
      </c>
      <c r="B75" s="127" t="s">
        <v>42</v>
      </c>
      <c r="C75" s="127">
        <v>9</v>
      </c>
      <c r="D75" s="127" t="s">
        <v>2146</v>
      </c>
      <c r="E75" s="127" t="s">
        <v>10</v>
      </c>
      <c r="F75" s="127" t="s">
        <v>105</v>
      </c>
      <c r="G75" s="127" t="s">
        <v>1096</v>
      </c>
      <c r="H75" s="127" t="s">
        <v>2104</v>
      </c>
      <c r="I75" s="127" t="s">
        <v>2066</v>
      </c>
      <c r="J75" s="127" t="s">
        <v>2138</v>
      </c>
      <c r="K75" s="127"/>
    </row>
    <row r="76" spans="1:11">
      <c r="A76" s="194"/>
      <c r="B76" s="127" t="s">
        <v>44</v>
      </c>
      <c r="C76" s="127">
        <v>11</v>
      </c>
      <c r="D76" s="127" t="s">
        <v>2146</v>
      </c>
      <c r="E76" s="127" t="s">
        <v>10</v>
      </c>
      <c r="F76" s="128" t="s">
        <v>106</v>
      </c>
      <c r="G76" s="127" t="s">
        <v>1096</v>
      </c>
      <c r="H76" s="127" t="s">
        <v>2105</v>
      </c>
      <c r="I76" s="127" t="s">
        <v>2066</v>
      </c>
      <c r="J76" s="127" t="s">
        <v>2138</v>
      </c>
      <c r="K76" s="127"/>
    </row>
    <row r="77" spans="1:11">
      <c r="A77" s="194"/>
      <c r="B77" s="127" t="s">
        <v>76</v>
      </c>
      <c r="C77" s="127">
        <v>11</v>
      </c>
      <c r="D77" s="127" t="s">
        <v>2146</v>
      </c>
      <c r="E77" s="127" t="s">
        <v>10</v>
      </c>
      <c r="F77" s="127" t="s">
        <v>107</v>
      </c>
      <c r="G77" s="127" t="s">
        <v>1096</v>
      </c>
      <c r="H77" s="127" t="s">
        <v>2105</v>
      </c>
      <c r="I77" s="127" t="s">
        <v>2066</v>
      </c>
      <c r="J77" s="127" t="s">
        <v>2138</v>
      </c>
      <c r="K77" s="127" t="s">
        <v>1105</v>
      </c>
    </row>
    <row r="78" spans="1:11" ht="32.6">
      <c r="A78" s="126" t="s">
        <v>108</v>
      </c>
      <c r="B78" s="117"/>
      <c r="C78" s="117">
        <v>6</v>
      </c>
      <c r="D78" s="117" t="s">
        <v>2145</v>
      </c>
      <c r="E78" s="117" t="s">
        <v>32</v>
      </c>
      <c r="F78" s="117">
        <v>50</v>
      </c>
      <c r="G78" s="117" t="s">
        <v>1104</v>
      </c>
      <c r="H78" s="117">
        <v>10</v>
      </c>
      <c r="I78" s="117" t="s">
        <v>2138</v>
      </c>
      <c r="J78" s="117" t="s">
        <v>40</v>
      </c>
      <c r="K78" s="117"/>
    </row>
    <row r="79" spans="1:11">
      <c r="A79" s="194" t="s">
        <v>109</v>
      </c>
      <c r="B79" s="127" t="s">
        <v>1108</v>
      </c>
      <c r="C79" s="192">
        <v>14</v>
      </c>
      <c r="D79" s="192" t="s">
        <v>2137</v>
      </c>
      <c r="E79" s="127" t="s">
        <v>1148</v>
      </c>
      <c r="F79" s="128">
        <v>0.75</v>
      </c>
      <c r="G79" s="127"/>
      <c r="H79" s="128">
        <v>1.5</v>
      </c>
      <c r="I79" s="128" t="s">
        <v>2066</v>
      </c>
      <c r="J79" s="127" t="s">
        <v>2138</v>
      </c>
      <c r="K79" s="127"/>
    </row>
    <row r="80" spans="1:11">
      <c r="A80" s="194"/>
      <c r="B80" s="127" t="s">
        <v>1107</v>
      </c>
      <c r="C80" s="192"/>
      <c r="D80" s="192"/>
      <c r="E80" s="127" t="s">
        <v>32</v>
      </c>
      <c r="F80" s="127">
        <v>200</v>
      </c>
      <c r="G80" s="127"/>
      <c r="H80" s="127">
        <v>20</v>
      </c>
      <c r="I80" s="127" t="s">
        <v>2138</v>
      </c>
      <c r="J80" s="127" t="s">
        <v>40</v>
      </c>
      <c r="K80" s="127"/>
    </row>
    <row r="81" spans="1:11">
      <c r="A81" s="195" t="s">
        <v>110</v>
      </c>
      <c r="B81" s="117" t="s">
        <v>111</v>
      </c>
      <c r="C81" s="191">
        <v>8</v>
      </c>
      <c r="D81" s="191" t="s">
        <v>2203</v>
      </c>
      <c r="E81" s="117" t="s">
        <v>32</v>
      </c>
      <c r="F81" s="117">
        <v>176</v>
      </c>
      <c r="G81" s="117"/>
      <c r="H81" s="117">
        <v>8</v>
      </c>
      <c r="I81" s="117" t="s">
        <v>2138</v>
      </c>
      <c r="J81" s="117" t="s">
        <v>40</v>
      </c>
      <c r="K81" s="122"/>
    </row>
    <row r="82" spans="1:11">
      <c r="A82" s="195"/>
      <c r="B82" s="117" t="s">
        <v>112</v>
      </c>
      <c r="C82" s="191"/>
      <c r="D82" s="191"/>
      <c r="E82" s="117" t="s">
        <v>10</v>
      </c>
      <c r="F82" s="118">
        <v>1.32</v>
      </c>
      <c r="G82" s="117"/>
      <c r="H82" s="118">
        <v>1.5</v>
      </c>
      <c r="I82" s="118" t="s">
        <v>2066</v>
      </c>
      <c r="J82" s="117" t="s">
        <v>2138</v>
      </c>
      <c r="K82" s="117"/>
    </row>
    <row r="83" spans="1:11">
      <c r="A83" s="195"/>
      <c r="B83" s="117" t="s">
        <v>113</v>
      </c>
      <c r="C83" s="191">
        <v>8</v>
      </c>
      <c r="D83" s="191" t="s">
        <v>2203</v>
      </c>
      <c r="E83" s="117" t="s">
        <v>32</v>
      </c>
      <c r="F83" s="117">
        <v>181</v>
      </c>
      <c r="G83" s="117"/>
      <c r="H83" s="117">
        <v>8</v>
      </c>
      <c r="I83" s="117" t="s">
        <v>2138</v>
      </c>
      <c r="J83" s="117" t="s">
        <v>40</v>
      </c>
      <c r="K83" s="117"/>
    </row>
    <row r="84" spans="1:11">
      <c r="A84" s="195"/>
      <c r="B84" s="117" t="s">
        <v>114</v>
      </c>
      <c r="C84" s="191"/>
      <c r="D84" s="191"/>
      <c r="E84" s="117" t="s">
        <v>10</v>
      </c>
      <c r="F84" s="118">
        <v>1.37</v>
      </c>
      <c r="G84" s="117"/>
      <c r="H84" s="118">
        <v>1.55</v>
      </c>
      <c r="I84" s="118" t="s">
        <v>2066</v>
      </c>
      <c r="J84" s="117" t="s">
        <v>2138</v>
      </c>
      <c r="K84" s="117"/>
    </row>
    <row r="85" spans="1:11" ht="32.6">
      <c r="A85" s="137" t="s">
        <v>115</v>
      </c>
      <c r="B85" s="127"/>
      <c r="C85" s="127">
        <v>10</v>
      </c>
      <c r="D85" s="127" t="s">
        <v>2137</v>
      </c>
      <c r="E85" s="127" t="s">
        <v>52</v>
      </c>
      <c r="F85" s="128" t="s">
        <v>116</v>
      </c>
      <c r="G85" s="127"/>
      <c r="H85" s="127" t="s">
        <v>56</v>
      </c>
      <c r="I85" s="127" t="s">
        <v>2138</v>
      </c>
      <c r="J85" s="127" t="s">
        <v>2138</v>
      </c>
      <c r="K85" s="139" t="s">
        <v>2239</v>
      </c>
    </row>
    <row r="86" spans="1:11" ht="32.6">
      <c r="A86" s="126" t="s">
        <v>117</v>
      </c>
      <c r="B86" s="117"/>
      <c r="C86" s="117">
        <v>15</v>
      </c>
      <c r="D86" s="117" t="s">
        <v>2137</v>
      </c>
      <c r="E86" s="117" t="s">
        <v>52</v>
      </c>
      <c r="F86" s="118" t="s">
        <v>118</v>
      </c>
      <c r="G86" s="117"/>
      <c r="H86" s="117" t="s">
        <v>56</v>
      </c>
      <c r="I86" s="117" t="s">
        <v>2138</v>
      </c>
      <c r="J86" s="117" t="s">
        <v>2138</v>
      </c>
      <c r="K86" s="138" t="s">
        <v>2217</v>
      </c>
    </row>
    <row r="87" spans="1:11" ht="32.6">
      <c r="A87" s="113" t="s">
        <v>1112</v>
      </c>
      <c r="B87" s="114" t="s">
        <v>1</v>
      </c>
      <c r="C87" s="114" t="s">
        <v>2</v>
      </c>
      <c r="D87" s="114" t="s">
        <v>2134</v>
      </c>
      <c r="E87" s="114" t="s">
        <v>3</v>
      </c>
      <c r="F87" s="114" t="s">
        <v>4</v>
      </c>
      <c r="G87" s="114" t="s">
        <v>1098</v>
      </c>
      <c r="H87" s="114" t="s">
        <v>6</v>
      </c>
      <c r="I87" s="114" t="s">
        <v>2067</v>
      </c>
      <c r="J87" s="114" t="s">
        <v>5</v>
      </c>
      <c r="K87" s="114" t="s">
        <v>7</v>
      </c>
    </row>
    <row r="88" spans="1:11">
      <c r="A88" s="194" t="s">
        <v>119</v>
      </c>
      <c r="B88" s="127" t="s">
        <v>120</v>
      </c>
      <c r="C88" s="127">
        <v>8</v>
      </c>
      <c r="D88" s="127" t="s">
        <v>2137</v>
      </c>
      <c r="E88" s="127" t="s">
        <v>32</v>
      </c>
      <c r="F88" s="127">
        <v>137</v>
      </c>
      <c r="G88" s="127"/>
      <c r="H88" s="127">
        <v>3</v>
      </c>
      <c r="I88" s="127" t="s">
        <v>2138</v>
      </c>
      <c r="J88" s="127" t="s">
        <v>121</v>
      </c>
      <c r="K88" s="127"/>
    </row>
    <row r="89" spans="1:11">
      <c r="A89" s="194"/>
      <c r="B89" s="127" t="s">
        <v>9</v>
      </c>
      <c r="C89" s="127">
        <v>4</v>
      </c>
      <c r="D89" s="127" t="s">
        <v>2137</v>
      </c>
      <c r="E89" s="127" t="s">
        <v>2574</v>
      </c>
      <c r="F89" s="128" t="s">
        <v>122</v>
      </c>
      <c r="G89" s="127"/>
      <c r="H89" s="128">
        <v>4</v>
      </c>
      <c r="I89" s="128" t="s">
        <v>2095</v>
      </c>
      <c r="J89" s="127" t="s">
        <v>121</v>
      </c>
      <c r="K89" s="127"/>
    </row>
    <row r="90" spans="1:11">
      <c r="A90" s="195" t="s">
        <v>123</v>
      </c>
      <c r="B90" s="117" t="s">
        <v>2106</v>
      </c>
      <c r="C90" s="117">
        <v>10</v>
      </c>
      <c r="D90" s="117" t="s">
        <v>2137</v>
      </c>
      <c r="E90" s="117" t="s">
        <v>32</v>
      </c>
      <c r="F90" s="117" t="s">
        <v>1124</v>
      </c>
      <c r="G90" s="117"/>
      <c r="H90" s="117" t="s">
        <v>1123</v>
      </c>
      <c r="I90" s="117" t="s">
        <v>2138</v>
      </c>
      <c r="J90" s="117" t="s">
        <v>121</v>
      </c>
      <c r="K90" s="117"/>
    </row>
    <row r="91" spans="1:11">
      <c r="A91" s="195"/>
      <c r="B91" s="117" t="s">
        <v>9</v>
      </c>
      <c r="C91" s="117">
        <v>4</v>
      </c>
      <c r="D91" s="117" t="s">
        <v>2137</v>
      </c>
      <c r="E91" s="117" t="s">
        <v>10</v>
      </c>
      <c r="F91" s="118">
        <v>1.6</v>
      </c>
      <c r="G91" s="117"/>
      <c r="H91" s="118">
        <v>4</v>
      </c>
      <c r="I91" s="118" t="s">
        <v>2095</v>
      </c>
      <c r="J91" s="117" t="s">
        <v>2138</v>
      </c>
      <c r="K91" s="117"/>
    </row>
    <row r="92" spans="1:11">
      <c r="A92" s="194" t="s">
        <v>124</v>
      </c>
      <c r="B92" s="127" t="s">
        <v>125</v>
      </c>
      <c r="C92" s="192">
        <v>16</v>
      </c>
      <c r="D92" s="127" t="s">
        <v>2202</v>
      </c>
      <c r="E92" s="127" t="s">
        <v>32</v>
      </c>
      <c r="F92" s="127">
        <v>220</v>
      </c>
      <c r="G92" s="127"/>
      <c r="H92" s="127">
        <v>20</v>
      </c>
      <c r="I92" s="127" t="s">
        <v>2138</v>
      </c>
      <c r="J92" s="127" t="s">
        <v>121</v>
      </c>
      <c r="K92" s="127" t="s">
        <v>1102</v>
      </c>
    </row>
    <row r="93" spans="1:11">
      <c r="A93" s="194"/>
      <c r="B93" s="127" t="s">
        <v>89</v>
      </c>
      <c r="C93" s="192"/>
      <c r="D93" s="127" t="s">
        <v>2202</v>
      </c>
      <c r="E93" s="127" t="s">
        <v>32</v>
      </c>
      <c r="F93" s="127">
        <v>340</v>
      </c>
      <c r="G93" s="127"/>
      <c r="H93" s="127">
        <v>35</v>
      </c>
      <c r="I93" s="127" t="s">
        <v>2138</v>
      </c>
      <c r="J93" s="127" t="s">
        <v>121</v>
      </c>
      <c r="K93" s="127" t="s">
        <v>1102</v>
      </c>
    </row>
    <row r="94" spans="1:11">
      <c r="A94" s="195" t="s">
        <v>126</v>
      </c>
      <c r="B94" s="117" t="s">
        <v>125</v>
      </c>
      <c r="C94" s="191">
        <v>26</v>
      </c>
      <c r="D94" s="117" t="s">
        <v>2202</v>
      </c>
      <c r="E94" s="117" t="s">
        <v>32</v>
      </c>
      <c r="F94" s="117">
        <v>220</v>
      </c>
      <c r="G94" s="117"/>
      <c r="H94" s="117">
        <v>20</v>
      </c>
      <c r="I94" s="117" t="s">
        <v>2138</v>
      </c>
      <c r="J94" s="117" t="s">
        <v>121</v>
      </c>
      <c r="K94" s="117" t="s">
        <v>1102</v>
      </c>
    </row>
    <row r="95" spans="1:11" ht="32.6">
      <c r="A95" s="195"/>
      <c r="B95" s="117" t="s">
        <v>2221</v>
      </c>
      <c r="C95" s="191"/>
      <c r="D95" s="117" t="s">
        <v>2202</v>
      </c>
      <c r="E95" s="117" t="s">
        <v>32</v>
      </c>
      <c r="F95" s="117">
        <v>315</v>
      </c>
      <c r="G95" s="117"/>
      <c r="H95" s="117">
        <v>30</v>
      </c>
      <c r="I95" s="117" t="s">
        <v>2138</v>
      </c>
      <c r="J95" s="117" t="s">
        <v>121</v>
      </c>
      <c r="K95" s="117" t="s">
        <v>1125</v>
      </c>
    </row>
    <row r="96" spans="1:11">
      <c r="A96" s="195"/>
      <c r="B96" s="117" t="s">
        <v>127</v>
      </c>
      <c r="C96" s="191"/>
      <c r="D96" s="117" t="s">
        <v>2202</v>
      </c>
      <c r="E96" s="117" t="s">
        <v>32</v>
      </c>
      <c r="F96" s="117">
        <v>400</v>
      </c>
      <c r="G96" s="117"/>
      <c r="H96" s="117">
        <v>45</v>
      </c>
      <c r="I96" s="117" t="s">
        <v>2138</v>
      </c>
      <c r="J96" s="117" t="s">
        <v>121</v>
      </c>
      <c r="K96" s="117" t="s">
        <v>1122</v>
      </c>
    </row>
    <row r="97" spans="1:11">
      <c r="A97" s="194" t="s">
        <v>2317</v>
      </c>
      <c r="B97" s="127" t="s">
        <v>125</v>
      </c>
      <c r="C97" s="192">
        <v>30</v>
      </c>
      <c r="D97" s="127" t="s">
        <v>2202</v>
      </c>
      <c r="E97" s="127" t="s">
        <v>32</v>
      </c>
      <c r="F97" s="127">
        <v>315</v>
      </c>
      <c r="G97" s="127"/>
      <c r="H97" s="127">
        <v>30</v>
      </c>
      <c r="I97" s="127" t="s">
        <v>2138</v>
      </c>
      <c r="J97" s="127" t="s">
        <v>121</v>
      </c>
      <c r="K97" s="127"/>
    </row>
    <row r="98" spans="1:11">
      <c r="A98" s="194"/>
      <c r="B98" s="127" t="s">
        <v>89</v>
      </c>
      <c r="C98" s="192"/>
      <c r="D98" s="127" t="s">
        <v>2202</v>
      </c>
      <c r="E98" s="127" t="s">
        <v>32</v>
      </c>
      <c r="F98" s="127" t="s">
        <v>1174</v>
      </c>
      <c r="G98" s="127"/>
      <c r="H98" s="127" t="s">
        <v>1176</v>
      </c>
      <c r="I98" s="127" t="s">
        <v>2138</v>
      </c>
      <c r="J98" s="127" t="s">
        <v>121</v>
      </c>
      <c r="K98" s="127" t="s">
        <v>1102</v>
      </c>
    </row>
    <row r="99" spans="1:11">
      <c r="A99" s="194"/>
      <c r="B99" s="127" t="s">
        <v>1171</v>
      </c>
      <c r="C99" s="192">
        <v>12</v>
      </c>
      <c r="D99" s="127" t="s">
        <v>2202</v>
      </c>
      <c r="E99" s="127" t="s">
        <v>1173</v>
      </c>
      <c r="F99" s="127">
        <v>315</v>
      </c>
      <c r="G99" s="127"/>
      <c r="H99" s="127">
        <v>30</v>
      </c>
      <c r="I99" s="127" t="s">
        <v>2138</v>
      </c>
      <c r="J99" s="127" t="s">
        <v>121</v>
      </c>
      <c r="K99" s="127" t="s">
        <v>1102</v>
      </c>
    </row>
    <row r="100" spans="1:11" ht="32.6">
      <c r="A100" s="194"/>
      <c r="B100" s="127" t="s">
        <v>1172</v>
      </c>
      <c r="C100" s="192"/>
      <c r="D100" s="127" t="s">
        <v>2202</v>
      </c>
      <c r="E100" s="127" t="s">
        <v>1173</v>
      </c>
      <c r="F100" s="127">
        <v>400</v>
      </c>
      <c r="G100" s="127"/>
      <c r="H100" s="127">
        <v>45</v>
      </c>
      <c r="I100" s="127" t="s">
        <v>2138</v>
      </c>
      <c r="J100" s="127" t="s">
        <v>121</v>
      </c>
      <c r="K100" s="127" t="s">
        <v>2222</v>
      </c>
    </row>
    <row r="101" spans="1:11">
      <c r="A101" s="126" t="s">
        <v>128</v>
      </c>
      <c r="B101" s="117" t="s">
        <v>2238</v>
      </c>
      <c r="C101" s="117">
        <v>12</v>
      </c>
      <c r="D101" s="117" t="s">
        <v>2137</v>
      </c>
      <c r="E101" s="117" t="s">
        <v>10</v>
      </c>
      <c r="F101" s="117" t="s">
        <v>129</v>
      </c>
      <c r="G101" s="117"/>
      <c r="H101" s="117" t="s">
        <v>130</v>
      </c>
      <c r="I101" s="117" t="s">
        <v>2066</v>
      </c>
      <c r="J101" s="117" t="s">
        <v>2138</v>
      </c>
      <c r="K101" s="117" t="s">
        <v>131</v>
      </c>
    </row>
    <row r="102" spans="1:11" ht="32.6">
      <c r="A102" s="137" t="s">
        <v>132</v>
      </c>
      <c r="B102" s="127" t="s">
        <v>133</v>
      </c>
      <c r="C102" s="127">
        <v>14</v>
      </c>
      <c r="D102" s="127" t="s">
        <v>2202</v>
      </c>
      <c r="E102" s="127" t="s">
        <v>2574</v>
      </c>
      <c r="F102" s="127" t="s">
        <v>134</v>
      </c>
      <c r="G102" s="127"/>
      <c r="H102" s="127" t="s">
        <v>135</v>
      </c>
      <c r="I102" s="127" t="s">
        <v>2066</v>
      </c>
      <c r="J102" s="127" t="s">
        <v>121</v>
      </c>
      <c r="K102" s="127" t="s">
        <v>2208</v>
      </c>
    </row>
    <row r="103" spans="1:11">
      <c r="A103" s="195" t="s">
        <v>136</v>
      </c>
      <c r="B103" s="117" t="s">
        <v>37</v>
      </c>
      <c r="C103" s="191">
        <v>13</v>
      </c>
      <c r="D103" s="191" t="s">
        <v>2135</v>
      </c>
      <c r="E103" s="117" t="s">
        <v>10</v>
      </c>
      <c r="F103" s="118">
        <v>1</v>
      </c>
      <c r="G103" s="117"/>
      <c r="H103" s="117">
        <v>0</v>
      </c>
      <c r="I103" s="117" t="s">
        <v>2092</v>
      </c>
      <c r="J103" s="117" t="s">
        <v>2138</v>
      </c>
      <c r="K103" s="117"/>
    </row>
    <row r="104" spans="1:11">
      <c r="A104" s="195"/>
      <c r="B104" s="117" t="s">
        <v>137</v>
      </c>
      <c r="C104" s="191"/>
      <c r="D104" s="191"/>
      <c r="E104" s="117" t="s">
        <v>32</v>
      </c>
      <c r="F104" s="117" t="s">
        <v>138</v>
      </c>
      <c r="G104" s="117"/>
      <c r="H104" s="117">
        <v>0</v>
      </c>
      <c r="I104" s="117" t="s">
        <v>2138</v>
      </c>
      <c r="J104" s="117" t="s">
        <v>121</v>
      </c>
      <c r="K104" s="117" t="s">
        <v>139</v>
      </c>
    </row>
    <row r="105" spans="1:11">
      <c r="A105" s="194" t="s">
        <v>140</v>
      </c>
      <c r="B105" s="127" t="s">
        <v>37</v>
      </c>
      <c r="C105" s="192">
        <v>16</v>
      </c>
      <c r="D105" s="192" t="s">
        <v>2139</v>
      </c>
      <c r="E105" s="127" t="s">
        <v>2574</v>
      </c>
      <c r="F105" s="127" t="s">
        <v>141</v>
      </c>
      <c r="G105" s="127"/>
      <c r="H105" s="128">
        <v>1</v>
      </c>
      <c r="I105" s="128" t="s">
        <v>2095</v>
      </c>
      <c r="J105" s="127" t="s">
        <v>121</v>
      </c>
      <c r="K105" s="133"/>
    </row>
    <row r="106" spans="1:11">
      <c r="A106" s="194"/>
      <c r="B106" s="127" t="s">
        <v>38</v>
      </c>
      <c r="C106" s="192"/>
      <c r="D106" s="192"/>
      <c r="E106" s="127" t="s">
        <v>10</v>
      </c>
      <c r="F106" s="128">
        <v>0.6</v>
      </c>
      <c r="G106" s="127"/>
      <c r="H106" s="128">
        <v>0.6</v>
      </c>
      <c r="I106" s="128" t="s">
        <v>2066</v>
      </c>
      <c r="J106" s="127" t="s">
        <v>2138</v>
      </c>
      <c r="K106" s="127"/>
    </row>
    <row r="107" spans="1:11">
      <c r="A107" s="194"/>
      <c r="B107" s="127" t="s">
        <v>39</v>
      </c>
      <c r="C107" s="192"/>
      <c r="D107" s="192"/>
      <c r="E107" s="127" t="s">
        <v>32</v>
      </c>
      <c r="F107" s="127" t="s">
        <v>142</v>
      </c>
      <c r="G107" s="127"/>
      <c r="H107" s="127" t="s">
        <v>143</v>
      </c>
      <c r="I107" s="127" t="s">
        <v>2138</v>
      </c>
      <c r="J107" s="127" t="s">
        <v>121</v>
      </c>
      <c r="K107" s="139" t="s">
        <v>144</v>
      </c>
    </row>
    <row r="108" spans="1:11">
      <c r="A108" s="194"/>
      <c r="B108" s="127" t="s">
        <v>9</v>
      </c>
      <c r="C108" s="127">
        <v>5</v>
      </c>
      <c r="D108" s="127" t="s">
        <v>2139</v>
      </c>
      <c r="E108" s="127" t="s">
        <v>10</v>
      </c>
      <c r="F108" s="128">
        <v>1.4</v>
      </c>
      <c r="G108" s="127"/>
      <c r="H108" s="128">
        <v>1</v>
      </c>
      <c r="I108" s="128" t="s">
        <v>2066</v>
      </c>
      <c r="J108" s="127" t="s">
        <v>2138</v>
      </c>
      <c r="K108" s="133"/>
    </row>
    <row r="109" spans="1:11" ht="48.9">
      <c r="A109" s="126" t="s">
        <v>145</v>
      </c>
      <c r="B109" s="117"/>
      <c r="C109" s="117" t="s">
        <v>2449</v>
      </c>
      <c r="D109" s="117" t="s">
        <v>2138</v>
      </c>
      <c r="E109" s="117" t="s">
        <v>1203</v>
      </c>
      <c r="F109" s="117" t="s">
        <v>2448</v>
      </c>
      <c r="G109" s="117"/>
      <c r="H109" s="117">
        <v>0</v>
      </c>
      <c r="I109" s="117" t="s">
        <v>2138</v>
      </c>
      <c r="J109" s="117" t="s">
        <v>121</v>
      </c>
      <c r="K109" s="124" t="s">
        <v>2232</v>
      </c>
    </row>
    <row r="110" spans="1:11">
      <c r="A110" s="137" t="s">
        <v>2107</v>
      </c>
      <c r="B110" s="127"/>
      <c r="C110" s="127">
        <v>0</v>
      </c>
      <c r="D110" s="127" t="s">
        <v>2138</v>
      </c>
      <c r="E110" s="127" t="s">
        <v>1203</v>
      </c>
      <c r="F110" s="127" t="s">
        <v>2231</v>
      </c>
      <c r="G110" s="127"/>
      <c r="H110" s="127" t="s">
        <v>56</v>
      </c>
      <c r="I110" s="127" t="s">
        <v>2138</v>
      </c>
      <c r="J110" s="127" t="s">
        <v>2138</v>
      </c>
      <c r="K110" s="133"/>
    </row>
    <row r="111" spans="1:11" ht="32.6">
      <c r="A111" s="113" t="s">
        <v>1177</v>
      </c>
      <c r="B111" s="114" t="s">
        <v>1</v>
      </c>
      <c r="C111" s="114" t="s">
        <v>2</v>
      </c>
      <c r="D111" s="114" t="s">
        <v>2134</v>
      </c>
      <c r="E111" s="114" t="s">
        <v>3</v>
      </c>
      <c r="F111" s="114" t="s">
        <v>4</v>
      </c>
      <c r="G111" s="114" t="s">
        <v>1098</v>
      </c>
      <c r="H111" s="114" t="s">
        <v>6</v>
      </c>
      <c r="I111" s="114" t="s">
        <v>2067</v>
      </c>
      <c r="J111" s="114" t="s">
        <v>5</v>
      </c>
      <c r="K111" s="114" t="s">
        <v>7</v>
      </c>
    </row>
    <row r="112" spans="1:11">
      <c r="A112" s="195" t="s">
        <v>146</v>
      </c>
      <c r="B112" s="117" t="s">
        <v>147</v>
      </c>
      <c r="C112" s="117">
        <v>4</v>
      </c>
      <c r="D112" s="117" t="s">
        <v>2137</v>
      </c>
      <c r="E112" s="117" t="s">
        <v>32</v>
      </c>
      <c r="F112" s="117">
        <v>138</v>
      </c>
      <c r="G112" s="117"/>
      <c r="H112" s="117">
        <v>10</v>
      </c>
      <c r="I112" s="117" t="s">
        <v>2138</v>
      </c>
      <c r="J112" s="117" t="s">
        <v>148</v>
      </c>
      <c r="K112" s="117"/>
    </row>
    <row r="113" spans="1:11">
      <c r="A113" s="195"/>
      <c r="B113" s="117" t="s">
        <v>9</v>
      </c>
      <c r="C113" s="117">
        <v>10</v>
      </c>
      <c r="D113" s="117" t="s">
        <v>2137</v>
      </c>
      <c r="E113" s="117" t="s">
        <v>10</v>
      </c>
      <c r="F113" s="118">
        <v>1.78</v>
      </c>
      <c r="G113" s="117"/>
      <c r="H113" s="118">
        <v>3</v>
      </c>
      <c r="I113" s="118" t="s">
        <v>2066</v>
      </c>
      <c r="J113" s="117" t="s">
        <v>2138</v>
      </c>
      <c r="K113" s="117" t="s">
        <v>149</v>
      </c>
    </row>
    <row r="114" spans="1:11">
      <c r="A114" s="137" t="s">
        <v>150</v>
      </c>
      <c r="B114" s="127"/>
      <c r="C114" s="127">
        <v>14</v>
      </c>
      <c r="D114" s="127" t="s">
        <v>2137</v>
      </c>
      <c r="E114" s="127" t="s">
        <v>32</v>
      </c>
      <c r="F114" s="127">
        <v>180</v>
      </c>
      <c r="G114" s="127" t="s">
        <v>1103</v>
      </c>
      <c r="H114" s="127">
        <v>10</v>
      </c>
      <c r="I114" s="127" t="s">
        <v>2138</v>
      </c>
      <c r="J114" s="127" t="s">
        <v>148</v>
      </c>
      <c r="K114" s="127"/>
    </row>
    <row r="115" spans="1:11">
      <c r="A115" s="195" t="s">
        <v>151</v>
      </c>
      <c r="B115" s="117" t="s">
        <v>2108</v>
      </c>
      <c r="C115" s="191">
        <v>14</v>
      </c>
      <c r="D115" s="191" t="s">
        <v>2139</v>
      </c>
      <c r="E115" s="117" t="s">
        <v>2574</v>
      </c>
      <c r="F115" s="117" t="s">
        <v>1109</v>
      </c>
      <c r="G115" s="117" t="s">
        <v>1100</v>
      </c>
      <c r="H115" s="118" t="s">
        <v>1110</v>
      </c>
      <c r="I115" s="118" t="s">
        <v>2066</v>
      </c>
      <c r="J115" s="117" t="s">
        <v>1179</v>
      </c>
      <c r="K115" s="117"/>
    </row>
    <row r="116" spans="1:11">
      <c r="A116" s="195"/>
      <c r="B116" s="117" t="s">
        <v>154</v>
      </c>
      <c r="C116" s="191"/>
      <c r="D116" s="191"/>
      <c r="E116" s="117" t="s">
        <v>32</v>
      </c>
      <c r="F116" s="117" t="s">
        <v>155</v>
      </c>
      <c r="G116" s="117" t="s">
        <v>1100</v>
      </c>
      <c r="H116" s="117">
        <v>0</v>
      </c>
      <c r="I116" s="117" t="s">
        <v>2138</v>
      </c>
      <c r="J116" s="117" t="s">
        <v>148</v>
      </c>
      <c r="K116" s="117"/>
    </row>
    <row r="117" spans="1:11" ht="32.6">
      <c r="A117" s="113" t="s">
        <v>1178</v>
      </c>
      <c r="B117" s="114" t="s">
        <v>1</v>
      </c>
      <c r="C117" s="114" t="s">
        <v>2</v>
      </c>
      <c r="D117" s="114" t="s">
        <v>2134</v>
      </c>
      <c r="E117" s="114" t="s">
        <v>3</v>
      </c>
      <c r="F117" s="114" t="s">
        <v>4</v>
      </c>
      <c r="G117" s="114"/>
      <c r="H117" s="114" t="s">
        <v>6</v>
      </c>
      <c r="I117" s="114" t="s">
        <v>2067</v>
      </c>
      <c r="J117" s="114" t="s">
        <v>5</v>
      </c>
      <c r="K117" s="114" t="s">
        <v>7</v>
      </c>
    </row>
    <row r="118" spans="1:11">
      <c r="A118" s="194" t="s">
        <v>156</v>
      </c>
      <c r="B118" s="127" t="s">
        <v>157</v>
      </c>
      <c r="C118" s="192">
        <v>30</v>
      </c>
      <c r="D118" s="127" t="s">
        <v>2202</v>
      </c>
      <c r="E118" s="127" t="s">
        <v>10</v>
      </c>
      <c r="F118" s="128">
        <v>0.5</v>
      </c>
      <c r="G118" s="127"/>
      <c r="H118" s="128">
        <v>0.5</v>
      </c>
      <c r="I118" s="128" t="s">
        <v>2066</v>
      </c>
      <c r="J118" s="127" t="s">
        <v>2138</v>
      </c>
      <c r="K118" s="127" t="s">
        <v>158</v>
      </c>
    </row>
    <row r="119" spans="1:11" ht="32.6">
      <c r="A119" s="194"/>
      <c r="B119" s="127" t="s">
        <v>159</v>
      </c>
      <c r="C119" s="192"/>
      <c r="D119" s="127" t="s">
        <v>2202</v>
      </c>
      <c r="E119" s="127" t="s">
        <v>32</v>
      </c>
      <c r="F119" s="127" t="s">
        <v>160</v>
      </c>
      <c r="G119" s="127"/>
      <c r="H119" s="127" t="s">
        <v>161</v>
      </c>
      <c r="I119" s="127" t="s">
        <v>2138</v>
      </c>
      <c r="J119" s="127" t="s">
        <v>148</v>
      </c>
      <c r="K119" s="127" t="s">
        <v>2348</v>
      </c>
    </row>
    <row r="120" spans="1:11">
      <c r="A120" s="195" t="s">
        <v>2318</v>
      </c>
      <c r="B120" s="117"/>
      <c r="C120" s="117">
        <v>18</v>
      </c>
      <c r="D120" s="117" t="s">
        <v>2202</v>
      </c>
      <c r="E120" s="117" t="s">
        <v>1148</v>
      </c>
      <c r="F120" s="118">
        <v>1.38</v>
      </c>
      <c r="G120" s="117" t="s">
        <v>1181</v>
      </c>
      <c r="H120" s="118">
        <v>4</v>
      </c>
      <c r="I120" s="118" t="s">
        <v>2094</v>
      </c>
      <c r="J120" s="117" t="s">
        <v>2138</v>
      </c>
      <c r="K120" s="117" t="s">
        <v>1185</v>
      </c>
    </row>
    <row r="121" spans="1:11">
      <c r="A121" s="195"/>
      <c r="B121" s="117" t="s">
        <v>1161</v>
      </c>
      <c r="C121" s="117">
        <v>8</v>
      </c>
      <c r="D121" s="117" t="s">
        <v>2202</v>
      </c>
      <c r="E121" s="117" t="s">
        <v>1173</v>
      </c>
      <c r="F121" s="117">
        <v>128</v>
      </c>
      <c r="G121" s="117" t="s">
        <v>1181</v>
      </c>
      <c r="H121" s="117">
        <v>15</v>
      </c>
      <c r="I121" s="117" t="s">
        <v>2138</v>
      </c>
      <c r="J121" s="117" t="s">
        <v>1179</v>
      </c>
      <c r="K121" s="117"/>
    </row>
    <row r="122" spans="1:11">
      <c r="A122" s="194" t="s">
        <v>2319</v>
      </c>
      <c r="B122" s="127" t="s">
        <v>1182</v>
      </c>
      <c r="C122" s="192">
        <v>19</v>
      </c>
      <c r="D122" s="127" t="s">
        <v>2202</v>
      </c>
      <c r="E122" s="127" t="s">
        <v>1148</v>
      </c>
      <c r="F122" s="128">
        <v>0.8</v>
      </c>
      <c r="G122" s="127" t="s">
        <v>1181</v>
      </c>
      <c r="H122" s="128">
        <v>2.25</v>
      </c>
      <c r="I122" s="128" t="s">
        <v>2095</v>
      </c>
      <c r="J122" s="127" t="s">
        <v>2138</v>
      </c>
      <c r="K122" s="127" t="s">
        <v>1186</v>
      </c>
    </row>
    <row r="123" spans="1:11">
      <c r="A123" s="194"/>
      <c r="B123" s="127" t="s">
        <v>1184</v>
      </c>
      <c r="C123" s="192"/>
      <c r="D123" s="127" t="s">
        <v>2202</v>
      </c>
      <c r="E123" s="127" t="s">
        <v>1173</v>
      </c>
      <c r="F123" s="127">
        <v>106</v>
      </c>
      <c r="G123" s="127" t="s">
        <v>1181</v>
      </c>
      <c r="H123" s="127">
        <v>6</v>
      </c>
      <c r="I123" s="127" t="s">
        <v>2138</v>
      </c>
      <c r="J123" s="127" t="s">
        <v>1179</v>
      </c>
      <c r="K123" s="127"/>
    </row>
    <row r="124" spans="1:11">
      <c r="A124" s="194"/>
      <c r="B124" s="127" t="s">
        <v>1183</v>
      </c>
      <c r="C124" s="192"/>
      <c r="D124" s="127" t="s">
        <v>2202</v>
      </c>
      <c r="E124" s="127" t="s">
        <v>1148</v>
      </c>
      <c r="F124" s="128">
        <v>1.2</v>
      </c>
      <c r="G124" s="127" t="s">
        <v>1181</v>
      </c>
      <c r="H124" s="128">
        <v>5.4</v>
      </c>
      <c r="I124" s="128" t="s">
        <v>2095</v>
      </c>
      <c r="J124" s="127" t="s">
        <v>2138</v>
      </c>
      <c r="K124" s="127"/>
    </row>
    <row r="125" spans="1:11">
      <c r="A125" s="194"/>
      <c r="B125" s="127" t="s">
        <v>1180</v>
      </c>
      <c r="C125" s="192"/>
      <c r="D125" s="127" t="s">
        <v>2202</v>
      </c>
      <c r="E125" s="127" t="s">
        <v>1173</v>
      </c>
      <c r="F125" s="127">
        <v>134</v>
      </c>
      <c r="G125" s="127" t="s">
        <v>1181</v>
      </c>
      <c r="H125" s="127">
        <v>6</v>
      </c>
      <c r="I125" s="127" t="s">
        <v>2138</v>
      </c>
      <c r="J125" s="127" t="s">
        <v>2138</v>
      </c>
      <c r="K125" s="127"/>
    </row>
    <row r="126" spans="1:11">
      <c r="A126" s="195" t="s">
        <v>162</v>
      </c>
      <c r="B126" s="117" t="s">
        <v>152</v>
      </c>
      <c r="C126" s="191">
        <v>7</v>
      </c>
      <c r="D126" s="191" t="s">
        <v>2139</v>
      </c>
      <c r="E126" s="117" t="s">
        <v>2574</v>
      </c>
      <c r="F126" s="117" t="s">
        <v>163</v>
      </c>
      <c r="G126" s="117"/>
      <c r="H126" s="118">
        <v>1</v>
      </c>
      <c r="I126" s="118" t="s">
        <v>2066</v>
      </c>
      <c r="J126" s="117" t="s">
        <v>1179</v>
      </c>
      <c r="K126" s="117"/>
    </row>
    <row r="127" spans="1:11">
      <c r="A127" s="195"/>
      <c r="B127" s="117" t="s">
        <v>164</v>
      </c>
      <c r="C127" s="191"/>
      <c r="D127" s="191"/>
      <c r="E127" s="117" t="s">
        <v>32</v>
      </c>
      <c r="F127" s="117">
        <v>55</v>
      </c>
      <c r="G127" s="117"/>
      <c r="H127" s="117">
        <v>18</v>
      </c>
      <c r="I127" s="117" t="s">
        <v>2138</v>
      </c>
      <c r="J127" s="117" t="s">
        <v>148</v>
      </c>
      <c r="K127" s="117"/>
    </row>
    <row r="128" spans="1:11">
      <c r="A128" s="195"/>
      <c r="B128" s="117" t="s">
        <v>165</v>
      </c>
      <c r="C128" s="191" t="s">
        <v>166</v>
      </c>
      <c r="D128" s="191" t="s">
        <v>2139</v>
      </c>
      <c r="E128" s="117" t="s">
        <v>10</v>
      </c>
      <c r="F128" s="118" t="s">
        <v>167</v>
      </c>
      <c r="G128" s="117"/>
      <c r="H128" s="118">
        <v>0.05</v>
      </c>
      <c r="I128" s="118" t="s">
        <v>2095</v>
      </c>
      <c r="J128" s="117" t="s">
        <v>2138</v>
      </c>
      <c r="K128" s="117"/>
    </row>
    <row r="129" spans="1:11">
      <c r="A129" s="195"/>
      <c r="B129" s="117" t="s">
        <v>168</v>
      </c>
      <c r="C129" s="191"/>
      <c r="D129" s="191"/>
      <c r="E129" s="117" t="s">
        <v>32</v>
      </c>
      <c r="F129" s="117">
        <v>50</v>
      </c>
      <c r="G129" s="117"/>
      <c r="H129" s="117">
        <v>1</v>
      </c>
      <c r="I129" s="117" t="s">
        <v>2138</v>
      </c>
      <c r="J129" s="117" t="s">
        <v>148</v>
      </c>
      <c r="K129" s="117" t="s">
        <v>169</v>
      </c>
    </row>
    <row r="130" spans="1:11">
      <c r="A130" s="195"/>
      <c r="B130" s="117" t="s">
        <v>153</v>
      </c>
      <c r="C130" s="191"/>
      <c r="D130" s="191"/>
      <c r="E130" s="117" t="s">
        <v>2574</v>
      </c>
      <c r="F130" s="117" t="s">
        <v>170</v>
      </c>
      <c r="G130" s="117"/>
      <c r="H130" s="118">
        <v>1</v>
      </c>
      <c r="I130" s="118" t="s">
        <v>2066</v>
      </c>
      <c r="J130" s="117" t="s">
        <v>1179</v>
      </c>
      <c r="K130" s="117" t="s">
        <v>1089</v>
      </c>
    </row>
    <row r="131" spans="1:11" ht="32.6">
      <c r="A131" s="113" t="s">
        <v>1114</v>
      </c>
      <c r="B131" s="114" t="s">
        <v>1</v>
      </c>
      <c r="C131" s="114" t="s">
        <v>2</v>
      </c>
      <c r="D131" s="114" t="s">
        <v>2134</v>
      </c>
      <c r="E131" s="114" t="s">
        <v>3</v>
      </c>
      <c r="F131" s="114" t="s">
        <v>4</v>
      </c>
      <c r="G131" s="114" t="s">
        <v>1098</v>
      </c>
      <c r="H131" s="114" t="s">
        <v>6</v>
      </c>
      <c r="I131" s="114" t="s">
        <v>2067</v>
      </c>
      <c r="J131" s="114" t="s">
        <v>5</v>
      </c>
      <c r="K131" s="114" t="s">
        <v>7</v>
      </c>
    </row>
    <row r="132" spans="1:11">
      <c r="A132" s="137" t="s">
        <v>1113</v>
      </c>
      <c r="B132" s="127"/>
      <c r="C132" s="127">
        <v>10</v>
      </c>
      <c r="D132" s="127" t="s">
        <v>2137</v>
      </c>
      <c r="E132" s="127" t="s">
        <v>32</v>
      </c>
      <c r="F132" s="127">
        <v>120</v>
      </c>
      <c r="G132" s="127" t="s">
        <v>1095</v>
      </c>
      <c r="H132" s="127">
        <v>5</v>
      </c>
      <c r="I132" s="127" t="s">
        <v>2138</v>
      </c>
      <c r="J132" s="127" t="s">
        <v>172</v>
      </c>
      <c r="K132" s="127"/>
    </row>
    <row r="133" spans="1:11">
      <c r="A133" s="195" t="s">
        <v>173</v>
      </c>
      <c r="B133" s="117" t="s">
        <v>174</v>
      </c>
      <c r="C133" s="191">
        <v>10</v>
      </c>
      <c r="D133" s="191" t="s">
        <v>2137</v>
      </c>
      <c r="E133" s="117" t="s">
        <v>32</v>
      </c>
      <c r="F133" s="117">
        <v>30</v>
      </c>
      <c r="G133" s="117" t="s">
        <v>1095</v>
      </c>
      <c r="H133" s="117">
        <v>2</v>
      </c>
      <c r="I133" s="117" t="s">
        <v>2138</v>
      </c>
      <c r="J133" s="117" t="s">
        <v>172</v>
      </c>
      <c r="K133" s="117" t="s">
        <v>175</v>
      </c>
    </row>
    <row r="134" spans="1:11">
      <c r="A134" s="195"/>
      <c r="B134" s="117" t="s">
        <v>176</v>
      </c>
      <c r="C134" s="191"/>
      <c r="D134" s="191"/>
      <c r="E134" s="117" t="s">
        <v>10</v>
      </c>
      <c r="F134" s="118">
        <v>1.7</v>
      </c>
      <c r="G134" s="117" t="s">
        <v>1095</v>
      </c>
      <c r="H134" s="118">
        <v>3</v>
      </c>
      <c r="I134" s="118" t="s">
        <v>2066</v>
      </c>
      <c r="J134" s="117" t="s">
        <v>2138</v>
      </c>
      <c r="K134" s="117"/>
    </row>
    <row r="135" spans="1:11">
      <c r="A135" s="195"/>
      <c r="B135" s="117" t="s">
        <v>164</v>
      </c>
      <c r="C135" s="191"/>
      <c r="D135" s="191"/>
      <c r="E135" s="117" t="s">
        <v>32</v>
      </c>
      <c r="F135" s="117">
        <v>120</v>
      </c>
      <c r="G135" s="117" t="s">
        <v>1095</v>
      </c>
      <c r="H135" s="117">
        <v>10</v>
      </c>
      <c r="I135" s="117" t="s">
        <v>2138</v>
      </c>
      <c r="J135" s="117" t="s">
        <v>172</v>
      </c>
      <c r="K135" s="117"/>
    </row>
    <row r="136" spans="1:11">
      <c r="A136" s="137" t="s">
        <v>2320</v>
      </c>
      <c r="B136" s="127"/>
      <c r="C136" s="188">
        <v>8</v>
      </c>
      <c r="D136" s="127" t="s">
        <v>2137</v>
      </c>
      <c r="E136" s="127" t="s">
        <v>1173</v>
      </c>
      <c r="F136" s="127">
        <v>50</v>
      </c>
      <c r="G136" s="127" t="s">
        <v>1095</v>
      </c>
      <c r="H136" s="127">
        <v>0</v>
      </c>
      <c r="I136" s="127" t="s">
        <v>2138</v>
      </c>
      <c r="J136" s="127" t="s">
        <v>1187</v>
      </c>
      <c r="K136" s="127"/>
    </row>
    <row r="137" spans="1:11" ht="32.6">
      <c r="A137" s="126" t="s">
        <v>177</v>
      </c>
      <c r="B137" s="117"/>
      <c r="C137" s="117">
        <v>5</v>
      </c>
      <c r="D137" s="117" t="s">
        <v>2148</v>
      </c>
      <c r="E137" s="117" t="s">
        <v>32</v>
      </c>
      <c r="F137" s="117" t="s">
        <v>1923</v>
      </c>
      <c r="G137" s="117"/>
      <c r="H137" s="117">
        <v>6</v>
      </c>
      <c r="I137" s="117" t="s">
        <v>2138</v>
      </c>
      <c r="J137" s="117" t="s">
        <v>1924</v>
      </c>
      <c r="K137" s="117" t="s">
        <v>2149</v>
      </c>
    </row>
    <row r="138" spans="1:11" ht="32.6">
      <c r="A138" s="113" t="s">
        <v>1115</v>
      </c>
      <c r="B138" s="114" t="s">
        <v>1</v>
      </c>
      <c r="C138" s="114" t="s">
        <v>2</v>
      </c>
      <c r="D138" s="114" t="s">
        <v>2134</v>
      </c>
      <c r="E138" s="114" t="s">
        <v>3</v>
      </c>
      <c r="F138" s="114" t="s">
        <v>4</v>
      </c>
      <c r="G138" s="114" t="s">
        <v>1098</v>
      </c>
      <c r="H138" s="114" t="s">
        <v>6</v>
      </c>
      <c r="I138" s="114" t="s">
        <v>2067</v>
      </c>
      <c r="J138" s="114" t="s">
        <v>5</v>
      </c>
      <c r="K138" s="114" t="s">
        <v>7</v>
      </c>
    </row>
    <row r="139" spans="1:11" ht="32.6">
      <c r="A139" s="194" t="s">
        <v>179</v>
      </c>
      <c r="B139" s="127" t="s">
        <v>1108</v>
      </c>
      <c r="C139" s="192">
        <v>19</v>
      </c>
      <c r="D139" s="192" t="s">
        <v>2202</v>
      </c>
      <c r="E139" s="127" t="s">
        <v>1148</v>
      </c>
      <c r="F139" s="128">
        <v>0.65</v>
      </c>
      <c r="G139" s="127"/>
      <c r="H139" s="128">
        <v>1</v>
      </c>
      <c r="I139" s="128" t="s">
        <v>2066</v>
      </c>
      <c r="J139" s="127" t="s">
        <v>2138</v>
      </c>
      <c r="K139" s="127" t="s">
        <v>181</v>
      </c>
    </row>
    <row r="140" spans="1:11">
      <c r="A140" s="194"/>
      <c r="B140" s="127" t="s">
        <v>1921</v>
      </c>
      <c r="C140" s="192"/>
      <c r="D140" s="192"/>
      <c r="E140" s="127" t="s">
        <v>32</v>
      </c>
      <c r="F140" s="127">
        <v>180</v>
      </c>
      <c r="G140" s="127"/>
      <c r="H140" s="127">
        <v>13</v>
      </c>
      <c r="I140" s="127" t="s">
        <v>2138</v>
      </c>
      <c r="J140" s="127" t="s">
        <v>180</v>
      </c>
      <c r="K140" s="127"/>
    </row>
    <row r="141" spans="1:11" ht="32.6">
      <c r="A141" s="126" t="s">
        <v>182</v>
      </c>
      <c r="B141" s="117"/>
      <c r="C141" s="117">
        <v>20</v>
      </c>
      <c r="D141" s="117" t="s">
        <v>2150</v>
      </c>
      <c r="E141" s="117" t="s">
        <v>10</v>
      </c>
      <c r="F141" s="118">
        <v>2.35</v>
      </c>
      <c r="G141" s="117"/>
      <c r="H141" s="118">
        <v>6</v>
      </c>
      <c r="I141" s="118" t="s">
        <v>2066</v>
      </c>
      <c r="J141" s="117" t="s">
        <v>2138</v>
      </c>
      <c r="K141" s="117" t="s">
        <v>2215</v>
      </c>
    </row>
    <row r="142" spans="1:11">
      <c r="A142" s="194" t="s">
        <v>183</v>
      </c>
      <c r="B142" s="127" t="s">
        <v>184</v>
      </c>
      <c r="C142" s="192">
        <v>9</v>
      </c>
      <c r="D142" s="192" t="s">
        <v>2137</v>
      </c>
      <c r="E142" s="127" t="s">
        <v>10</v>
      </c>
      <c r="F142" s="128">
        <v>0.65</v>
      </c>
      <c r="G142" s="127"/>
      <c r="H142" s="128">
        <v>1</v>
      </c>
      <c r="I142" s="128" t="s">
        <v>2066</v>
      </c>
      <c r="J142" s="127" t="s">
        <v>2138</v>
      </c>
      <c r="K142" s="127"/>
    </row>
    <row r="143" spans="1:11">
      <c r="A143" s="194"/>
      <c r="B143" s="127" t="s">
        <v>185</v>
      </c>
      <c r="C143" s="192"/>
      <c r="D143" s="192"/>
      <c r="E143" s="127" t="s">
        <v>32</v>
      </c>
      <c r="F143" s="127">
        <v>125</v>
      </c>
      <c r="G143" s="127"/>
      <c r="H143" s="127">
        <v>3</v>
      </c>
      <c r="I143" s="127" t="s">
        <v>2138</v>
      </c>
      <c r="J143" s="127" t="s">
        <v>180</v>
      </c>
      <c r="K143" s="127"/>
    </row>
    <row r="144" spans="1:11">
      <c r="A144" s="195" t="s">
        <v>186</v>
      </c>
      <c r="B144" s="117" t="s">
        <v>37</v>
      </c>
      <c r="C144" s="191">
        <v>16</v>
      </c>
      <c r="D144" s="191" t="s">
        <v>2139</v>
      </c>
      <c r="E144" s="117" t="s">
        <v>10</v>
      </c>
      <c r="F144" s="118">
        <v>1</v>
      </c>
      <c r="G144" s="118"/>
      <c r="H144" s="118">
        <v>1</v>
      </c>
      <c r="I144" s="118" t="s">
        <v>2066</v>
      </c>
      <c r="J144" s="118" t="s">
        <v>2138</v>
      </c>
      <c r="K144" s="117"/>
    </row>
    <row r="145" spans="1:11">
      <c r="A145" s="195"/>
      <c r="B145" s="117" t="s">
        <v>38</v>
      </c>
      <c r="C145" s="191"/>
      <c r="D145" s="191"/>
      <c r="E145" s="117" t="s">
        <v>10</v>
      </c>
      <c r="F145" s="118">
        <v>0.6</v>
      </c>
      <c r="G145" s="118"/>
      <c r="H145" s="118">
        <v>0.6</v>
      </c>
      <c r="I145" s="118" t="s">
        <v>2066</v>
      </c>
      <c r="J145" s="118" t="s">
        <v>2138</v>
      </c>
      <c r="K145" s="117"/>
    </row>
    <row r="146" spans="1:11">
      <c r="A146" s="195"/>
      <c r="B146" s="117" t="s">
        <v>164</v>
      </c>
      <c r="C146" s="191"/>
      <c r="D146" s="191"/>
      <c r="E146" s="117" t="s">
        <v>32</v>
      </c>
      <c r="F146" s="117">
        <v>176</v>
      </c>
      <c r="G146" s="117"/>
      <c r="H146" s="117">
        <v>30</v>
      </c>
      <c r="I146" s="117" t="s">
        <v>2138</v>
      </c>
      <c r="J146" s="117" t="s">
        <v>180</v>
      </c>
      <c r="K146" s="117"/>
    </row>
    <row r="147" spans="1:11">
      <c r="A147" s="195"/>
      <c r="B147" s="117" t="s">
        <v>187</v>
      </c>
      <c r="C147" s="191"/>
      <c r="D147" s="191"/>
      <c r="E147" s="117" t="s">
        <v>32</v>
      </c>
      <c r="F147" s="117" t="s">
        <v>188</v>
      </c>
      <c r="G147" s="117"/>
      <c r="H147" s="117" t="s">
        <v>189</v>
      </c>
      <c r="I147" s="117" t="s">
        <v>2138</v>
      </c>
      <c r="J147" s="117" t="s">
        <v>180</v>
      </c>
      <c r="K147" s="117"/>
    </row>
    <row r="148" spans="1:11">
      <c r="A148" s="195"/>
      <c r="B148" s="117" t="s">
        <v>9</v>
      </c>
      <c r="C148" s="117">
        <v>5</v>
      </c>
      <c r="D148" s="117" t="s">
        <v>2139</v>
      </c>
      <c r="E148" s="117" t="s">
        <v>10</v>
      </c>
      <c r="F148" s="118">
        <v>1.4</v>
      </c>
      <c r="G148" s="117"/>
      <c r="H148" s="118">
        <v>1</v>
      </c>
      <c r="I148" s="118" t="s">
        <v>2066</v>
      </c>
      <c r="J148" s="117" t="s">
        <v>2138</v>
      </c>
      <c r="K148" s="117" t="s">
        <v>1102</v>
      </c>
    </row>
    <row r="149" spans="1:11" ht="32.6">
      <c r="A149" s="137" t="s">
        <v>190</v>
      </c>
      <c r="B149" s="127"/>
      <c r="C149" s="127">
        <v>22</v>
      </c>
      <c r="D149" s="127" t="s">
        <v>2134</v>
      </c>
      <c r="E149" s="127" t="s">
        <v>32</v>
      </c>
      <c r="F149" s="127" t="s">
        <v>191</v>
      </c>
      <c r="G149" s="127"/>
      <c r="H149" s="127" t="s">
        <v>192</v>
      </c>
      <c r="I149" s="127" t="s">
        <v>2138</v>
      </c>
      <c r="J149" s="127" t="s">
        <v>2109</v>
      </c>
      <c r="K149" s="127" t="s">
        <v>2216</v>
      </c>
    </row>
    <row r="150" spans="1:11" ht="32.6">
      <c r="A150" s="126" t="s">
        <v>193</v>
      </c>
      <c r="B150" s="117"/>
      <c r="C150" s="117">
        <v>18</v>
      </c>
      <c r="D150" s="117" t="s">
        <v>2137</v>
      </c>
      <c r="E150" s="117" t="s">
        <v>52</v>
      </c>
      <c r="F150" s="117" t="s">
        <v>2219</v>
      </c>
      <c r="G150" s="117"/>
      <c r="H150" s="117" t="s">
        <v>56</v>
      </c>
      <c r="I150" s="117" t="s">
        <v>2138</v>
      </c>
      <c r="J150" s="117" t="s">
        <v>2138</v>
      </c>
      <c r="K150" s="117"/>
    </row>
    <row r="151" spans="1:11" ht="48.9">
      <c r="A151" s="137" t="s">
        <v>194</v>
      </c>
      <c r="B151" s="127"/>
      <c r="C151" s="127">
        <v>20</v>
      </c>
      <c r="D151" s="127" t="s">
        <v>2137</v>
      </c>
      <c r="E151" s="127" t="s">
        <v>52</v>
      </c>
      <c r="F151" s="127" t="s">
        <v>2220</v>
      </c>
      <c r="G151" s="127"/>
      <c r="H151" s="127" t="s">
        <v>56</v>
      </c>
      <c r="I151" s="127" t="s">
        <v>2138</v>
      </c>
      <c r="J151" s="127" t="s">
        <v>2138</v>
      </c>
      <c r="K151" s="127"/>
    </row>
    <row r="152" spans="1:11" ht="32.6">
      <c r="A152" s="126" t="s">
        <v>195</v>
      </c>
      <c r="B152" s="117"/>
      <c r="C152" s="117">
        <v>40</v>
      </c>
      <c r="D152" s="117" t="s">
        <v>2137</v>
      </c>
      <c r="E152" s="117" t="s">
        <v>52</v>
      </c>
      <c r="F152" s="117" t="s">
        <v>1434</v>
      </c>
      <c r="G152" s="117"/>
      <c r="H152" s="117" t="s">
        <v>56</v>
      </c>
      <c r="I152" s="117" t="s">
        <v>2138</v>
      </c>
      <c r="J152" s="117" t="s">
        <v>2138</v>
      </c>
      <c r="K152" s="117"/>
    </row>
    <row r="153" spans="1:11" ht="32.6">
      <c r="A153" s="137" t="s">
        <v>198</v>
      </c>
      <c r="B153" s="127"/>
      <c r="C153" s="127">
        <v>20</v>
      </c>
      <c r="D153" s="127" t="s">
        <v>2138</v>
      </c>
      <c r="E153" s="127" t="s">
        <v>52</v>
      </c>
      <c r="F153" s="127" t="s">
        <v>1476</v>
      </c>
      <c r="G153" s="127"/>
      <c r="H153" s="127" t="s">
        <v>56</v>
      </c>
      <c r="I153" s="127" t="s">
        <v>2138</v>
      </c>
      <c r="J153" s="127" t="s">
        <v>2138</v>
      </c>
      <c r="K153" s="133"/>
    </row>
    <row r="154" spans="1:11" ht="97.75">
      <c r="A154" s="126" t="s">
        <v>2321</v>
      </c>
      <c r="B154" s="117"/>
      <c r="C154" s="117">
        <v>22</v>
      </c>
      <c r="D154" s="117" t="s">
        <v>2139</v>
      </c>
      <c r="E154" s="117" t="s">
        <v>1148</v>
      </c>
      <c r="F154" s="117" t="s">
        <v>2169</v>
      </c>
      <c r="G154" s="117" t="s">
        <v>1188</v>
      </c>
      <c r="H154" s="117" t="s">
        <v>2037</v>
      </c>
      <c r="I154" s="117" t="s">
        <v>2110</v>
      </c>
      <c r="J154" s="117" t="s">
        <v>2138</v>
      </c>
      <c r="K154" s="117"/>
    </row>
    <row r="155" spans="1:11">
      <c r="A155" s="137" t="s">
        <v>2029</v>
      </c>
      <c r="B155" s="127"/>
      <c r="C155" s="127">
        <v>4</v>
      </c>
      <c r="D155" s="127" t="s">
        <v>2138</v>
      </c>
      <c r="E155" s="127" t="s">
        <v>1203</v>
      </c>
      <c r="F155" s="127" t="s">
        <v>2030</v>
      </c>
      <c r="G155" s="127"/>
      <c r="H155" s="127" t="s">
        <v>56</v>
      </c>
      <c r="I155" s="127" t="s">
        <v>2138</v>
      </c>
      <c r="J155" s="127" t="s">
        <v>2138</v>
      </c>
      <c r="K155" s="133"/>
    </row>
    <row r="156" spans="1:11" ht="32.6">
      <c r="A156" s="126" t="s">
        <v>196</v>
      </c>
      <c r="B156" s="117"/>
      <c r="C156" s="117">
        <v>30</v>
      </c>
      <c r="D156" s="117" t="s">
        <v>2137</v>
      </c>
      <c r="E156" s="117" t="s">
        <v>52</v>
      </c>
      <c r="F156" s="117" t="s">
        <v>197</v>
      </c>
      <c r="G156" s="117"/>
      <c r="H156" s="117" t="s">
        <v>56</v>
      </c>
      <c r="I156" s="117" t="s">
        <v>2138</v>
      </c>
      <c r="J156" s="117" t="s">
        <v>2138</v>
      </c>
      <c r="K156" s="122"/>
    </row>
    <row r="157" spans="1:11" ht="32.6">
      <c r="A157" s="113" t="s">
        <v>1116</v>
      </c>
      <c r="B157" s="114" t="s">
        <v>1</v>
      </c>
      <c r="C157" s="114" t="s">
        <v>2</v>
      </c>
      <c r="D157" s="114" t="s">
        <v>2134</v>
      </c>
      <c r="E157" s="114" t="s">
        <v>3</v>
      </c>
      <c r="F157" s="114" t="s">
        <v>4</v>
      </c>
      <c r="G157" s="114" t="s">
        <v>1098</v>
      </c>
      <c r="H157" s="114" t="s">
        <v>6</v>
      </c>
      <c r="I157" s="114" t="s">
        <v>2067</v>
      </c>
      <c r="J157" s="114" t="s">
        <v>5</v>
      </c>
      <c r="K157" s="114" t="s">
        <v>7</v>
      </c>
    </row>
    <row r="158" spans="1:11" ht="48.9">
      <c r="A158" s="194" t="s">
        <v>199</v>
      </c>
      <c r="B158" s="127" t="s">
        <v>200</v>
      </c>
      <c r="C158" s="192">
        <v>14</v>
      </c>
      <c r="D158" s="192" t="s">
        <v>2202</v>
      </c>
      <c r="E158" s="127" t="s">
        <v>52</v>
      </c>
      <c r="F158" s="128" t="s">
        <v>2035</v>
      </c>
      <c r="G158" s="127"/>
      <c r="H158" s="127" t="s">
        <v>56</v>
      </c>
      <c r="I158" s="127" t="s">
        <v>2138</v>
      </c>
      <c r="J158" s="127" t="s">
        <v>2138</v>
      </c>
      <c r="K158" s="127" t="s">
        <v>2036</v>
      </c>
    </row>
    <row r="159" spans="1:11">
      <c r="A159" s="194"/>
      <c r="B159" s="127" t="s">
        <v>176</v>
      </c>
      <c r="C159" s="192"/>
      <c r="D159" s="192"/>
      <c r="E159" s="127" t="s">
        <v>10</v>
      </c>
      <c r="F159" s="128">
        <v>1.7</v>
      </c>
      <c r="G159" s="127"/>
      <c r="H159" s="128">
        <v>2</v>
      </c>
      <c r="I159" s="128" t="s">
        <v>2066</v>
      </c>
      <c r="J159" s="127" t="s">
        <v>2138</v>
      </c>
      <c r="K159" s="127"/>
    </row>
    <row r="160" spans="1:11" ht="65.150000000000006">
      <c r="A160" s="126" t="s">
        <v>201</v>
      </c>
      <c r="B160" s="117"/>
      <c r="C160" s="117">
        <v>7</v>
      </c>
      <c r="D160" s="117" t="s">
        <v>2137</v>
      </c>
      <c r="E160" s="117" t="s">
        <v>10</v>
      </c>
      <c r="F160" s="118" t="s">
        <v>2218</v>
      </c>
      <c r="G160" s="117"/>
      <c r="H160" s="118">
        <v>1.25</v>
      </c>
      <c r="I160" s="118" t="s">
        <v>2066</v>
      </c>
      <c r="J160" s="117" t="s">
        <v>2138</v>
      </c>
      <c r="K160" s="117" t="s">
        <v>2151</v>
      </c>
    </row>
    <row r="161" spans="1:11" ht="48.9">
      <c r="A161" s="137" t="s">
        <v>2322</v>
      </c>
      <c r="B161" s="127"/>
      <c r="C161" s="127">
        <v>14</v>
      </c>
      <c r="D161" s="127" t="s">
        <v>2135</v>
      </c>
      <c r="E161" s="127" t="s">
        <v>1173</v>
      </c>
      <c r="F161" s="128" t="s">
        <v>1192</v>
      </c>
      <c r="G161" s="127" t="s">
        <v>1099</v>
      </c>
      <c r="H161" s="128" t="s">
        <v>1191</v>
      </c>
      <c r="I161" s="128" t="s">
        <v>2138</v>
      </c>
      <c r="J161" s="127" t="s">
        <v>1189</v>
      </c>
      <c r="K161" s="127" t="s">
        <v>1190</v>
      </c>
    </row>
    <row r="162" spans="1:11" ht="32.6">
      <c r="A162" s="126" t="s">
        <v>202</v>
      </c>
      <c r="B162" s="117"/>
      <c r="C162" s="117">
        <v>4</v>
      </c>
      <c r="D162" s="117" t="s">
        <v>2137</v>
      </c>
      <c r="E162" s="117" t="s">
        <v>52</v>
      </c>
      <c r="F162" s="118" t="s">
        <v>2049</v>
      </c>
      <c r="G162" s="117"/>
      <c r="H162" s="117" t="s">
        <v>56</v>
      </c>
      <c r="I162" s="117" t="s">
        <v>2138</v>
      </c>
      <c r="J162" s="117" t="s">
        <v>2138</v>
      </c>
      <c r="K162" s="117"/>
    </row>
    <row r="163" spans="1:11">
      <c r="A163" s="194" t="s">
        <v>203</v>
      </c>
      <c r="B163" s="127" t="s">
        <v>1108</v>
      </c>
      <c r="C163" s="127">
        <v>3</v>
      </c>
      <c r="D163" s="192" t="s">
        <v>2137</v>
      </c>
      <c r="E163" s="127" t="s">
        <v>10</v>
      </c>
      <c r="F163" s="128" t="s">
        <v>2031</v>
      </c>
      <c r="G163" s="127" t="s">
        <v>1147</v>
      </c>
      <c r="H163" s="128">
        <v>0.55000000000000004</v>
      </c>
      <c r="I163" s="128" t="s">
        <v>2066</v>
      </c>
      <c r="J163" s="127" t="s">
        <v>2138</v>
      </c>
      <c r="K163" s="127" t="s">
        <v>2032</v>
      </c>
    </row>
    <row r="164" spans="1:11" ht="32.6">
      <c r="A164" s="194"/>
      <c r="B164" s="127" t="s">
        <v>1107</v>
      </c>
      <c r="C164" s="127">
        <v>3</v>
      </c>
      <c r="D164" s="192"/>
      <c r="E164" s="127" t="s">
        <v>32</v>
      </c>
      <c r="F164" s="127" t="s">
        <v>1193</v>
      </c>
      <c r="G164" s="127" t="s">
        <v>1147</v>
      </c>
      <c r="H164" s="128">
        <v>1</v>
      </c>
      <c r="I164" s="128" t="s">
        <v>2138</v>
      </c>
      <c r="J164" s="127" t="s">
        <v>40</v>
      </c>
      <c r="K164" s="127" t="s">
        <v>2050</v>
      </c>
    </row>
    <row r="165" spans="1:11" ht="32.6">
      <c r="A165" s="126" t="s">
        <v>204</v>
      </c>
      <c r="B165" s="117"/>
      <c r="C165" s="117">
        <v>6</v>
      </c>
      <c r="D165" s="117" t="s">
        <v>2202</v>
      </c>
      <c r="E165" s="117" t="s">
        <v>32</v>
      </c>
      <c r="F165" s="117" t="s">
        <v>1199</v>
      </c>
      <c r="G165" s="117" t="s">
        <v>1147</v>
      </c>
      <c r="H165" s="118">
        <v>2</v>
      </c>
      <c r="I165" s="118" t="s">
        <v>2138</v>
      </c>
      <c r="J165" s="117" t="s">
        <v>40</v>
      </c>
      <c r="K165" s="117" t="s">
        <v>1198</v>
      </c>
    </row>
    <row r="166" spans="1:11" ht="32.6">
      <c r="A166" s="137" t="s">
        <v>205</v>
      </c>
      <c r="B166" s="127"/>
      <c r="C166" s="127">
        <v>14</v>
      </c>
      <c r="D166" s="127" t="s">
        <v>2137</v>
      </c>
      <c r="E166" s="127" t="s">
        <v>10</v>
      </c>
      <c r="F166" s="127" t="s">
        <v>206</v>
      </c>
      <c r="G166" s="127" t="s">
        <v>1147</v>
      </c>
      <c r="H166" s="127" t="s">
        <v>207</v>
      </c>
      <c r="I166" s="127" t="s">
        <v>2095</v>
      </c>
      <c r="J166" s="127" t="s">
        <v>2138</v>
      </c>
      <c r="K166" s="127" t="s">
        <v>208</v>
      </c>
    </row>
    <row r="167" spans="1:11" ht="32.6">
      <c r="A167" s="113" t="s">
        <v>2386</v>
      </c>
      <c r="B167" s="114" t="s">
        <v>1</v>
      </c>
      <c r="C167" s="114" t="s">
        <v>2</v>
      </c>
      <c r="D167" s="114" t="s">
        <v>2134</v>
      </c>
      <c r="E167" s="114" t="s">
        <v>3</v>
      </c>
      <c r="F167" s="114" t="s">
        <v>4</v>
      </c>
      <c r="G167" s="114" t="s">
        <v>1098</v>
      </c>
      <c r="H167" s="114" t="s">
        <v>6</v>
      </c>
      <c r="I167" s="114" t="s">
        <v>2067</v>
      </c>
      <c r="J167" s="114" t="s">
        <v>5</v>
      </c>
      <c r="K167" s="114" t="s">
        <v>7</v>
      </c>
    </row>
    <row r="168" spans="1:11">
      <c r="A168" s="195" t="s">
        <v>209</v>
      </c>
      <c r="B168" s="117" t="s">
        <v>184</v>
      </c>
      <c r="C168" s="191">
        <v>15</v>
      </c>
      <c r="D168" s="191" t="s">
        <v>2137</v>
      </c>
      <c r="E168" s="117" t="s">
        <v>10</v>
      </c>
      <c r="F168" s="118">
        <v>0.8</v>
      </c>
      <c r="G168" s="117"/>
      <c r="H168" s="118">
        <v>2</v>
      </c>
      <c r="I168" s="118" t="s">
        <v>2066</v>
      </c>
      <c r="J168" s="117" t="s">
        <v>2138</v>
      </c>
      <c r="K168" s="117"/>
    </row>
    <row r="169" spans="1:11">
      <c r="A169" s="195"/>
      <c r="B169" s="117" t="s">
        <v>209</v>
      </c>
      <c r="C169" s="191"/>
      <c r="D169" s="191"/>
      <c r="E169" s="117" t="s">
        <v>32</v>
      </c>
      <c r="F169" s="117" t="s">
        <v>1201</v>
      </c>
      <c r="G169" s="117"/>
      <c r="H169" s="117">
        <v>25</v>
      </c>
      <c r="I169" s="117" t="s">
        <v>2138</v>
      </c>
      <c r="J169" s="117" t="s">
        <v>121</v>
      </c>
      <c r="K169" s="117"/>
    </row>
    <row r="170" spans="1:11" ht="32.6">
      <c r="A170" s="194" t="s">
        <v>210</v>
      </c>
      <c r="B170" s="127" t="s">
        <v>200</v>
      </c>
      <c r="C170" s="192">
        <v>14</v>
      </c>
      <c r="D170" s="192" t="s">
        <v>2202</v>
      </c>
      <c r="E170" s="127" t="s">
        <v>52</v>
      </c>
      <c r="F170" s="128" t="s">
        <v>2034</v>
      </c>
      <c r="G170" s="127"/>
      <c r="H170" s="127" t="s">
        <v>56</v>
      </c>
      <c r="I170" s="127" t="s">
        <v>2138</v>
      </c>
      <c r="J170" s="127" t="s">
        <v>2138</v>
      </c>
      <c r="K170" s="127" t="s">
        <v>2033</v>
      </c>
    </row>
    <row r="171" spans="1:11">
      <c r="A171" s="194"/>
      <c r="B171" s="127" t="s">
        <v>176</v>
      </c>
      <c r="C171" s="192"/>
      <c r="D171" s="192"/>
      <c r="E171" s="127" t="s">
        <v>10</v>
      </c>
      <c r="F171" s="128">
        <v>1.7</v>
      </c>
      <c r="G171" s="127"/>
      <c r="H171" s="128">
        <v>2</v>
      </c>
      <c r="I171" s="128" t="s">
        <v>2066</v>
      </c>
      <c r="J171" s="127" t="s">
        <v>2138</v>
      </c>
      <c r="K171" s="127"/>
    </row>
    <row r="172" spans="1:11" ht="32.6">
      <c r="A172" s="195" t="s">
        <v>2323</v>
      </c>
      <c r="B172" s="117" t="s">
        <v>1108</v>
      </c>
      <c r="C172" s="191">
        <v>15</v>
      </c>
      <c r="D172" s="191" t="s">
        <v>2202</v>
      </c>
      <c r="E172" s="117" t="s">
        <v>1148</v>
      </c>
      <c r="F172" s="118">
        <v>0.5</v>
      </c>
      <c r="G172" s="117"/>
      <c r="H172" s="118">
        <v>1</v>
      </c>
      <c r="I172" s="118" t="s">
        <v>2094</v>
      </c>
      <c r="J172" s="117" t="s">
        <v>2138</v>
      </c>
      <c r="K172" s="117" t="s">
        <v>1197</v>
      </c>
    </row>
    <row r="173" spans="1:11">
      <c r="A173" s="195"/>
      <c r="B173" s="117" t="s">
        <v>1194</v>
      </c>
      <c r="C173" s="191"/>
      <c r="D173" s="191"/>
      <c r="E173" s="117" t="s">
        <v>1173</v>
      </c>
      <c r="F173" s="118" t="s">
        <v>1212</v>
      </c>
      <c r="G173" s="117"/>
      <c r="H173" s="117">
        <v>0</v>
      </c>
      <c r="I173" s="117" t="s">
        <v>2138</v>
      </c>
      <c r="J173" s="117" t="s">
        <v>121</v>
      </c>
      <c r="K173" s="117"/>
    </row>
    <row r="174" spans="1:11">
      <c r="A174" s="195"/>
      <c r="B174" s="117" t="s">
        <v>1195</v>
      </c>
      <c r="C174" s="191">
        <v>10</v>
      </c>
      <c r="D174" s="191" t="s">
        <v>2137</v>
      </c>
      <c r="E174" s="117" t="s">
        <v>1148</v>
      </c>
      <c r="F174" s="118">
        <v>0.75</v>
      </c>
      <c r="G174" s="117"/>
      <c r="H174" s="118">
        <v>1</v>
      </c>
      <c r="I174" s="118" t="s">
        <v>2092</v>
      </c>
      <c r="J174" s="117" t="s">
        <v>2138</v>
      </c>
      <c r="K174" s="117"/>
    </row>
    <row r="175" spans="1:11">
      <c r="A175" s="195"/>
      <c r="B175" s="117" t="s">
        <v>1194</v>
      </c>
      <c r="C175" s="191"/>
      <c r="D175" s="191"/>
      <c r="E175" s="117" t="s">
        <v>1173</v>
      </c>
      <c r="F175" s="118" t="s">
        <v>1213</v>
      </c>
      <c r="G175" s="117"/>
      <c r="H175" s="118" t="s">
        <v>1463</v>
      </c>
      <c r="I175" s="118" t="s">
        <v>2138</v>
      </c>
      <c r="J175" s="117" t="s">
        <v>121</v>
      </c>
      <c r="K175" s="117"/>
    </row>
    <row r="176" spans="1:11">
      <c r="A176" s="195"/>
      <c r="B176" s="117" t="s">
        <v>1196</v>
      </c>
      <c r="C176" s="191">
        <v>10</v>
      </c>
      <c r="D176" s="191" t="s">
        <v>2137</v>
      </c>
      <c r="E176" s="117" t="s">
        <v>1148</v>
      </c>
      <c r="F176" s="118">
        <v>0.8</v>
      </c>
      <c r="G176" s="117"/>
      <c r="H176" s="118">
        <v>1</v>
      </c>
      <c r="I176" s="118" t="s">
        <v>2092</v>
      </c>
      <c r="J176" s="117" t="s">
        <v>2138</v>
      </c>
      <c r="K176" s="117"/>
    </row>
    <row r="177" spans="1:11">
      <c r="A177" s="195"/>
      <c r="B177" s="117"/>
      <c r="C177" s="191"/>
      <c r="D177" s="191"/>
      <c r="E177" s="117" t="s">
        <v>1173</v>
      </c>
      <c r="F177" s="117" t="s">
        <v>1214</v>
      </c>
      <c r="G177" s="117"/>
      <c r="H177" s="117">
        <v>11</v>
      </c>
      <c r="I177" s="117" t="s">
        <v>2138</v>
      </c>
      <c r="J177" s="117" t="s">
        <v>121</v>
      </c>
      <c r="K177" s="117" t="s">
        <v>1102</v>
      </c>
    </row>
    <row r="178" spans="1:11">
      <c r="A178" s="137" t="s">
        <v>211</v>
      </c>
      <c r="B178" s="127" t="s">
        <v>174</v>
      </c>
      <c r="C178" s="127">
        <v>10</v>
      </c>
      <c r="D178" s="127" t="s">
        <v>2137</v>
      </c>
      <c r="E178" s="127" t="s">
        <v>32</v>
      </c>
      <c r="F178" s="127" t="s">
        <v>1211</v>
      </c>
      <c r="G178" s="127" t="s">
        <v>1099</v>
      </c>
      <c r="H178" s="127">
        <v>0</v>
      </c>
      <c r="I178" s="127" t="s">
        <v>2138</v>
      </c>
      <c r="J178" s="127" t="s">
        <v>121</v>
      </c>
      <c r="K178" s="127"/>
    </row>
    <row r="179" spans="1:11">
      <c r="A179" s="195" t="s">
        <v>2324</v>
      </c>
      <c r="B179" s="117" t="s">
        <v>1157</v>
      </c>
      <c r="C179" s="191">
        <v>18</v>
      </c>
      <c r="D179" s="117" t="s">
        <v>2137</v>
      </c>
      <c r="E179" s="117" t="s">
        <v>1173</v>
      </c>
      <c r="F179" s="117" t="s">
        <v>2046</v>
      </c>
      <c r="G179" s="117" t="s">
        <v>1099</v>
      </c>
      <c r="H179" s="117">
        <v>5</v>
      </c>
      <c r="I179" s="117" t="s">
        <v>2138</v>
      </c>
      <c r="J179" s="117" t="s">
        <v>1200</v>
      </c>
      <c r="K179" s="117"/>
    </row>
    <row r="180" spans="1:11">
      <c r="A180" s="195"/>
      <c r="B180" s="117" t="s">
        <v>1159</v>
      </c>
      <c r="C180" s="191"/>
      <c r="D180" s="117" t="s">
        <v>2137</v>
      </c>
      <c r="E180" s="117" t="s">
        <v>1173</v>
      </c>
      <c r="F180" s="117" t="s">
        <v>2047</v>
      </c>
      <c r="G180" s="117" t="s">
        <v>1099</v>
      </c>
      <c r="H180" s="117">
        <v>10</v>
      </c>
      <c r="I180" s="117" t="s">
        <v>2138</v>
      </c>
      <c r="J180" s="117" t="s">
        <v>1200</v>
      </c>
      <c r="K180" s="117"/>
    </row>
    <row r="181" spans="1:11" ht="32.6">
      <c r="A181" s="113" t="s">
        <v>1117</v>
      </c>
      <c r="B181" s="114" t="s">
        <v>1</v>
      </c>
      <c r="C181" s="114" t="s">
        <v>2</v>
      </c>
      <c r="D181" s="114" t="s">
        <v>2134</v>
      </c>
      <c r="E181" s="114" t="s">
        <v>3</v>
      </c>
      <c r="F181" s="114" t="s">
        <v>4</v>
      </c>
      <c r="G181" s="114" t="s">
        <v>1098</v>
      </c>
      <c r="H181" s="114" t="s">
        <v>6</v>
      </c>
      <c r="I181" s="114" t="s">
        <v>2067</v>
      </c>
      <c r="J181" s="114" t="s">
        <v>5</v>
      </c>
      <c r="K181" s="114" t="s">
        <v>7</v>
      </c>
    </row>
    <row r="182" spans="1:11" ht="48.9">
      <c r="A182" s="194" t="s">
        <v>212</v>
      </c>
      <c r="B182" s="127" t="s">
        <v>213</v>
      </c>
      <c r="C182" s="192">
        <v>14</v>
      </c>
      <c r="D182" s="192" t="s">
        <v>2137</v>
      </c>
      <c r="E182" s="127" t="s">
        <v>2574</v>
      </c>
      <c r="F182" s="127" t="s">
        <v>214</v>
      </c>
      <c r="G182" s="127"/>
      <c r="H182" s="127" t="s">
        <v>56</v>
      </c>
      <c r="I182" s="127" t="s">
        <v>2092</v>
      </c>
      <c r="J182" s="127" t="s">
        <v>1200</v>
      </c>
      <c r="K182" s="127" t="s">
        <v>215</v>
      </c>
    </row>
    <row r="183" spans="1:11">
      <c r="A183" s="194"/>
      <c r="B183" s="127" t="s">
        <v>216</v>
      </c>
      <c r="C183" s="192"/>
      <c r="D183" s="192"/>
      <c r="E183" s="127" t="s">
        <v>2574</v>
      </c>
      <c r="F183" s="127" t="s">
        <v>217</v>
      </c>
      <c r="G183" s="127"/>
      <c r="H183" s="128">
        <v>1</v>
      </c>
      <c r="I183" s="128" t="s">
        <v>2092</v>
      </c>
      <c r="J183" s="127" t="s">
        <v>1200</v>
      </c>
      <c r="K183" s="127" t="s">
        <v>2217</v>
      </c>
    </row>
    <row r="184" spans="1:11">
      <c r="A184" s="126" t="s">
        <v>218</v>
      </c>
      <c r="B184" s="117"/>
      <c r="C184" s="117">
        <v>9</v>
      </c>
      <c r="D184" s="117" t="s">
        <v>2137</v>
      </c>
      <c r="E184" s="117" t="s">
        <v>32</v>
      </c>
      <c r="F184" s="117">
        <v>132</v>
      </c>
      <c r="G184" s="117" t="s">
        <v>1119</v>
      </c>
      <c r="H184" s="118">
        <v>5</v>
      </c>
      <c r="I184" s="118" t="s">
        <v>2138</v>
      </c>
      <c r="J184" s="117" t="s">
        <v>66</v>
      </c>
      <c r="K184" s="117" t="s">
        <v>1118</v>
      </c>
    </row>
    <row r="185" spans="1:11" ht="32.6">
      <c r="A185" s="137" t="s">
        <v>219</v>
      </c>
      <c r="B185" s="127"/>
      <c r="C185" s="127">
        <v>5</v>
      </c>
      <c r="D185" s="127" t="s">
        <v>2137</v>
      </c>
      <c r="E185" s="127" t="s">
        <v>52</v>
      </c>
      <c r="F185" s="127" t="s">
        <v>1477</v>
      </c>
      <c r="G185" s="127"/>
      <c r="H185" s="127" t="s">
        <v>56</v>
      </c>
      <c r="I185" s="127" t="s">
        <v>2138</v>
      </c>
      <c r="J185" s="127" t="s">
        <v>2138</v>
      </c>
      <c r="K185" s="127"/>
    </row>
    <row r="186" spans="1:11">
      <c r="A186" s="126" t="s">
        <v>220</v>
      </c>
      <c r="B186" s="117"/>
      <c r="C186" s="117">
        <v>15</v>
      </c>
      <c r="D186" s="117" t="s">
        <v>2137</v>
      </c>
      <c r="E186" s="117" t="s">
        <v>52</v>
      </c>
      <c r="F186" s="117" t="s">
        <v>221</v>
      </c>
      <c r="G186" s="117"/>
      <c r="H186" s="117" t="s">
        <v>56</v>
      </c>
      <c r="I186" s="117" t="s">
        <v>2138</v>
      </c>
      <c r="J186" s="117" t="s">
        <v>2138</v>
      </c>
      <c r="K186" s="117"/>
    </row>
    <row r="187" spans="1:11" ht="48.9">
      <c r="A187" s="137" t="s">
        <v>2325</v>
      </c>
      <c r="B187" s="127"/>
      <c r="C187" s="127">
        <v>19</v>
      </c>
      <c r="D187" s="127" t="s">
        <v>2137</v>
      </c>
      <c r="E187" s="127" t="s">
        <v>1203</v>
      </c>
      <c r="F187" s="127" t="s">
        <v>2048</v>
      </c>
      <c r="G187" s="127"/>
      <c r="H187" s="127" t="s">
        <v>56</v>
      </c>
      <c r="I187" s="127" t="s">
        <v>2138</v>
      </c>
      <c r="J187" s="127" t="s">
        <v>2138</v>
      </c>
      <c r="K187" s="127" t="s">
        <v>2227</v>
      </c>
    </row>
    <row r="188" spans="1:11" ht="32.6">
      <c r="A188" s="116" t="s">
        <v>222</v>
      </c>
      <c r="B188" s="114" t="s">
        <v>1</v>
      </c>
      <c r="C188" s="114" t="s">
        <v>2</v>
      </c>
      <c r="D188" s="114" t="s">
        <v>2134</v>
      </c>
      <c r="E188" s="114" t="s">
        <v>3</v>
      </c>
      <c r="F188" s="114" t="s">
        <v>4</v>
      </c>
      <c r="G188" s="114" t="s">
        <v>1098</v>
      </c>
      <c r="H188" s="114" t="s">
        <v>6</v>
      </c>
      <c r="I188" s="114" t="s">
        <v>2067</v>
      </c>
      <c r="J188" s="114" t="s">
        <v>5</v>
      </c>
      <c r="K188" s="114" t="s">
        <v>7</v>
      </c>
    </row>
    <row r="189" spans="1:11">
      <c r="A189" s="126" t="s">
        <v>2241</v>
      </c>
      <c r="B189" s="117"/>
      <c r="C189" s="117">
        <v>0</v>
      </c>
      <c r="D189" s="117" t="s">
        <v>2138</v>
      </c>
      <c r="E189" s="117" t="s">
        <v>1203</v>
      </c>
      <c r="F189" s="117" t="s">
        <v>2242</v>
      </c>
      <c r="G189" s="117"/>
      <c r="H189" s="117" t="s">
        <v>56</v>
      </c>
      <c r="I189" s="117" t="s">
        <v>2138</v>
      </c>
      <c r="J189" s="117" t="s">
        <v>2138</v>
      </c>
      <c r="K189" s="122"/>
    </row>
    <row r="190" spans="1:11">
      <c r="A190" s="137" t="s">
        <v>2244</v>
      </c>
      <c r="B190" s="127"/>
      <c r="C190" s="127">
        <v>3</v>
      </c>
      <c r="D190" s="127" t="s">
        <v>2138</v>
      </c>
      <c r="E190" s="127" t="s">
        <v>1203</v>
      </c>
      <c r="F190" s="127" t="s">
        <v>2243</v>
      </c>
      <c r="G190" s="127"/>
      <c r="H190" s="127" t="s">
        <v>56</v>
      </c>
      <c r="I190" s="127" t="s">
        <v>2138</v>
      </c>
      <c r="J190" s="127" t="s">
        <v>2138</v>
      </c>
      <c r="K190" s="133"/>
    </row>
    <row r="191" spans="1:11">
      <c r="A191" s="195" t="s">
        <v>2326</v>
      </c>
      <c r="B191" s="117" t="s">
        <v>1157</v>
      </c>
      <c r="C191" s="191">
        <v>14</v>
      </c>
      <c r="D191" s="191" t="s">
        <v>2136</v>
      </c>
      <c r="E191" s="117" t="s">
        <v>1148</v>
      </c>
      <c r="F191" s="118">
        <v>2.2000000000000002</v>
      </c>
      <c r="G191" s="117"/>
      <c r="H191" s="118">
        <v>5</v>
      </c>
      <c r="I191" s="118" t="s">
        <v>2097</v>
      </c>
      <c r="J191" s="117" t="s">
        <v>2138</v>
      </c>
      <c r="K191" s="117" t="s">
        <v>2437</v>
      </c>
    </row>
    <row r="192" spans="1:11">
      <c r="A192" s="195"/>
      <c r="B192" s="117" t="s">
        <v>1159</v>
      </c>
      <c r="C192" s="191"/>
      <c r="D192" s="191"/>
      <c r="E192" s="117" t="s">
        <v>1148</v>
      </c>
      <c r="F192" s="118">
        <v>4.5999999999999996</v>
      </c>
      <c r="G192" s="117"/>
      <c r="H192" s="118">
        <v>9</v>
      </c>
      <c r="I192" s="118" t="s">
        <v>2097</v>
      </c>
      <c r="J192" s="117" t="s">
        <v>2138</v>
      </c>
      <c r="K192" s="117" t="s">
        <v>1122</v>
      </c>
    </row>
    <row r="193" spans="1:11">
      <c r="A193" s="137" t="s">
        <v>2327</v>
      </c>
      <c r="B193" s="127"/>
      <c r="C193" s="127">
        <v>9</v>
      </c>
      <c r="D193" s="127" t="s">
        <v>2137</v>
      </c>
      <c r="E193" s="127" t="s">
        <v>1148</v>
      </c>
      <c r="F193" s="127" t="s">
        <v>1204</v>
      </c>
      <c r="G193" s="127" t="s">
        <v>1099</v>
      </c>
      <c r="H193" s="127" t="s">
        <v>1205</v>
      </c>
      <c r="I193" s="128" t="s">
        <v>2097</v>
      </c>
      <c r="J193" s="127" t="s">
        <v>2138</v>
      </c>
      <c r="K193" s="127"/>
    </row>
    <row r="194" spans="1:11">
      <c r="A194" s="126" t="s">
        <v>2328</v>
      </c>
      <c r="B194" s="117"/>
      <c r="C194" s="117">
        <v>16</v>
      </c>
      <c r="D194" s="117" t="s">
        <v>2137</v>
      </c>
      <c r="E194" s="117" t="s">
        <v>1148</v>
      </c>
      <c r="F194" s="117" t="s">
        <v>1155</v>
      </c>
      <c r="G194" s="117" t="s">
        <v>1368</v>
      </c>
      <c r="H194" s="117" t="s">
        <v>1369</v>
      </c>
      <c r="I194" s="117" t="s">
        <v>2138</v>
      </c>
      <c r="J194" s="117" t="s">
        <v>2138</v>
      </c>
      <c r="K194" s="117"/>
    </row>
    <row r="195" spans="1:11">
      <c r="A195" s="137" t="s">
        <v>2329</v>
      </c>
      <c r="B195" s="127"/>
      <c r="C195" s="127">
        <v>14</v>
      </c>
      <c r="D195" s="127" t="s">
        <v>2137</v>
      </c>
      <c r="E195" s="127" t="s">
        <v>1148</v>
      </c>
      <c r="F195" s="127" t="s">
        <v>1156</v>
      </c>
      <c r="G195" s="127" t="s">
        <v>1368</v>
      </c>
      <c r="H195" s="127" t="s">
        <v>1371</v>
      </c>
      <c r="I195" s="127" t="s">
        <v>2138</v>
      </c>
      <c r="J195" s="127" t="s">
        <v>2138</v>
      </c>
      <c r="K195" s="127"/>
    </row>
    <row r="196" spans="1:11">
      <c r="A196" s="126" t="s">
        <v>223</v>
      </c>
      <c r="B196" s="117"/>
      <c r="C196" s="117">
        <v>10</v>
      </c>
      <c r="D196" s="117" t="s">
        <v>2152</v>
      </c>
      <c r="E196" s="117" t="s">
        <v>10</v>
      </c>
      <c r="F196" s="118">
        <v>1.5</v>
      </c>
      <c r="G196" s="117"/>
      <c r="H196" s="118">
        <v>1.25</v>
      </c>
      <c r="I196" s="118" t="s">
        <v>2097</v>
      </c>
      <c r="J196" s="117" t="s">
        <v>2138</v>
      </c>
      <c r="K196" s="117"/>
    </row>
    <row r="197" spans="1:11">
      <c r="A197" s="137" t="s">
        <v>224</v>
      </c>
      <c r="B197" s="127"/>
      <c r="C197" s="127">
        <v>12</v>
      </c>
      <c r="D197" s="127" t="s">
        <v>2152</v>
      </c>
      <c r="E197" s="127" t="s">
        <v>10</v>
      </c>
      <c r="F197" s="127" t="s">
        <v>225</v>
      </c>
      <c r="G197" s="127"/>
      <c r="H197" s="127" t="s">
        <v>78</v>
      </c>
      <c r="I197" s="127" t="s">
        <v>2097</v>
      </c>
      <c r="J197" s="127" t="s">
        <v>2138</v>
      </c>
      <c r="K197" s="127" t="s">
        <v>1111</v>
      </c>
    </row>
    <row r="198" spans="1:11" ht="48.9">
      <c r="A198" s="126" t="s">
        <v>226</v>
      </c>
      <c r="B198" s="117"/>
      <c r="C198" s="117">
        <v>12</v>
      </c>
      <c r="D198" s="117" t="s">
        <v>2152</v>
      </c>
      <c r="E198" s="117" t="s">
        <v>52</v>
      </c>
      <c r="F198" s="117" t="s">
        <v>2045</v>
      </c>
      <c r="G198" s="117"/>
      <c r="H198" s="117" t="s">
        <v>56</v>
      </c>
      <c r="I198" s="117" t="s">
        <v>2138</v>
      </c>
      <c r="J198" s="117" t="s">
        <v>2138</v>
      </c>
      <c r="K198" s="117"/>
    </row>
    <row r="199" spans="1:11">
      <c r="A199" s="137" t="s">
        <v>2330</v>
      </c>
      <c r="B199" s="127"/>
      <c r="C199" s="127">
        <v>0</v>
      </c>
      <c r="D199" s="127" t="s">
        <v>2138</v>
      </c>
      <c r="E199" s="127" t="s">
        <v>52</v>
      </c>
      <c r="F199" s="127" t="s">
        <v>1216</v>
      </c>
      <c r="G199" s="127"/>
      <c r="H199" s="127" t="s">
        <v>56</v>
      </c>
      <c r="I199" s="127" t="s">
        <v>2138</v>
      </c>
      <c r="J199" s="127" t="s">
        <v>2138</v>
      </c>
      <c r="K199" s="127"/>
    </row>
    <row r="200" spans="1:11">
      <c r="A200" s="126" t="s">
        <v>227</v>
      </c>
      <c r="B200" s="117"/>
      <c r="C200" s="117">
        <v>6</v>
      </c>
      <c r="D200" s="117" t="s">
        <v>2137</v>
      </c>
      <c r="E200" s="117" t="s">
        <v>10</v>
      </c>
      <c r="F200" s="118">
        <v>1.53</v>
      </c>
      <c r="G200" s="117"/>
      <c r="H200" s="118">
        <v>3</v>
      </c>
      <c r="I200" s="118" t="s">
        <v>2094</v>
      </c>
      <c r="J200" s="117" t="s">
        <v>2138</v>
      </c>
      <c r="K200" s="117" t="s">
        <v>228</v>
      </c>
    </row>
    <row r="201" spans="1:11">
      <c r="A201" s="137" t="s">
        <v>229</v>
      </c>
      <c r="B201" s="127"/>
      <c r="C201" s="127">
        <v>9</v>
      </c>
      <c r="D201" s="127" t="s">
        <v>2137</v>
      </c>
      <c r="E201" s="127" t="s">
        <v>10</v>
      </c>
      <c r="F201" s="128">
        <v>1.3</v>
      </c>
      <c r="G201" s="127"/>
      <c r="H201" s="128">
        <v>1</v>
      </c>
      <c r="I201" s="128" t="s">
        <v>2094</v>
      </c>
      <c r="J201" s="127" t="s">
        <v>2138</v>
      </c>
      <c r="K201" s="127"/>
    </row>
    <row r="202" spans="1:11">
      <c r="A202" s="126" t="s">
        <v>230</v>
      </c>
      <c r="B202" s="117"/>
      <c r="C202" s="117">
        <v>2</v>
      </c>
      <c r="D202" s="117" t="s">
        <v>2137</v>
      </c>
      <c r="E202" s="117" t="s">
        <v>10</v>
      </c>
      <c r="F202" s="118">
        <v>0.8</v>
      </c>
      <c r="G202" s="117"/>
      <c r="H202" s="118">
        <v>0.8</v>
      </c>
      <c r="I202" s="118" t="s">
        <v>2094</v>
      </c>
      <c r="J202" s="117" t="s">
        <v>2138</v>
      </c>
      <c r="K202" s="117"/>
    </row>
    <row r="203" spans="1:11">
      <c r="A203" s="137" t="s">
        <v>231</v>
      </c>
      <c r="B203" s="127"/>
      <c r="C203" s="127">
        <v>3</v>
      </c>
      <c r="D203" s="127" t="s">
        <v>2137</v>
      </c>
      <c r="E203" s="127" t="s">
        <v>10</v>
      </c>
      <c r="F203" s="128">
        <v>1.25</v>
      </c>
      <c r="G203" s="127"/>
      <c r="H203" s="128">
        <v>2</v>
      </c>
      <c r="I203" s="128" t="s">
        <v>2094</v>
      </c>
      <c r="J203" s="127" t="s">
        <v>2138</v>
      </c>
      <c r="K203" s="127"/>
    </row>
    <row r="204" spans="1:11">
      <c r="A204" s="126" t="s">
        <v>232</v>
      </c>
      <c r="B204" s="117"/>
      <c r="C204" s="117">
        <v>8</v>
      </c>
      <c r="D204" s="117" t="s">
        <v>2137</v>
      </c>
      <c r="E204" s="117" t="s">
        <v>10</v>
      </c>
      <c r="F204" s="118">
        <v>1.3</v>
      </c>
      <c r="G204" s="117"/>
      <c r="H204" s="118">
        <v>1</v>
      </c>
      <c r="I204" s="118" t="s">
        <v>2094</v>
      </c>
      <c r="J204" s="117" t="s">
        <v>2138</v>
      </c>
      <c r="K204" s="117"/>
    </row>
    <row r="205" spans="1:11" ht="32.6">
      <c r="A205" s="137" t="s">
        <v>233</v>
      </c>
      <c r="B205" s="127"/>
      <c r="C205" s="127">
        <v>20</v>
      </c>
      <c r="D205" s="127" t="s">
        <v>2137</v>
      </c>
      <c r="E205" s="127" t="s">
        <v>10</v>
      </c>
      <c r="F205" s="127" t="s">
        <v>234</v>
      </c>
      <c r="G205" s="127"/>
      <c r="H205" s="127" t="s">
        <v>235</v>
      </c>
      <c r="I205" s="128" t="s">
        <v>2094</v>
      </c>
      <c r="J205" s="127" t="s">
        <v>2138</v>
      </c>
      <c r="K205" s="127"/>
    </row>
    <row r="206" spans="1:11">
      <c r="A206" s="126" t="s">
        <v>2331</v>
      </c>
      <c r="B206" s="117"/>
      <c r="C206" s="117">
        <v>13</v>
      </c>
      <c r="D206" s="117" t="s">
        <v>2137</v>
      </c>
      <c r="E206" s="117" t="s">
        <v>1148</v>
      </c>
      <c r="F206" s="118">
        <v>1.55</v>
      </c>
      <c r="G206" s="117"/>
      <c r="H206" s="118">
        <v>1</v>
      </c>
      <c r="I206" s="118" t="s">
        <v>2094</v>
      </c>
      <c r="J206" s="117" t="s">
        <v>2138</v>
      </c>
      <c r="K206" s="117"/>
    </row>
  </sheetData>
  <mergeCells count="110">
    <mergeCell ref="A1:K1"/>
    <mergeCell ref="A2:K2"/>
    <mergeCell ref="A3:K3"/>
    <mergeCell ref="A21:A23"/>
    <mergeCell ref="A24:A25"/>
    <mergeCell ref="A26:A27"/>
    <mergeCell ref="A33:A34"/>
    <mergeCell ref="A37:A38"/>
    <mergeCell ref="A5:A6"/>
    <mergeCell ref="A7:A8"/>
    <mergeCell ref="A9:A12"/>
    <mergeCell ref="A14:A15"/>
    <mergeCell ref="A17:A18"/>
    <mergeCell ref="A56:A57"/>
    <mergeCell ref="A61:A62"/>
    <mergeCell ref="A63:A64"/>
    <mergeCell ref="A65:A66"/>
    <mergeCell ref="A67:A69"/>
    <mergeCell ref="A41:A43"/>
    <mergeCell ref="A44:A45"/>
    <mergeCell ref="A46:A47"/>
    <mergeCell ref="A48:A49"/>
    <mergeCell ref="A53:A54"/>
    <mergeCell ref="A88:A89"/>
    <mergeCell ref="A90:A91"/>
    <mergeCell ref="A92:A93"/>
    <mergeCell ref="A94:A96"/>
    <mergeCell ref="A97:A100"/>
    <mergeCell ref="A71:A72"/>
    <mergeCell ref="A73:A74"/>
    <mergeCell ref="A75:A77"/>
    <mergeCell ref="A79:A80"/>
    <mergeCell ref="A81:A84"/>
    <mergeCell ref="A120:A121"/>
    <mergeCell ref="A122:A125"/>
    <mergeCell ref="A126:A130"/>
    <mergeCell ref="A133:A135"/>
    <mergeCell ref="A139:A140"/>
    <mergeCell ref="A103:A104"/>
    <mergeCell ref="A105:A108"/>
    <mergeCell ref="A112:A113"/>
    <mergeCell ref="A115:A116"/>
    <mergeCell ref="A118:A119"/>
    <mergeCell ref="A170:A171"/>
    <mergeCell ref="A172:A177"/>
    <mergeCell ref="A179:A180"/>
    <mergeCell ref="A182:A183"/>
    <mergeCell ref="A191:A192"/>
    <mergeCell ref="A142:A143"/>
    <mergeCell ref="A144:A148"/>
    <mergeCell ref="A158:A159"/>
    <mergeCell ref="A163:A164"/>
    <mergeCell ref="A168:A169"/>
    <mergeCell ref="C73:C74"/>
    <mergeCell ref="C79:C80"/>
    <mergeCell ref="C81:C82"/>
    <mergeCell ref="C83:C84"/>
    <mergeCell ref="C92:C93"/>
    <mergeCell ref="C21:C22"/>
    <mergeCell ref="C37:C38"/>
    <mergeCell ref="C53:C54"/>
    <mergeCell ref="C65:C66"/>
    <mergeCell ref="C71:C72"/>
    <mergeCell ref="C158:C159"/>
    <mergeCell ref="C115:C116"/>
    <mergeCell ref="C118:C119"/>
    <mergeCell ref="C122:C125"/>
    <mergeCell ref="C126:C127"/>
    <mergeCell ref="C128:C130"/>
    <mergeCell ref="C94:C96"/>
    <mergeCell ref="C97:C98"/>
    <mergeCell ref="C99:C100"/>
    <mergeCell ref="C103:C104"/>
    <mergeCell ref="C105:C107"/>
    <mergeCell ref="C179:C180"/>
    <mergeCell ref="C182:C183"/>
    <mergeCell ref="C191:C192"/>
    <mergeCell ref="C133:C135"/>
    <mergeCell ref="D21:D22"/>
    <mergeCell ref="D71:D72"/>
    <mergeCell ref="D73:D74"/>
    <mergeCell ref="D79:D80"/>
    <mergeCell ref="D81:D82"/>
    <mergeCell ref="D83:D84"/>
    <mergeCell ref="D103:D104"/>
    <mergeCell ref="D105:D107"/>
    <mergeCell ref="D115:D116"/>
    <mergeCell ref="D126:D127"/>
    <mergeCell ref="D128:D130"/>
    <mergeCell ref="C168:C169"/>
    <mergeCell ref="C170:C171"/>
    <mergeCell ref="C172:C173"/>
    <mergeCell ref="C174:C175"/>
    <mergeCell ref="C176:C177"/>
    <mergeCell ref="C139:C140"/>
    <mergeCell ref="C142:C143"/>
    <mergeCell ref="C144:C147"/>
    <mergeCell ref="D191:D192"/>
    <mergeCell ref="D176:D177"/>
    <mergeCell ref="D182:D183"/>
    <mergeCell ref="D163:D164"/>
    <mergeCell ref="D168:D169"/>
    <mergeCell ref="D170:D171"/>
    <mergeCell ref="D172:D173"/>
    <mergeCell ref="D174:D175"/>
    <mergeCell ref="D133:D135"/>
    <mergeCell ref="D139:D140"/>
    <mergeCell ref="D142:D143"/>
    <mergeCell ref="D144:D147"/>
    <mergeCell ref="D158:D159"/>
  </mergeCells>
  <phoneticPr fontId="18" type="noConversion"/>
  <pageMargins left="0.74803149606299213" right="0.74803149606299213" top="0.98425196850393704" bottom="0.98425196850393704" header="0.51181102362204722" footer="0.51181102362204722"/>
  <pageSetup paperSize="9" scale="4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A057D-CB2D-4036-B45A-CB0BA2EF8E60}">
  <sheetPr codeName="Sheet6"/>
  <dimension ref="A1:I47"/>
  <sheetViews>
    <sheetView topLeftCell="A21" zoomScale="60" zoomScaleNormal="60" workbookViewId="0">
      <selection activeCell="I38" sqref="I38"/>
    </sheetView>
  </sheetViews>
  <sheetFormatPr defaultRowHeight="16.3"/>
  <cols>
    <col min="1" max="1" width="20.07421875" style="51" customWidth="1"/>
    <col min="2" max="2" width="18.15234375" style="17" customWidth="1"/>
    <col min="3" max="4" width="9.23046875" style="17"/>
    <col min="5" max="5" width="34.4609375" style="17" customWidth="1"/>
    <col min="6" max="6" width="9.23046875" style="17"/>
    <col min="7" max="7" width="13.921875" style="17" customWidth="1"/>
    <col min="8" max="8" width="24.3046875" style="17" customWidth="1"/>
    <col min="9" max="9" width="35" style="17" customWidth="1"/>
  </cols>
  <sheetData>
    <row r="1" spans="1:9" ht="57.9" customHeight="1">
      <c r="A1" s="197" t="s">
        <v>1842</v>
      </c>
      <c r="B1" s="198"/>
      <c r="C1" s="198"/>
      <c r="D1" s="198"/>
      <c r="E1" s="198"/>
      <c r="F1" s="198"/>
      <c r="G1" s="198"/>
      <c r="H1" s="198"/>
      <c r="I1" s="199"/>
    </row>
    <row r="2" spans="1:9" ht="32.6">
      <c r="A2" s="17" t="s">
        <v>1478</v>
      </c>
      <c r="B2" s="17" t="s">
        <v>1</v>
      </c>
      <c r="C2" s="17" t="s">
        <v>2</v>
      </c>
      <c r="D2" s="17" t="s">
        <v>3</v>
      </c>
      <c r="E2" s="17" t="s">
        <v>1530</v>
      </c>
      <c r="F2" s="17" t="s">
        <v>5</v>
      </c>
      <c r="G2" s="17" t="s">
        <v>1098</v>
      </c>
      <c r="H2" s="17" t="s">
        <v>6</v>
      </c>
      <c r="I2" s="17" t="s">
        <v>7</v>
      </c>
    </row>
    <row r="3" spans="1:9">
      <c r="A3" s="51" t="s">
        <v>1479</v>
      </c>
      <c r="B3" s="17" t="s">
        <v>42</v>
      </c>
      <c r="C3" s="17">
        <v>20</v>
      </c>
      <c r="D3" s="17" t="s">
        <v>10</v>
      </c>
      <c r="E3" s="17">
        <v>1.85</v>
      </c>
      <c r="F3" s="17" t="s">
        <v>1480</v>
      </c>
      <c r="G3" s="17" t="s">
        <v>1473</v>
      </c>
      <c r="H3" s="17">
        <v>2</v>
      </c>
      <c r="I3" s="17" t="s">
        <v>1480</v>
      </c>
    </row>
    <row r="4" spans="1:9">
      <c r="A4" s="51" t="s">
        <v>1480</v>
      </c>
      <c r="B4" s="17" t="s">
        <v>44</v>
      </c>
      <c r="C4" s="17">
        <v>10</v>
      </c>
      <c r="D4" s="17" t="s">
        <v>10</v>
      </c>
      <c r="E4" s="17" t="s">
        <v>1481</v>
      </c>
      <c r="F4" s="17" t="s">
        <v>1480</v>
      </c>
      <c r="G4" s="17" t="s">
        <v>1473</v>
      </c>
      <c r="H4" s="17" t="s">
        <v>422</v>
      </c>
      <c r="I4" s="17" t="s">
        <v>1482</v>
      </c>
    </row>
    <row r="5" spans="1:9">
      <c r="A5" s="51" t="s">
        <v>1483</v>
      </c>
      <c r="B5" s="17" t="s">
        <v>42</v>
      </c>
      <c r="C5" s="17">
        <v>26</v>
      </c>
      <c r="D5" s="17" t="s">
        <v>10</v>
      </c>
      <c r="E5" s="17" t="s">
        <v>1484</v>
      </c>
      <c r="F5" s="17" t="s">
        <v>1480</v>
      </c>
      <c r="G5" s="17" t="s">
        <v>1480</v>
      </c>
      <c r="H5" s="17" t="s">
        <v>410</v>
      </c>
      <c r="I5" s="17" t="s">
        <v>1480</v>
      </c>
    </row>
    <row r="6" spans="1:9">
      <c r="A6" s="51" t="s">
        <v>1480</v>
      </c>
      <c r="B6" s="17" t="s">
        <v>44</v>
      </c>
      <c r="C6" s="17">
        <v>12</v>
      </c>
      <c r="D6" s="17" t="s">
        <v>10</v>
      </c>
      <c r="E6" s="17" t="s">
        <v>1485</v>
      </c>
      <c r="F6" s="17" t="s">
        <v>1480</v>
      </c>
      <c r="G6" s="17" t="s">
        <v>1480</v>
      </c>
      <c r="H6" s="17" t="s">
        <v>1365</v>
      </c>
      <c r="I6" s="17" t="s">
        <v>1486</v>
      </c>
    </row>
    <row r="7" spans="1:9">
      <c r="A7" s="51" t="s">
        <v>1487</v>
      </c>
      <c r="B7" s="17" t="s">
        <v>1480</v>
      </c>
      <c r="C7" s="17">
        <v>9</v>
      </c>
      <c r="D7" s="17" t="s">
        <v>10</v>
      </c>
      <c r="E7" s="17">
        <v>1.45</v>
      </c>
      <c r="F7" s="17" t="s">
        <v>1480</v>
      </c>
      <c r="G7" s="17" t="s">
        <v>1480</v>
      </c>
      <c r="H7" s="17">
        <v>2</v>
      </c>
      <c r="I7" s="17" t="s">
        <v>67</v>
      </c>
    </row>
    <row r="8" spans="1:9">
      <c r="A8" s="51" t="s">
        <v>1158</v>
      </c>
      <c r="B8" s="17" t="s">
        <v>1157</v>
      </c>
      <c r="C8" s="17">
        <v>16</v>
      </c>
      <c r="D8" s="17" t="s">
        <v>1148</v>
      </c>
      <c r="E8" s="18" t="s">
        <v>1860</v>
      </c>
      <c r="H8" s="18" t="s">
        <v>1862</v>
      </c>
    </row>
    <row r="9" spans="1:9">
      <c r="B9" s="17" t="s">
        <v>1159</v>
      </c>
      <c r="D9" s="17" t="s">
        <v>1148</v>
      </c>
      <c r="E9" s="18" t="s">
        <v>1861</v>
      </c>
      <c r="H9" s="18" t="s">
        <v>1863</v>
      </c>
    </row>
    <row r="10" spans="1:9">
      <c r="A10" s="51" t="s">
        <v>1488</v>
      </c>
      <c r="B10" s="17" t="s">
        <v>19</v>
      </c>
      <c r="C10" s="17">
        <v>8</v>
      </c>
      <c r="D10" s="17" t="s">
        <v>10</v>
      </c>
      <c r="E10" s="17">
        <v>1.3</v>
      </c>
      <c r="F10" s="17" t="s">
        <v>1480</v>
      </c>
      <c r="G10" s="17" t="s">
        <v>1480</v>
      </c>
      <c r="H10" s="17">
        <v>2</v>
      </c>
      <c r="I10" s="17" t="s">
        <v>1480</v>
      </c>
    </row>
    <row r="11" spans="1:9">
      <c r="A11" s="51" t="s">
        <v>1480</v>
      </c>
      <c r="B11" s="17" t="s">
        <v>9</v>
      </c>
      <c r="C11" s="17">
        <v>10</v>
      </c>
      <c r="D11" s="17" t="s">
        <v>10</v>
      </c>
      <c r="E11" s="17" t="s">
        <v>1489</v>
      </c>
      <c r="F11" s="17" t="s">
        <v>1480</v>
      </c>
      <c r="G11" s="17" t="s">
        <v>1480</v>
      </c>
      <c r="H11" s="17" t="s">
        <v>1490</v>
      </c>
      <c r="I11" s="17" t="s">
        <v>1480</v>
      </c>
    </row>
    <row r="12" spans="1:9">
      <c r="A12" s="51" t="s">
        <v>1491</v>
      </c>
      <c r="B12" s="17" t="s">
        <v>1480</v>
      </c>
      <c r="C12" s="17">
        <v>13</v>
      </c>
      <c r="D12" s="17" t="s">
        <v>10</v>
      </c>
      <c r="E12" s="17" t="s">
        <v>1492</v>
      </c>
      <c r="F12" s="17" t="s">
        <v>1480</v>
      </c>
      <c r="G12" s="17" t="s">
        <v>1480</v>
      </c>
      <c r="H12" s="17" t="s">
        <v>1493</v>
      </c>
      <c r="I12" s="17" t="s">
        <v>1480</v>
      </c>
    </row>
    <row r="13" spans="1:9">
      <c r="A13" s="51" t="s">
        <v>1494</v>
      </c>
      <c r="B13" s="17" t="s">
        <v>1480</v>
      </c>
      <c r="C13" s="17">
        <v>7</v>
      </c>
      <c r="D13" s="17" t="s">
        <v>10</v>
      </c>
      <c r="E13" s="17">
        <v>1.4</v>
      </c>
      <c r="F13" s="17" t="s">
        <v>1480</v>
      </c>
      <c r="G13" s="17" t="s">
        <v>1480</v>
      </c>
      <c r="H13" s="17">
        <v>1.5</v>
      </c>
      <c r="I13" s="17" t="s">
        <v>1480</v>
      </c>
    </row>
    <row r="14" spans="1:9">
      <c r="A14" s="51" t="s">
        <v>1480</v>
      </c>
      <c r="B14" s="17" t="s">
        <v>9</v>
      </c>
      <c r="C14" s="17">
        <v>7</v>
      </c>
      <c r="D14" s="17" t="s">
        <v>10</v>
      </c>
      <c r="E14" s="17" t="s">
        <v>1495</v>
      </c>
      <c r="F14" s="17" t="s">
        <v>1480</v>
      </c>
      <c r="G14" s="17" t="s">
        <v>1480</v>
      </c>
      <c r="H14" s="17" t="s">
        <v>1496</v>
      </c>
      <c r="I14" s="17" t="s">
        <v>1480</v>
      </c>
    </row>
    <row r="15" spans="1:9">
      <c r="A15" s="51" t="s">
        <v>1497</v>
      </c>
      <c r="B15" s="17" t="s">
        <v>1480</v>
      </c>
      <c r="C15" s="17">
        <v>8</v>
      </c>
      <c r="D15" s="17" t="s">
        <v>10</v>
      </c>
      <c r="E15" s="17">
        <v>1.75</v>
      </c>
      <c r="F15" s="17" t="s">
        <v>1480</v>
      </c>
      <c r="G15" s="17" t="s">
        <v>1468</v>
      </c>
      <c r="H15" s="17">
        <v>1.5</v>
      </c>
      <c r="I15" s="17" t="s">
        <v>1480</v>
      </c>
    </row>
    <row r="16" spans="1:9">
      <c r="A16" s="51" t="s">
        <v>1498</v>
      </c>
      <c r="B16" s="17" t="s">
        <v>1480</v>
      </c>
      <c r="C16" s="17">
        <v>11</v>
      </c>
      <c r="D16" s="17" t="s">
        <v>10</v>
      </c>
      <c r="E16" s="17" t="s">
        <v>1372</v>
      </c>
      <c r="F16" s="17" t="s">
        <v>1480</v>
      </c>
      <c r="G16" s="17" t="s">
        <v>1468</v>
      </c>
      <c r="H16" s="17" t="s">
        <v>475</v>
      </c>
      <c r="I16" s="17" t="s">
        <v>1499</v>
      </c>
    </row>
    <row r="17" spans="1:9">
      <c r="A17" s="51" t="s">
        <v>1500</v>
      </c>
      <c r="B17" s="17" t="s">
        <v>19</v>
      </c>
      <c r="C17" s="17">
        <v>8</v>
      </c>
      <c r="D17" s="17" t="s">
        <v>10</v>
      </c>
      <c r="E17" s="17" t="s">
        <v>1501</v>
      </c>
      <c r="F17" s="17" t="s">
        <v>1480</v>
      </c>
      <c r="G17" s="17" t="s">
        <v>1480</v>
      </c>
      <c r="H17" s="17" t="s">
        <v>1440</v>
      </c>
      <c r="I17" s="17" t="s">
        <v>1480</v>
      </c>
    </row>
    <row r="18" spans="1:9">
      <c r="A18" s="51" t="s">
        <v>1480</v>
      </c>
      <c r="B18" s="17" t="s">
        <v>9</v>
      </c>
      <c r="C18" s="17">
        <v>10</v>
      </c>
      <c r="D18" s="17" t="s">
        <v>10</v>
      </c>
      <c r="E18" s="17">
        <v>2.5099999999999998</v>
      </c>
      <c r="F18" s="17" t="s">
        <v>1480</v>
      </c>
      <c r="G18" s="17" t="s">
        <v>1480</v>
      </c>
      <c r="H18" s="17">
        <v>5.5</v>
      </c>
      <c r="I18" s="17" t="s">
        <v>1480</v>
      </c>
    </row>
    <row r="19" spans="1:9">
      <c r="A19" s="51" t="s">
        <v>1502</v>
      </c>
      <c r="B19" s="17" t="s">
        <v>125</v>
      </c>
      <c r="C19" s="17">
        <v>30</v>
      </c>
      <c r="D19" s="17" t="s">
        <v>32</v>
      </c>
      <c r="E19" s="17">
        <v>315</v>
      </c>
      <c r="F19" s="17" t="s">
        <v>121</v>
      </c>
      <c r="G19" s="17" t="s">
        <v>1480</v>
      </c>
      <c r="H19" s="17">
        <v>30</v>
      </c>
      <c r="I19" s="17" t="s">
        <v>1480</v>
      </c>
    </row>
    <row r="20" spans="1:9">
      <c r="A20" s="51" t="s">
        <v>1480</v>
      </c>
      <c r="B20" s="17" t="s">
        <v>89</v>
      </c>
      <c r="D20" s="17" t="s">
        <v>32</v>
      </c>
      <c r="E20" s="17" t="s">
        <v>1503</v>
      </c>
      <c r="F20" s="17" t="s">
        <v>121</v>
      </c>
      <c r="G20" s="17" t="s">
        <v>1480</v>
      </c>
      <c r="H20" s="17" t="s">
        <v>1504</v>
      </c>
      <c r="I20" s="17" t="s">
        <v>1395</v>
      </c>
    </row>
    <row r="21" spans="1:9">
      <c r="A21" s="51" t="s">
        <v>1480</v>
      </c>
      <c r="B21" s="17" t="s">
        <v>1505</v>
      </c>
      <c r="C21" s="17">
        <v>12</v>
      </c>
      <c r="D21" s="17" t="s">
        <v>32</v>
      </c>
      <c r="E21" s="17">
        <v>315</v>
      </c>
      <c r="F21" s="17" t="s">
        <v>121</v>
      </c>
      <c r="G21" s="17" t="s">
        <v>1480</v>
      </c>
      <c r="H21" s="17">
        <v>30</v>
      </c>
      <c r="I21" s="17" t="s">
        <v>1395</v>
      </c>
    </row>
    <row r="22" spans="1:9">
      <c r="A22" s="51" t="s">
        <v>1480</v>
      </c>
      <c r="B22" s="17" t="s">
        <v>127</v>
      </c>
      <c r="D22" s="17" t="s">
        <v>32</v>
      </c>
      <c r="E22" s="17">
        <v>400</v>
      </c>
      <c r="F22" s="17" t="s">
        <v>121</v>
      </c>
      <c r="G22" s="17" t="s">
        <v>1480</v>
      </c>
      <c r="H22" s="17">
        <v>45</v>
      </c>
      <c r="I22" s="17" t="s">
        <v>1480</v>
      </c>
    </row>
    <row r="23" spans="1:9">
      <c r="A23" s="51" t="s">
        <v>1506</v>
      </c>
      <c r="B23" s="17" t="s">
        <v>1480</v>
      </c>
      <c r="C23" s="17">
        <v>18</v>
      </c>
      <c r="D23" s="17" t="s">
        <v>10</v>
      </c>
      <c r="E23" s="17">
        <v>1.38</v>
      </c>
      <c r="F23" s="17" t="s">
        <v>1480</v>
      </c>
      <c r="G23" s="17" t="s">
        <v>1421</v>
      </c>
      <c r="H23" s="17">
        <v>4</v>
      </c>
      <c r="I23" s="17" t="s">
        <v>1507</v>
      </c>
    </row>
    <row r="24" spans="1:9">
      <c r="A24" s="51" t="s">
        <v>1480</v>
      </c>
      <c r="B24" s="17" t="s">
        <v>9</v>
      </c>
      <c r="C24" s="17">
        <v>8</v>
      </c>
      <c r="D24" s="17" t="s">
        <v>32</v>
      </c>
      <c r="E24" s="17">
        <v>128</v>
      </c>
      <c r="F24" s="17" t="s">
        <v>148</v>
      </c>
      <c r="G24" s="17" t="s">
        <v>1421</v>
      </c>
      <c r="H24" s="17">
        <v>15</v>
      </c>
      <c r="I24" s="17" t="s">
        <v>1480</v>
      </c>
    </row>
    <row r="25" spans="1:9">
      <c r="A25" s="51" t="s">
        <v>1508</v>
      </c>
      <c r="B25" s="17" t="s">
        <v>1509</v>
      </c>
      <c r="C25" s="17">
        <v>19</v>
      </c>
      <c r="D25" s="17" t="s">
        <v>10</v>
      </c>
      <c r="E25" s="17">
        <v>0.8</v>
      </c>
      <c r="F25" s="17" t="s">
        <v>1480</v>
      </c>
      <c r="G25" s="17" t="s">
        <v>1421</v>
      </c>
      <c r="H25" s="17">
        <v>2.25</v>
      </c>
      <c r="I25" s="17" t="s">
        <v>1510</v>
      </c>
    </row>
    <row r="26" spans="1:9">
      <c r="A26" s="51" t="s">
        <v>1480</v>
      </c>
      <c r="B26" s="17" t="s">
        <v>1511</v>
      </c>
      <c r="D26" s="17" t="s">
        <v>32</v>
      </c>
      <c r="E26" s="17">
        <v>106</v>
      </c>
      <c r="F26" s="17" t="s">
        <v>148</v>
      </c>
      <c r="G26" s="17" t="s">
        <v>1421</v>
      </c>
      <c r="H26" s="17">
        <v>6</v>
      </c>
      <c r="I26" s="17" t="s">
        <v>1480</v>
      </c>
    </row>
    <row r="27" spans="1:9">
      <c r="A27" s="51" t="s">
        <v>1480</v>
      </c>
      <c r="B27" s="17" t="s">
        <v>1512</v>
      </c>
      <c r="D27" s="17" t="s">
        <v>10</v>
      </c>
      <c r="E27" s="17">
        <v>1.2</v>
      </c>
      <c r="F27" s="17" t="s">
        <v>1480</v>
      </c>
      <c r="G27" s="17" t="s">
        <v>1421</v>
      </c>
      <c r="H27" s="17">
        <v>5.4</v>
      </c>
      <c r="I27" s="17" t="s">
        <v>1480</v>
      </c>
    </row>
    <row r="28" spans="1:9">
      <c r="A28" s="51" t="s">
        <v>1480</v>
      </c>
      <c r="B28" s="17" t="s">
        <v>1513</v>
      </c>
      <c r="D28" s="17" t="s">
        <v>32</v>
      </c>
      <c r="E28" s="17">
        <v>134</v>
      </c>
      <c r="F28" s="17" t="s">
        <v>1480</v>
      </c>
      <c r="G28" s="17" t="s">
        <v>1421</v>
      </c>
      <c r="H28" s="17">
        <v>6</v>
      </c>
      <c r="I28" s="17" t="s">
        <v>1480</v>
      </c>
    </row>
    <row r="29" spans="1:9">
      <c r="A29" s="51" t="s">
        <v>1846</v>
      </c>
      <c r="D29" s="17" t="s">
        <v>1173</v>
      </c>
      <c r="E29" s="17">
        <v>50</v>
      </c>
      <c r="F29" s="17" t="s">
        <v>1187</v>
      </c>
      <c r="G29" s="17" t="s">
        <v>1095</v>
      </c>
      <c r="H29" s="17">
        <v>0</v>
      </c>
    </row>
    <row r="30" spans="1:9" ht="32.6">
      <c r="A30" s="51" t="s">
        <v>1843</v>
      </c>
      <c r="C30" s="17">
        <v>22</v>
      </c>
      <c r="D30" s="17" t="s">
        <v>10</v>
      </c>
      <c r="E30" s="17" t="s">
        <v>1844</v>
      </c>
      <c r="G30" s="17" t="s">
        <v>855</v>
      </c>
      <c r="H30" s="17" t="s">
        <v>1845</v>
      </c>
    </row>
    <row r="31" spans="1:9" ht="48.9">
      <c r="A31" s="51" t="s">
        <v>1847</v>
      </c>
      <c r="C31" s="17">
        <v>14</v>
      </c>
      <c r="D31" s="17" t="s">
        <v>1173</v>
      </c>
      <c r="E31" s="18" t="s">
        <v>1192</v>
      </c>
      <c r="F31" s="17" t="s">
        <v>1189</v>
      </c>
      <c r="G31" s="17" t="s">
        <v>1099</v>
      </c>
      <c r="H31" s="18" t="s">
        <v>1191</v>
      </c>
      <c r="I31" s="17" t="s">
        <v>1190</v>
      </c>
    </row>
    <row r="32" spans="1:9" ht="32.6">
      <c r="A32" s="51" t="s">
        <v>1514</v>
      </c>
      <c r="B32" s="17" t="s">
        <v>1515</v>
      </c>
      <c r="C32" s="17">
        <v>15</v>
      </c>
      <c r="D32" s="17" t="s">
        <v>10</v>
      </c>
      <c r="E32" s="17">
        <v>0.5</v>
      </c>
      <c r="F32" s="17" t="s">
        <v>1480</v>
      </c>
      <c r="G32" s="17" t="s">
        <v>1480</v>
      </c>
      <c r="H32" s="17">
        <v>1</v>
      </c>
      <c r="I32" s="17" t="s">
        <v>1516</v>
      </c>
    </row>
    <row r="33" spans="1:9">
      <c r="A33" s="51" t="s">
        <v>1480</v>
      </c>
      <c r="B33" s="17" t="s">
        <v>1517</v>
      </c>
      <c r="D33" s="17" t="s">
        <v>32</v>
      </c>
      <c r="E33" s="17" t="s">
        <v>1848</v>
      </c>
      <c r="F33" s="17" t="s">
        <v>121</v>
      </c>
      <c r="G33" s="17" t="s">
        <v>1480</v>
      </c>
      <c r="H33" s="17">
        <v>0</v>
      </c>
      <c r="I33" s="17" t="s">
        <v>1480</v>
      </c>
    </row>
    <row r="34" spans="1:9">
      <c r="A34" s="51" t="s">
        <v>1480</v>
      </c>
      <c r="B34" s="17" t="s">
        <v>1406</v>
      </c>
      <c r="C34" s="17">
        <v>10</v>
      </c>
      <c r="D34" s="17" t="s">
        <v>10</v>
      </c>
      <c r="E34" s="17">
        <v>0.75</v>
      </c>
      <c r="F34" s="17" t="s">
        <v>1480</v>
      </c>
      <c r="G34" s="17" t="s">
        <v>1480</v>
      </c>
      <c r="H34" s="17">
        <v>1</v>
      </c>
      <c r="I34" s="17" t="s">
        <v>1480</v>
      </c>
    </row>
    <row r="35" spans="1:9" ht="32.6">
      <c r="A35" s="51" t="s">
        <v>1480</v>
      </c>
      <c r="B35" s="17" t="s">
        <v>1517</v>
      </c>
      <c r="D35" s="17" t="s">
        <v>32</v>
      </c>
      <c r="E35" s="17" t="s">
        <v>1849</v>
      </c>
      <c r="F35" s="17" t="s">
        <v>121</v>
      </c>
      <c r="G35" s="17" t="s">
        <v>1480</v>
      </c>
      <c r="H35" s="17" t="s">
        <v>856</v>
      </c>
      <c r="I35" s="17" t="s">
        <v>1480</v>
      </c>
    </row>
    <row r="36" spans="1:9">
      <c r="A36" s="51" t="s">
        <v>1480</v>
      </c>
      <c r="B36" s="17" t="s">
        <v>1409</v>
      </c>
      <c r="C36" s="17">
        <v>10</v>
      </c>
      <c r="D36" s="17" t="s">
        <v>10</v>
      </c>
      <c r="E36" s="17">
        <v>0.8</v>
      </c>
      <c r="F36" s="17" t="s">
        <v>1480</v>
      </c>
      <c r="G36" s="17" t="s">
        <v>1480</v>
      </c>
      <c r="H36" s="17">
        <v>1</v>
      </c>
      <c r="I36" s="17" t="s">
        <v>1480</v>
      </c>
    </row>
    <row r="37" spans="1:9">
      <c r="A37" s="51" t="s">
        <v>1480</v>
      </c>
      <c r="B37" s="17" t="s">
        <v>1480</v>
      </c>
      <c r="D37" s="17" t="s">
        <v>32</v>
      </c>
      <c r="E37" s="17" t="s">
        <v>1851</v>
      </c>
      <c r="F37" s="17" t="s">
        <v>121</v>
      </c>
      <c r="G37" s="17" t="s">
        <v>1480</v>
      </c>
      <c r="H37" s="17">
        <v>11</v>
      </c>
      <c r="I37" s="17" t="s">
        <v>1395</v>
      </c>
    </row>
    <row r="38" spans="1:9" ht="32.6">
      <c r="A38" s="51" t="s">
        <v>1518</v>
      </c>
      <c r="B38" s="17" t="s">
        <v>125</v>
      </c>
      <c r="C38" s="17">
        <v>18</v>
      </c>
      <c r="D38" s="17" t="s">
        <v>32</v>
      </c>
      <c r="E38" s="17" t="s">
        <v>1850</v>
      </c>
      <c r="F38" s="17" t="s">
        <v>121</v>
      </c>
      <c r="G38" s="17" t="s">
        <v>28</v>
      </c>
      <c r="H38" s="17">
        <v>5</v>
      </c>
      <c r="I38" s="17" t="s">
        <v>1480</v>
      </c>
    </row>
    <row r="39" spans="1:9" ht="32.6">
      <c r="A39" s="51" t="s">
        <v>1480</v>
      </c>
      <c r="B39" s="17" t="s">
        <v>89</v>
      </c>
      <c r="D39" s="17" t="s">
        <v>32</v>
      </c>
      <c r="E39" s="17" t="s">
        <v>1852</v>
      </c>
      <c r="F39" s="17" t="s">
        <v>121</v>
      </c>
      <c r="G39" s="17" t="s">
        <v>28</v>
      </c>
      <c r="H39" s="17">
        <v>10</v>
      </c>
      <c r="I39" s="17" t="s">
        <v>1480</v>
      </c>
    </row>
    <row r="40" spans="1:9" ht="65.150000000000006">
      <c r="A40" s="51" t="s">
        <v>1519</v>
      </c>
      <c r="B40" s="17" t="s">
        <v>1480</v>
      </c>
      <c r="C40" s="17">
        <v>19</v>
      </c>
      <c r="D40" s="17" t="s">
        <v>52</v>
      </c>
      <c r="E40" s="17" t="s">
        <v>1320</v>
      </c>
      <c r="F40" s="17" t="s">
        <v>1480</v>
      </c>
      <c r="G40" s="17" t="s">
        <v>1480</v>
      </c>
      <c r="H40" s="17" t="s">
        <v>56</v>
      </c>
      <c r="I40" s="17" t="s">
        <v>1480</v>
      </c>
    </row>
    <row r="41" spans="1:9">
      <c r="A41" s="51" t="s">
        <v>1215</v>
      </c>
      <c r="B41" s="17" t="s">
        <v>1157</v>
      </c>
      <c r="C41" s="17">
        <v>14</v>
      </c>
      <c r="D41" s="17" t="s">
        <v>1148</v>
      </c>
      <c r="E41" s="18">
        <v>2.2000000000000002</v>
      </c>
      <c r="H41" s="18">
        <v>5</v>
      </c>
    </row>
    <row r="42" spans="1:9">
      <c r="B42" s="17" t="s">
        <v>1159</v>
      </c>
      <c r="D42" s="17" t="s">
        <v>1148</v>
      </c>
      <c r="E42" s="18">
        <v>4.5999999999999996</v>
      </c>
      <c r="H42" s="18">
        <v>9</v>
      </c>
      <c r="I42" s="17" t="s">
        <v>1122</v>
      </c>
    </row>
    <row r="43" spans="1:9">
      <c r="A43" s="51" t="s">
        <v>1520</v>
      </c>
      <c r="B43" s="17" t="s">
        <v>1480</v>
      </c>
      <c r="C43" s="17">
        <v>9</v>
      </c>
      <c r="D43" s="17" t="s">
        <v>10</v>
      </c>
      <c r="E43" s="17" t="s">
        <v>1521</v>
      </c>
      <c r="F43" s="17" t="s">
        <v>1480</v>
      </c>
      <c r="G43" s="17" t="s">
        <v>28</v>
      </c>
      <c r="H43" s="17" t="s">
        <v>1522</v>
      </c>
      <c r="I43" s="17" t="s">
        <v>1480</v>
      </c>
    </row>
    <row r="44" spans="1:9">
      <c r="A44" s="51" t="s">
        <v>1523</v>
      </c>
      <c r="B44" s="17" t="s">
        <v>1480</v>
      </c>
      <c r="C44" s="17">
        <v>16</v>
      </c>
      <c r="D44" s="17" t="s">
        <v>10</v>
      </c>
      <c r="E44" s="17" t="s">
        <v>1524</v>
      </c>
      <c r="F44" s="17" t="s">
        <v>1480</v>
      </c>
      <c r="G44" s="17" t="s">
        <v>1367</v>
      </c>
      <c r="H44" s="17" t="s">
        <v>543</v>
      </c>
      <c r="I44" s="17" t="s">
        <v>1480</v>
      </c>
    </row>
    <row r="45" spans="1:9">
      <c r="A45" s="51" t="s">
        <v>1525</v>
      </c>
      <c r="B45" s="17" t="s">
        <v>1480</v>
      </c>
      <c r="C45" s="17">
        <v>14</v>
      </c>
      <c r="D45" s="17" t="s">
        <v>10</v>
      </c>
      <c r="E45" s="17" t="s">
        <v>1526</v>
      </c>
      <c r="F45" s="17" t="s">
        <v>1480</v>
      </c>
      <c r="G45" s="17" t="s">
        <v>1367</v>
      </c>
      <c r="H45" s="17" t="s">
        <v>1370</v>
      </c>
    </row>
    <row r="46" spans="1:9">
      <c r="A46" s="51" t="s">
        <v>1527</v>
      </c>
      <c r="B46" s="17" t="s">
        <v>1480</v>
      </c>
      <c r="C46" s="17">
        <v>0</v>
      </c>
      <c r="D46" s="17" t="s">
        <v>52</v>
      </c>
      <c r="E46" s="17" t="s">
        <v>1528</v>
      </c>
      <c r="F46" s="17" t="s">
        <v>1480</v>
      </c>
      <c r="G46" s="17" t="s">
        <v>1480</v>
      </c>
      <c r="H46" s="17" t="s">
        <v>56</v>
      </c>
      <c r="I46" s="17" t="s">
        <v>1480</v>
      </c>
    </row>
    <row r="47" spans="1:9">
      <c r="A47" s="51" t="s">
        <v>1529</v>
      </c>
      <c r="B47" s="17" t="s">
        <v>1480</v>
      </c>
      <c r="C47" s="17">
        <v>13</v>
      </c>
      <c r="D47" s="17" t="s">
        <v>10</v>
      </c>
      <c r="E47" s="17">
        <v>1.55</v>
      </c>
      <c r="F47" s="17" t="s">
        <v>1480</v>
      </c>
      <c r="G47" s="17" t="s">
        <v>1480</v>
      </c>
      <c r="H47" s="17">
        <v>1</v>
      </c>
      <c r="I47" s="17" t="s">
        <v>1480</v>
      </c>
    </row>
  </sheetData>
  <mergeCells count="1">
    <mergeCell ref="A1:I1"/>
  </mergeCells>
  <phoneticPr fontId="18" type="noConversion"/>
  <conditionalFormatting sqref="A2:I7 A10:I28 A30:I30 A32:I40 A43:I203">
    <cfRule type="expression" dxfId="82" priority="22">
      <formula>$D2="类型"</formula>
    </cfRule>
    <cfRule type="expression" dxfId="81" priority="23">
      <formula>$D2="其他"</formula>
    </cfRule>
    <cfRule type="expression" dxfId="80" priority="24">
      <formula>$D2="A"</formula>
    </cfRule>
    <cfRule type="expression" dxfId="79" priority="25">
      <formula>$D2="B"</formula>
    </cfRule>
    <cfRule type="expression" dxfId="78" priority="26">
      <formula>$D2="M"</formula>
    </cfRule>
  </conditionalFormatting>
  <conditionalFormatting sqref="A8:I9">
    <cfRule type="expression" dxfId="77" priority="6">
      <formula>$D8="类型"</formula>
    </cfRule>
    <cfRule type="expression" dxfId="76" priority="7">
      <formula>$D8="其他"</formula>
    </cfRule>
    <cfRule type="expression" dxfId="75" priority="8">
      <formula>$D8="A"</formula>
    </cfRule>
    <cfRule type="expression" dxfId="74" priority="9">
      <formula>$D8="B"</formula>
    </cfRule>
    <cfRule type="expression" dxfId="73" priority="10">
      <formula>$D8="M"</formula>
    </cfRule>
  </conditionalFormatting>
  <conditionalFormatting sqref="A29:I29">
    <cfRule type="expression" dxfId="72" priority="16">
      <formula>$D29="类型"</formula>
    </cfRule>
    <cfRule type="expression" dxfId="71" priority="17">
      <formula>$D29="其他"</formula>
    </cfRule>
    <cfRule type="expression" dxfId="70" priority="18">
      <formula>$D29="A"</formula>
    </cfRule>
    <cfRule type="expression" dxfId="69" priority="19">
      <formula>$D29="B"</formula>
    </cfRule>
    <cfRule type="expression" dxfId="68" priority="20">
      <formula>$D29="M"</formula>
    </cfRule>
  </conditionalFormatting>
  <conditionalFormatting sqref="A31:I31">
    <cfRule type="expression" dxfId="67" priority="11">
      <formula>$D31="类型"</formula>
    </cfRule>
    <cfRule type="expression" dxfId="66" priority="12">
      <formula>$D31="其他"</formula>
    </cfRule>
    <cfRule type="expression" dxfId="65" priority="13">
      <formula>$D31="A"</formula>
    </cfRule>
    <cfRule type="expression" dxfId="64" priority="14">
      <formula>$D31="B"</formula>
    </cfRule>
    <cfRule type="expression" dxfId="63" priority="15">
      <formula>$D31="M"</formula>
    </cfRule>
  </conditionalFormatting>
  <conditionalFormatting sqref="A41:I42">
    <cfRule type="expression" dxfId="62" priority="1">
      <formula>$D41="类型"</formula>
    </cfRule>
    <cfRule type="expression" dxfId="61" priority="2">
      <formula>$D41="其他"</formula>
    </cfRule>
    <cfRule type="expression" dxfId="60" priority="3">
      <formula>$D41="A"</formula>
    </cfRule>
    <cfRule type="expression" dxfId="59" priority="4">
      <formula>$D41="B"</formula>
    </cfRule>
    <cfRule type="expression" dxfId="58" priority="5">
      <formula>$D41="M"</formula>
    </cfRule>
  </conditionalFormatting>
  <conditionalFormatting sqref="E2:E7 H2:H7 E10:E28 H10:H28 E30 H30 E32:E40 H32:H40 E43:E203 H43:H203">
    <cfRule type="expression" dxfId="57" priority="21" stopIfTrue="1">
      <formula>$D2="A"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328"/>
  <sheetViews>
    <sheetView tabSelected="1" topLeftCell="A319" zoomScale="70" zoomScaleNormal="70" zoomScalePageLayoutView="80" workbookViewId="0">
      <selection activeCell="M244" sqref="M244"/>
    </sheetView>
  </sheetViews>
  <sheetFormatPr defaultColWidth="9" defaultRowHeight="16.3"/>
  <cols>
    <col min="1" max="1" width="18.765625" style="55" customWidth="1"/>
    <col min="2" max="2" width="14.3828125" style="55" customWidth="1"/>
    <col min="3" max="3" width="20.15234375" style="7" customWidth="1"/>
    <col min="4" max="4" width="7.765625" style="7" bestFit="1" customWidth="1"/>
    <col min="5" max="5" width="9.61328125" style="7" customWidth="1"/>
    <col min="6" max="6" width="10" style="7" customWidth="1"/>
    <col min="7" max="7" width="41.84375" style="7" customWidth="1"/>
    <col min="8" max="8" width="14.69140625" style="7" customWidth="1"/>
    <col min="9" max="9" width="25.4609375" style="7" customWidth="1"/>
    <col min="10" max="10" width="12.3828125" style="7" customWidth="1"/>
    <col min="11" max="11" width="33.3046875" style="7" customWidth="1"/>
  </cols>
  <sheetData>
    <row r="1" spans="1:11" ht="32.6" customHeight="1">
      <c r="A1" s="196" t="s">
        <v>2305</v>
      </c>
      <c r="B1" s="217"/>
      <c r="C1" s="193"/>
      <c r="D1" s="193"/>
      <c r="E1" s="193"/>
      <c r="F1" s="193"/>
      <c r="G1" s="193"/>
      <c r="H1" s="193"/>
      <c r="I1" s="193"/>
      <c r="J1" s="193"/>
      <c r="K1" s="193"/>
    </row>
    <row r="2" spans="1:11" ht="92.6" customHeight="1">
      <c r="A2" s="193" t="s">
        <v>2575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1" ht="48.9">
      <c r="A3" s="113" t="s">
        <v>236</v>
      </c>
      <c r="B3" s="113" t="s">
        <v>237</v>
      </c>
      <c r="C3" s="114" t="s">
        <v>1</v>
      </c>
      <c r="D3" s="114" t="s">
        <v>2</v>
      </c>
      <c r="E3" s="114" t="s">
        <v>2116</v>
      </c>
      <c r="F3" s="114" t="s">
        <v>1227</v>
      </c>
      <c r="G3" s="114" t="s">
        <v>4</v>
      </c>
      <c r="H3" s="114" t="s">
        <v>1097</v>
      </c>
      <c r="I3" s="114" t="s">
        <v>2456</v>
      </c>
      <c r="J3" s="114" t="s">
        <v>238</v>
      </c>
      <c r="K3" s="114" t="s">
        <v>7</v>
      </c>
    </row>
    <row r="4" spans="1:11">
      <c r="A4" s="211" t="s">
        <v>240</v>
      </c>
      <c r="B4" s="211" t="s">
        <v>241</v>
      </c>
      <c r="C4" s="117" t="s">
        <v>242</v>
      </c>
      <c r="D4" s="202">
        <v>10</v>
      </c>
      <c r="E4" s="117" t="s">
        <v>2114</v>
      </c>
      <c r="F4" s="117" t="s">
        <v>32</v>
      </c>
      <c r="G4" s="117">
        <v>155</v>
      </c>
      <c r="H4" s="117"/>
      <c r="I4" s="117">
        <v>3</v>
      </c>
      <c r="J4" s="117" t="s">
        <v>121</v>
      </c>
      <c r="K4" s="117"/>
    </row>
    <row r="5" spans="1:11">
      <c r="A5" s="212"/>
      <c r="B5" s="212"/>
      <c r="C5" s="117" t="s">
        <v>243</v>
      </c>
      <c r="D5" s="203"/>
      <c r="E5" s="117" t="s">
        <v>2114</v>
      </c>
      <c r="F5" s="117" t="s">
        <v>32</v>
      </c>
      <c r="G5" s="117">
        <v>190</v>
      </c>
      <c r="H5" s="117"/>
      <c r="I5" s="117">
        <v>5.5</v>
      </c>
      <c r="J5" s="117" t="s">
        <v>121</v>
      </c>
      <c r="K5" s="117"/>
    </row>
    <row r="6" spans="1:11">
      <c r="A6" s="213"/>
      <c r="B6" s="213"/>
      <c r="C6" s="117" t="s">
        <v>9</v>
      </c>
      <c r="D6" s="117">
        <v>4</v>
      </c>
      <c r="E6" s="117" t="s">
        <v>2114</v>
      </c>
      <c r="F6" s="117" t="s">
        <v>10</v>
      </c>
      <c r="G6" s="118">
        <v>1.7</v>
      </c>
      <c r="H6" s="118"/>
      <c r="I6" s="117">
        <v>30</v>
      </c>
      <c r="J6" s="117" t="s">
        <v>244</v>
      </c>
      <c r="K6" s="117"/>
    </row>
    <row r="7" spans="1:11">
      <c r="A7" s="208" t="s">
        <v>245</v>
      </c>
      <c r="B7" s="208" t="s">
        <v>246</v>
      </c>
      <c r="C7" s="127" t="s">
        <v>247</v>
      </c>
      <c r="D7" s="200">
        <v>6</v>
      </c>
      <c r="E7" s="200" t="s">
        <v>2114</v>
      </c>
      <c r="F7" s="127" t="s">
        <v>10</v>
      </c>
      <c r="G7" s="128" t="s">
        <v>2051</v>
      </c>
      <c r="H7" s="128" t="s">
        <v>1210</v>
      </c>
      <c r="I7" s="127">
        <v>1.65</v>
      </c>
      <c r="J7" s="127" t="s">
        <v>176</v>
      </c>
      <c r="K7" s="127"/>
    </row>
    <row r="8" spans="1:11" ht="32.6">
      <c r="A8" s="209"/>
      <c r="B8" s="209"/>
      <c r="C8" s="127" t="s">
        <v>248</v>
      </c>
      <c r="D8" s="201"/>
      <c r="E8" s="201"/>
      <c r="F8" s="127" t="s">
        <v>10</v>
      </c>
      <c r="G8" s="128" t="s">
        <v>249</v>
      </c>
      <c r="H8" s="128" t="s">
        <v>1147</v>
      </c>
      <c r="I8" s="127">
        <v>3</v>
      </c>
      <c r="J8" s="127" t="s">
        <v>40</v>
      </c>
      <c r="K8" s="127" t="s">
        <v>2420</v>
      </c>
    </row>
    <row r="9" spans="1:11" ht="65.150000000000006">
      <c r="A9" s="119" t="s">
        <v>250</v>
      </c>
      <c r="B9" s="119" t="s">
        <v>251</v>
      </c>
      <c r="C9" s="117"/>
      <c r="D9" s="117">
        <v>25</v>
      </c>
      <c r="E9" s="117" t="s">
        <v>2114</v>
      </c>
      <c r="F9" s="117" t="s">
        <v>32</v>
      </c>
      <c r="G9" s="117">
        <v>180</v>
      </c>
      <c r="H9" s="117"/>
      <c r="I9" s="117">
        <v>10</v>
      </c>
      <c r="J9" s="117" t="s">
        <v>180</v>
      </c>
      <c r="K9" s="117" t="s">
        <v>252</v>
      </c>
    </row>
    <row r="10" spans="1:11">
      <c r="A10" s="129" t="s">
        <v>253</v>
      </c>
      <c r="B10" s="129" t="s">
        <v>254</v>
      </c>
      <c r="C10" s="127"/>
      <c r="D10" s="127">
        <v>17</v>
      </c>
      <c r="E10" s="127" t="s">
        <v>2114</v>
      </c>
      <c r="F10" s="127" t="s">
        <v>32</v>
      </c>
      <c r="G10" s="127">
        <v>145</v>
      </c>
      <c r="H10" s="127"/>
      <c r="I10" s="127">
        <v>10</v>
      </c>
      <c r="J10" s="127" t="s">
        <v>180</v>
      </c>
      <c r="K10" s="127" t="s">
        <v>1129</v>
      </c>
    </row>
    <row r="11" spans="1:11" ht="32.6">
      <c r="A11" s="113" t="s">
        <v>255</v>
      </c>
      <c r="B11" s="113" t="s">
        <v>237</v>
      </c>
      <c r="C11" s="114" t="s">
        <v>1</v>
      </c>
      <c r="D11" s="114" t="s">
        <v>2</v>
      </c>
      <c r="E11" s="114" t="s">
        <v>2116</v>
      </c>
      <c r="F11" s="114" t="s">
        <v>3</v>
      </c>
      <c r="G11" s="114" t="s">
        <v>4</v>
      </c>
      <c r="H11" s="114" t="s">
        <v>1097</v>
      </c>
      <c r="I11" s="114" t="s">
        <v>2549</v>
      </c>
      <c r="J11" s="114" t="s">
        <v>238</v>
      </c>
      <c r="K11" s="114" t="s">
        <v>7</v>
      </c>
    </row>
    <row r="12" spans="1:11" ht="32.6">
      <c r="A12" s="211" t="s">
        <v>2061</v>
      </c>
      <c r="B12" s="211" t="s">
        <v>257</v>
      </c>
      <c r="C12" s="117" t="s">
        <v>125</v>
      </c>
      <c r="D12" s="202">
        <v>15</v>
      </c>
      <c r="E12" s="117">
        <v>3</v>
      </c>
      <c r="F12" s="117" t="s">
        <v>10</v>
      </c>
      <c r="G12" s="117" t="s">
        <v>258</v>
      </c>
      <c r="H12" s="117" t="s">
        <v>1132</v>
      </c>
      <c r="I12" s="117" t="s">
        <v>2457</v>
      </c>
      <c r="J12" s="117" t="s">
        <v>2062</v>
      </c>
      <c r="K12" s="117" t="s">
        <v>2115</v>
      </c>
    </row>
    <row r="13" spans="1:11" ht="32.6">
      <c r="A13" s="213"/>
      <c r="B13" s="213"/>
      <c r="C13" s="117" t="s">
        <v>89</v>
      </c>
      <c r="D13" s="203"/>
      <c r="E13" s="117">
        <v>3</v>
      </c>
      <c r="F13" s="117" t="s">
        <v>10</v>
      </c>
      <c r="G13" s="117" t="s">
        <v>260</v>
      </c>
      <c r="H13" s="117" t="s">
        <v>1132</v>
      </c>
      <c r="I13" s="117" t="s">
        <v>2458</v>
      </c>
      <c r="J13" s="117" t="s">
        <v>2062</v>
      </c>
      <c r="K13" s="117" t="s">
        <v>1126</v>
      </c>
    </row>
    <row r="14" spans="1:11">
      <c r="A14" s="129" t="s">
        <v>261</v>
      </c>
      <c r="B14" s="129" t="s">
        <v>262</v>
      </c>
      <c r="C14" s="127"/>
      <c r="D14" s="127">
        <v>18</v>
      </c>
      <c r="E14" s="127" t="s">
        <v>2114</v>
      </c>
      <c r="F14" s="127" t="s">
        <v>10</v>
      </c>
      <c r="G14" s="128">
        <v>2.5</v>
      </c>
      <c r="H14" s="128"/>
      <c r="I14" s="127">
        <v>30</v>
      </c>
      <c r="J14" s="127" t="s">
        <v>180</v>
      </c>
      <c r="K14" s="127" t="s">
        <v>67</v>
      </c>
    </row>
    <row r="15" spans="1:11">
      <c r="A15" s="211" t="s">
        <v>263</v>
      </c>
      <c r="B15" s="211" t="s">
        <v>264</v>
      </c>
      <c r="C15" s="117" t="s">
        <v>200</v>
      </c>
      <c r="D15" s="202">
        <v>20</v>
      </c>
      <c r="E15" s="202">
        <v>3</v>
      </c>
      <c r="F15" s="117" t="s">
        <v>52</v>
      </c>
      <c r="G15" s="120" t="s">
        <v>2188</v>
      </c>
      <c r="H15" s="120"/>
      <c r="I15" s="117">
        <v>0</v>
      </c>
      <c r="J15" s="117" t="s">
        <v>56</v>
      </c>
      <c r="K15" s="117" t="s">
        <v>1218</v>
      </c>
    </row>
    <row r="16" spans="1:11">
      <c r="A16" s="213"/>
      <c r="B16" s="213"/>
      <c r="C16" s="117" t="s">
        <v>176</v>
      </c>
      <c r="D16" s="203"/>
      <c r="E16" s="203"/>
      <c r="F16" s="117" t="s">
        <v>10</v>
      </c>
      <c r="G16" s="118" t="s">
        <v>2418</v>
      </c>
      <c r="H16" s="118"/>
      <c r="I16" s="117">
        <v>6.5</v>
      </c>
      <c r="J16" s="117" t="s">
        <v>259</v>
      </c>
      <c r="K16" s="117"/>
    </row>
    <row r="17" spans="1:11">
      <c r="A17" s="208" t="s">
        <v>2250</v>
      </c>
      <c r="B17" s="208" t="s">
        <v>1217</v>
      </c>
      <c r="C17" s="127" t="s">
        <v>200</v>
      </c>
      <c r="D17" s="200">
        <v>23</v>
      </c>
      <c r="E17" s="200">
        <v>3</v>
      </c>
      <c r="F17" s="127" t="s">
        <v>1208</v>
      </c>
      <c r="G17" s="130" t="s">
        <v>2187</v>
      </c>
      <c r="H17" s="128"/>
      <c r="I17" s="127">
        <v>0</v>
      </c>
      <c r="J17" s="127"/>
      <c r="K17" s="127" t="s">
        <v>1338</v>
      </c>
    </row>
    <row r="18" spans="1:11">
      <c r="A18" s="209"/>
      <c r="B18" s="209"/>
      <c r="C18" s="127" t="s">
        <v>176</v>
      </c>
      <c r="D18" s="201"/>
      <c r="E18" s="201"/>
      <c r="F18" s="127" t="s">
        <v>10</v>
      </c>
      <c r="G18" s="128" t="s">
        <v>2419</v>
      </c>
      <c r="H18" s="128"/>
      <c r="I18" s="127">
        <v>6.5</v>
      </c>
      <c r="J18" s="127" t="s">
        <v>259</v>
      </c>
      <c r="K18" s="127"/>
    </row>
    <row r="19" spans="1:11">
      <c r="A19" s="211" t="s">
        <v>265</v>
      </c>
      <c r="B19" s="211" t="s">
        <v>2211</v>
      </c>
      <c r="C19" s="117" t="s">
        <v>2055</v>
      </c>
      <c r="D19" s="202">
        <v>26</v>
      </c>
      <c r="E19" s="202" t="s">
        <v>2114</v>
      </c>
      <c r="F19" s="117" t="s">
        <v>1139</v>
      </c>
      <c r="G19" s="118">
        <v>1.1000000000000001</v>
      </c>
      <c r="H19" s="117" t="s">
        <v>2210</v>
      </c>
      <c r="I19" s="117">
        <v>5</v>
      </c>
      <c r="J19" s="117" t="s">
        <v>2054</v>
      </c>
      <c r="K19" s="117"/>
    </row>
    <row r="20" spans="1:11" ht="32.6">
      <c r="A20" s="212"/>
      <c r="B20" s="212"/>
      <c r="C20" s="117" t="s">
        <v>2056</v>
      </c>
      <c r="D20" s="203"/>
      <c r="E20" s="203"/>
      <c r="F20" s="117" t="s">
        <v>10</v>
      </c>
      <c r="G20" s="117" t="s">
        <v>2248</v>
      </c>
      <c r="H20" s="117" t="s">
        <v>2210</v>
      </c>
      <c r="I20" s="117" t="s">
        <v>2461</v>
      </c>
      <c r="J20" s="117" t="s">
        <v>121</v>
      </c>
      <c r="K20" s="117" t="s">
        <v>1126</v>
      </c>
    </row>
    <row r="21" spans="1:11">
      <c r="A21" s="212"/>
      <c r="B21" s="212"/>
      <c r="C21" s="117" t="s">
        <v>2057</v>
      </c>
      <c r="D21" s="202">
        <v>32</v>
      </c>
      <c r="E21" s="202" t="s">
        <v>2114</v>
      </c>
      <c r="F21" s="117" t="s">
        <v>1139</v>
      </c>
      <c r="G21" s="118">
        <v>1.2</v>
      </c>
      <c r="H21" s="117" t="s">
        <v>2210</v>
      </c>
      <c r="I21" s="117">
        <v>5</v>
      </c>
      <c r="J21" s="117" t="s">
        <v>1234</v>
      </c>
      <c r="K21" s="117"/>
    </row>
    <row r="22" spans="1:11">
      <c r="A22" s="213"/>
      <c r="B22" s="213"/>
      <c r="C22" s="117" t="s">
        <v>2058</v>
      </c>
      <c r="D22" s="203"/>
      <c r="E22" s="203"/>
      <c r="F22" s="117" t="s">
        <v>10</v>
      </c>
      <c r="G22" s="117" t="s">
        <v>267</v>
      </c>
      <c r="H22" s="117" t="s">
        <v>2210</v>
      </c>
      <c r="I22" s="117">
        <v>10</v>
      </c>
      <c r="J22" s="117" t="s">
        <v>148</v>
      </c>
      <c r="K22" s="117"/>
    </row>
    <row r="23" spans="1:11" ht="32.6">
      <c r="A23" s="208" t="s">
        <v>1248</v>
      </c>
      <c r="B23" s="208" t="s">
        <v>268</v>
      </c>
      <c r="C23" s="127" t="s">
        <v>2245</v>
      </c>
      <c r="D23" s="127">
        <v>24</v>
      </c>
      <c r="E23" s="127" t="s">
        <v>2114</v>
      </c>
      <c r="F23" s="127" t="s">
        <v>52</v>
      </c>
      <c r="G23" s="127" t="s">
        <v>2473</v>
      </c>
      <c r="H23" s="127"/>
      <c r="I23" s="127" t="s">
        <v>56</v>
      </c>
      <c r="J23" s="127" t="s">
        <v>56</v>
      </c>
      <c r="K23" s="127"/>
    </row>
    <row r="24" spans="1:11">
      <c r="A24" s="210"/>
      <c r="B24" s="210"/>
      <c r="C24" s="127" t="s">
        <v>579</v>
      </c>
      <c r="D24" s="127">
        <v>0</v>
      </c>
      <c r="E24" s="127" t="s">
        <v>2114</v>
      </c>
      <c r="F24" s="127" t="s">
        <v>1139</v>
      </c>
      <c r="G24" s="127" t="s">
        <v>609</v>
      </c>
      <c r="H24" s="127"/>
      <c r="I24" s="127" t="s">
        <v>2467</v>
      </c>
      <c r="J24" s="127" t="s">
        <v>1233</v>
      </c>
      <c r="K24" s="127"/>
    </row>
    <row r="25" spans="1:11">
      <c r="A25" s="209"/>
      <c r="B25" s="209"/>
      <c r="C25" s="127" t="s">
        <v>611</v>
      </c>
      <c r="D25" s="127">
        <v>0</v>
      </c>
      <c r="E25" s="127" t="s">
        <v>2114</v>
      </c>
      <c r="F25" s="127" t="s">
        <v>1139</v>
      </c>
      <c r="G25" s="127" t="s">
        <v>2472</v>
      </c>
      <c r="H25" s="127"/>
      <c r="I25" s="127" t="s">
        <v>2471</v>
      </c>
      <c r="J25" s="127" t="s">
        <v>1233</v>
      </c>
      <c r="K25" s="127"/>
    </row>
    <row r="26" spans="1:11" ht="48.9">
      <c r="A26" s="119" t="s">
        <v>269</v>
      </c>
      <c r="B26" s="119" t="s">
        <v>270</v>
      </c>
      <c r="C26" s="117"/>
      <c r="D26" s="117">
        <v>25</v>
      </c>
      <c r="E26" s="117" t="s">
        <v>2114</v>
      </c>
      <c r="F26" s="117" t="s">
        <v>52</v>
      </c>
      <c r="G26" s="117" t="s">
        <v>2347</v>
      </c>
      <c r="H26" s="117"/>
      <c r="I26" s="117" t="s">
        <v>56</v>
      </c>
      <c r="J26" s="117" t="s">
        <v>56</v>
      </c>
      <c r="K26" s="117" t="s">
        <v>1225</v>
      </c>
    </row>
    <row r="27" spans="1:11" ht="32.6">
      <c r="A27" s="129" t="s">
        <v>2251</v>
      </c>
      <c r="B27" s="129" t="s">
        <v>1219</v>
      </c>
      <c r="C27" s="127"/>
      <c r="D27" s="127">
        <v>30</v>
      </c>
      <c r="E27" s="127" t="s">
        <v>2114</v>
      </c>
      <c r="F27" s="127" t="s">
        <v>1221</v>
      </c>
      <c r="G27" s="127" t="s">
        <v>1222</v>
      </c>
      <c r="H27" s="127"/>
      <c r="I27" s="127" t="s">
        <v>1224</v>
      </c>
      <c r="J27" s="127" t="s">
        <v>1223</v>
      </c>
      <c r="K27" s="127" t="s">
        <v>2223</v>
      </c>
    </row>
    <row r="28" spans="1:11" ht="48.9">
      <c r="A28" s="119" t="s">
        <v>2252</v>
      </c>
      <c r="B28" s="119" t="s">
        <v>1220</v>
      </c>
      <c r="C28" s="117"/>
      <c r="D28" s="117">
        <v>30</v>
      </c>
      <c r="E28" s="117" t="s">
        <v>2114</v>
      </c>
      <c r="F28" s="117" t="s">
        <v>1221</v>
      </c>
      <c r="G28" s="117">
        <v>310</v>
      </c>
      <c r="H28" s="117"/>
      <c r="I28" s="117">
        <v>20</v>
      </c>
      <c r="J28" s="117" t="s">
        <v>1223</v>
      </c>
      <c r="K28" s="117" t="s">
        <v>2224</v>
      </c>
    </row>
    <row r="29" spans="1:11" ht="32.6">
      <c r="A29" s="113" t="s">
        <v>1226</v>
      </c>
      <c r="B29" s="113" t="s">
        <v>237</v>
      </c>
      <c r="C29" s="114" t="s">
        <v>1</v>
      </c>
      <c r="D29" s="114" t="s">
        <v>2</v>
      </c>
      <c r="E29" s="114" t="s">
        <v>2116</v>
      </c>
      <c r="F29" s="114" t="s">
        <v>3</v>
      </c>
      <c r="G29" s="114" t="s">
        <v>4</v>
      </c>
      <c r="H29" s="115" t="s">
        <v>1097</v>
      </c>
      <c r="I29" s="114" t="s">
        <v>2550</v>
      </c>
      <c r="J29" s="114" t="s">
        <v>238</v>
      </c>
      <c r="K29" s="114" t="s">
        <v>7</v>
      </c>
    </row>
    <row r="30" spans="1:11" ht="32.6">
      <c r="A30" s="129" t="s">
        <v>2253</v>
      </c>
      <c r="B30" s="129" t="s">
        <v>1229</v>
      </c>
      <c r="C30" s="127"/>
      <c r="D30" s="127">
        <v>19</v>
      </c>
      <c r="E30" s="127" t="s">
        <v>2114</v>
      </c>
      <c r="F30" s="127" t="s">
        <v>1139</v>
      </c>
      <c r="G30" s="127" t="s">
        <v>1228</v>
      </c>
      <c r="H30" s="131"/>
      <c r="I30" s="127" t="s">
        <v>2470</v>
      </c>
      <c r="J30" s="127" t="s">
        <v>2053</v>
      </c>
      <c r="K30" s="127" t="s">
        <v>1230</v>
      </c>
    </row>
    <row r="31" spans="1:11">
      <c r="A31" s="211" t="s">
        <v>2254</v>
      </c>
      <c r="B31" s="211" t="s">
        <v>1231</v>
      </c>
      <c r="C31" s="117" t="s">
        <v>1264</v>
      </c>
      <c r="D31" s="202">
        <v>10</v>
      </c>
      <c r="E31" s="202" t="s">
        <v>2114</v>
      </c>
      <c r="F31" s="117" t="s">
        <v>10</v>
      </c>
      <c r="G31" s="117" t="s">
        <v>1241</v>
      </c>
      <c r="H31" s="117" t="s">
        <v>2210</v>
      </c>
      <c r="I31" s="117" t="s">
        <v>2463</v>
      </c>
      <c r="J31" s="117" t="s">
        <v>1240</v>
      </c>
      <c r="K31" s="117"/>
    </row>
    <row r="32" spans="1:11">
      <c r="A32" s="212"/>
      <c r="B32" s="212"/>
      <c r="C32" s="117" t="s">
        <v>1265</v>
      </c>
      <c r="D32" s="203"/>
      <c r="E32" s="203"/>
      <c r="F32" s="117" t="s">
        <v>10</v>
      </c>
      <c r="G32" s="117" t="s">
        <v>2249</v>
      </c>
      <c r="H32" s="117" t="s">
        <v>2210</v>
      </c>
      <c r="I32" s="117" t="s">
        <v>2465</v>
      </c>
      <c r="J32" s="117" t="s">
        <v>1235</v>
      </c>
      <c r="K32" s="117"/>
    </row>
    <row r="33" spans="1:11">
      <c r="A33" s="212"/>
      <c r="B33" s="212"/>
      <c r="C33" s="117" t="s">
        <v>1266</v>
      </c>
      <c r="D33" s="202">
        <v>10</v>
      </c>
      <c r="E33" s="202" t="s">
        <v>2114</v>
      </c>
      <c r="F33" s="117" t="s">
        <v>10</v>
      </c>
      <c r="G33" s="117" t="s">
        <v>1242</v>
      </c>
      <c r="H33" s="117" t="s">
        <v>2210</v>
      </c>
      <c r="I33" s="117" t="s">
        <v>2463</v>
      </c>
      <c r="J33" s="117" t="s">
        <v>1240</v>
      </c>
      <c r="K33" s="117"/>
    </row>
    <row r="34" spans="1:11">
      <c r="A34" s="212"/>
      <c r="B34" s="212"/>
      <c r="C34" s="117" t="s">
        <v>1267</v>
      </c>
      <c r="D34" s="203"/>
      <c r="E34" s="203"/>
      <c r="F34" s="117" t="s">
        <v>10</v>
      </c>
      <c r="G34" s="117" t="s">
        <v>2249</v>
      </c>
      <c r="H34" s="117" t="s">
        <v>2210</v>
      </c>
      <c r="I34" s="117" t="s">
        <v>2467</v>
      </c>
      <c r="J34" s="117" t="s">
        <v>1235</v>
      </c>
      <c r="K34" s="117"/>
    </row>
    <row r="35" spans="1:11">
      <c r="A35" s="212"/>
      <c r="B35" s="212"/>
      <c r="C35" s="117" t="s">
        <v>1268</v>
      </c>
      <c r="D35" s="202">
        <v>10</v>
      </c>
      <c r="E35" s="202" t="s">
        <v>2114</v>
      </c>
      <c r="F35" s="117" t="s">
        <v>10</v>
      </c>
      <c r="G35" s="118" t="s">
        <v>1243</v>
      </c>
      <c r="H35" s="117" t="s">
        <v>2210</v>
      </c>
      <c r="I35" s="117">
        <v>2.75</v>
      </c>
      <c r="J35" s="117" t="s">
        <v>1240</v>
      </c>
      <c r="K35" s="117"/>
    </row>
    <row r="36" spans="1:11">
      <c r="A36" s="212"/>
      <c r="B36" s="212"/>
      <c r="C36" s="117" t="s">
        <v>1269</v>
      </c>
      <c r="D36" s="203"/>
      <c r="E36" s="203"/>
      <c r="F36" s="117" t="s">
        <v>10</v>
      </c>
      <c r="G36" s="117" t="s">
        <v>1236</v>
      </c>
      <c r="H36" s="117" t="s">
        <v>2210</v>
      </c>
      <c r="I36" s="117">
        <v>8.25</v>
      </c>
      <c r="J36" s="117" t="s">
        <v>1235</v>
      </c>
      <c r="K36" s="117"/>
    </row>
    <row r="37" spans="1:11">
      <c r="A37" s="212"/>
      <c r="B37" s="212"/>
      <c r="C37" s="117" t="s">
        <v>1237</v>
      </c>
      <c r="D37" s="202">
        <v>25</v>
      </c>
      <c r="E37" s="202" t="s">
        <v>2114</v>
      </c>
      <c r="F37" s="117" t="s">
        <v>10</v>
      </c>
      <c r="G37" s="117" t="s">
        <v>1244</v>
      </c>
      <c r="H37" s="117" t="s">
        <v>2210</v>
      </c>
      <c r="I37" s="117" t="s">
        <v>2468</v>
      </c>
      <c r="J37" s="117" t="s">
        <v>1234</v>
      </c>
      <c r="K37" s="117"/>
    </row>
    <row r="38" spans="1:11" ht="32.6">
      <c r="A38" s="213"/>
      <c r="B38" s="213"/>
      <c r="C38" s="117" t="s">
        <v>1238</v>
      </c>
      <c r="D38" s="203"/>
      <c r="E38" s="203"/>
      <c r="F38" s="117" t="s">
        <v>10</v>
      </c>
      <c r="G38" s="117" t="s">
        <v>2383</v>
      </c>
      <c r="H38" s="117" t="s">
        <v>2210</v>
      </c>
      <c r="I38" s="117" t="s">
        <v>2469</v>
      </c>
      <c r="J38" s="117" t="s">
        <v>1239</v>
      </c>
      <c r="K38" s="117"/>
    </row>
    <row r="39" spans="1:11" ht="32.6">
      <c r="A39" s="113" t="s">
        <v>271</v>
      </c>
      <c r="B39" s="113" t="s">
        <v>237</v>
      </c>
      <c r="C39" s="114" t="s">
        <v>1</v>
      </c>
      <c r="D39" s="114" t="s">
        <v>2</v>
      </c>
      <c r="E39" s="114" t="s">
        <v>2116</v>
      </c>
      <c r="F39" s="114" t="s">
        <v>3</v>
      </c>
      <c r="G39" s="114" t="s">
        <v>4</v>
      </c>
      <c r="H39" s="115" t="s">
        <v>1097</v>
      </c>
      <c r="I39" s="114" t="s">
        <v>2550</v>
      </c>
      <c r="J39" s="114" t="s">
        <v>238</v>
      </c>
      <c r="K39" s="114" t="s">
        <v>7</v>
      </c>
    </row>
    <row r="40" spans="1:11">
      <c r="A40" s="208" t="s">
        <v>273</v>
      </c>
      <c r="B40" s="208" t="s">
        <v>274</v>
      </c>
      <c r="C40" s="127" t="s">
        <v>1249</v>
      </c>
      <c r="D40" s="200">
        <v>16</v>
      </c>
      <c r="E40" s="200" t="s">
        <v>2114</v>
      </c>
      <c r="F40" s="127" t="s">
        <v>1139</v>
      </c>
      <c r="G40" s="128">
        <v>0.75</v>
      </c>
      <c r="H40" s="127"/>
      <c r="I40" s="127">
        <v>7.5</v>
      </c>
      <c r="J40" s="127" t="s">
        <v>2068</v>
      </c>
      <c r="K40" s="132"/>
    </row>
    <row r="41" spans="1:11" ht="48.9">
      <c r="A41" s="209"/>
      <c r="B41" s="209"/>
      <c r="C41" s="127" t="s">
        <v>2052</v>
      </c>
      <c r="D41" s="201"/>
      <c r="E41" s="201"/>
      <c r="F41" s="127" t="s">
        <v>32</v>
      </c>
      <c r="G41" s="127">
        <v>270</v>
      </c>
      <c r="H41" s="127"/>
      <c r="I41" s="127">
        <v>20</v>
      </c>
      <c r="J41" s="127" t="s">
        <v>180</v>
      </c>
      <c r="K41" s="187" t="s">
        <v>2416</v>
      </c>
    </row>
    <row r="42" spans="1:11" ht="65.150000000000006">
      <c r="A42" s="119" t="s">
        <v>289</v>
      </c>
      <c r="B42" s="119" t="s">
        <v>290</v>
      </c>
      <c r="C42" s="117"/>
      <c r="D42" s="117">
        <v>30</v>
      </c>
      <c r="E42" s="117" t="s">
        <v>2118</v>
      </c>
      <c r="F42" s="117" t="s">
        <v>52</v>
      </c>
      <c r="G42" s="117" t="s">
        <v>1390</v>
      </c>
      <c r="H42" s="117"/>
      <c r="I42" s="117">
        <v>16</v>
      </c>
      <c r="J42" s="117" t="s">
        <v>56</v>
      </c>
      <c r="K42" s="117" t="s">
        <v>2246</v>
      </c>
    </row>
    <row r="43" spans="1:11" ht="32.6">
      <c r="A43" s="208" t="s">
        <v>2059</v>
      </c>
      <c r="B43" s="208" t="s">
        <v>257</v>
      </c>
      <c r="C43" s="127" t="s">
        <v>125</v>
      </c>
      <c r="D43" s="200">
        <v>15</v>
      </c>
      <c r="E43" s="127">
        <v>11.8</v>
      </c>
      <c r="F43" s="127" t="s">
        <v>10</v>
      </c>
      <c r="G43" s="127" t="s">
        <v>258</v>
      </c>
      <c r="H43" s="127" t="s">
        <v>1132</v>
      </c>
      <c r="I43" s="127" t="s">
        <v>2474</v>
      </c>
      <c r="J43" s="127" t="s">
        <v>2060</v>
      </c>
      <c r="K43" s="127" t="s">
        <v>2570</v>
      </c>
    </row>
    <row r="44" spans="1:11" ht="32.6">
      <c r="A44" s="209"/>
      <c r="B44" s="209"/>
      <c r="C44" s="127" t="s">
        <v>89</v>
      </c>
      <c r="D44" s="201"/>
      <c r="E44" s="127">
        <v>11.8</v>
      </c>
      <c r="F44" s="127" t="s">
        <v>10</v>
      </c>
      <c r="G44" s="127" t="s">
        <v>260</v>
      </c>
      <c r="H44" s="127" t="s">
        <v>1132</v>
      </c>
      <c r="I44" s="127" t="s">
        <v>2475</v>
      </c>
      <c r="J44" s="127" t="s">
        <v>2060</v>
      </c>
      <c r="K44" s="127" t="s">
        <v>1126</v>
      </c>
    </row>
    <row r="45" spans="1:11">
      <c r="A45" s="211" t="s">
        <v>2255</v>
      </c>
      <c r="B45" s="211" t="s">
        <v>1245</v>
      </c>
      <c r="C45" s="117"/>
      <c r="D45" s="117">
        <v>12</v>
      </c>
      <c r="E45" s="117">
        <v>11.8</v>
      </c>
      <c r="F45" s="117" t="s">
        <v>10</v>
      </c>
      <c r="G45" s="117" t="s">
        <v>1247</v>
      </c>
      <c r="H45" s="117"/>
      <c r="I45" s="117" t="s">
        <v>2476</v>
      </c>
      <c r="J45" s="117" t="s">
        <v>1252</v>
      </c>
      <c r="K45" s="117"/>
    </row>
    <row r="46" spans="1:11">
      <c r="A46" s="213"/>
      <c r="B46" s="213"/>
      <c r="C46" s="117" t="s">
        <v>1246</v>
      </c>
      <c r="D46" s="117">
        <v>10</v>
      </c>
      <c r="E46" s="117" t="s">
        <v>2117</v>
      </c>
      <c r="F46" s="117" t="s">
        <v>10</v>
      </c>
      <c r="G46" s="118">
        <v>1.7</v>
      </c>
      <c r="H46" s="117"/>
      <c r="I46" s="117">
        <v>32.5</v>
      </c>
      <c r="J46" s="117" t="s">
        <v>1252</v>
      </c>
      <c r="K46" s="117" t="s">
        <v>1129</v>
      </c>
    </row>
    <row r="47" spans="1:11">
      <c r="A47" s="208" t="s">
        <v>275</v>
      </c>
      <c r="B47" s="208" t="s">
        <v>276</v>
      </c>
      <c r="C47" s="127" t="s">
        <v>125</v>
      </c>
      <c r="D47" s="200">
        <v>15</v>
      </c>
      <c r="E47" s="127" t="s">
        <v>2119</v>
      </c>
      <c r="F47" s="127" t="s">
        <v>10</v>
      </c>
      <c r="G47" s="127" t="s">
        <v>277</v>
      </c>
      <c r="H47" s="127"/>
      <c r="I47" s="127" t="s">
        <v>2477</v>
      </c>
      <c r="J47" s="127" t="s">
        <v>278</v>
      </c>
      <c r="K47" s="127"/>
    </row>
    <row r="48" spans="1:11">
      <c r="A48" s="209"/>
      <c r="B48" s="209"/>
      <c r="C48" s="127" t="s">
        <v>89</v>
      </c>
      <c r="D48" s="201"/>
      <c r="E48" s="127" t="s">
        <v>2119</v>
      </c>
      <c r="F48" s="127" t="s">
        <v>10</v>
      </c>
      <c r="G48" s="127" t="s">
        <v>279</v>
      </c>
      <c r="H48" s="127"/>
      <c r="I48" s="127" t="s">
        <v>2478</v>
      </c>
      <c r="J48" s="127" t="s">
        <v>278</v>
      </c>
      <c r="K48" s="127" t="s">
        <v>1482</v>
      </c>
    </row>
    <row r="49" spans="1:11">
      <c r="A49" s="211" t="s">
        <v>291</v>
      </c>
      <c r="B49" s="211" t="s">
        <v>292</v>
      </c>
      <c r="C49" s="117" t="s">
        <v>37</v>
      </c>
      <c r="D49" s="202">
        <v>15</v>
      </c>
      <c r="E49" s="202" t="s">
        <v>2119</v>
      </c>
      <c r="F49" s="117" t="s">
        <v>10</v>
      </c>
      <c r="G49" s="118">
        <v>1</v>
      </c>
      <c r="H49" s="118"/>
      <c r="I49" s="117">
        <v>5.5</v>
      </c>
      <c r="J49" s="117" t="s">
        <v>244</v>
      </c>
      <c r="K49" s="117"/>
    </row>
    <row r="50" spans="1:11" ht="32.6">
      <c r="A50" s="213"/>
      <c r="B50" s="213"/>
      <c r="C50" s="117" t="s">
        <v>137</v>
      </c>
      <c r="D50" s="203"/>
      <c r="E50" s="203"/>
      <c r="F50" s="117" t="s">
        <v>32</v>
      </c>
      <c r="G50" s="117">
        <v>184</v>
      </c>
      <c r="H50" s="117"/>
      <c r="I50" s="117">
        <v>20</v>
      </c>
      <c r="J50" s="117" t="s">
        <v>121</v>
      </c>
      <c r="K50" s="117" t="s">
        <v>293</v>
      </c>
    </row>
    <row r="51" spans="1:11">
      <c r="A51" s="208" t="s">
        <v>283</v>
      </c>
      <c r="B51" s="208" t="s">
        <v>284</v>
      </c>
      <c r="C51" s="127" t="s">
        <v>285</v>
      </c>
      <c r="D51" s="127">
        <v>15</v>
      </c>
      <c r="E51" s="127">
        <v>11.8</v>
      </c>
      <c r="F51" s="127" t="s">
        <v>32</v>
      </c>
      <c r="G51" s="127" t="s">
        <v>2431</v>
      </c>
      <c r="H51" s="127"/>
      <c r="I51" s="127" t="s">
        <v>286</v>
      </c>
      <c r="J51" s="127" t="s">
        <v>121</v>
      </c>
      <c r="K51" s="127" t="s">
        <v>2430</v>
      </c>
    </row>
    <row r="52" spans="1:11">
      <c r="A52" s="210"/>
      <c r="B52" s="210"/>
      <c r="C52" s="127" t="s">
        <v>287</v>
      </c>
      <c r="D52" s="200">
        <v>10</v>
      </c>
      <c r="E52" s="200" t="s">
        <v>2114</v>
      </c>
      <c r="F52" s="127" t="s">
        <v>10</v>
      </c>
      <c r="G52" s="128" t="s">
        <v>2426</v>
      </c>
      <c r="H52" s="128"/>
      <c r="I52" s="127">
        <v>5</v>
      </c>
      <c r="J52" s="127" t="s">
        <v>259</v>
      </c>
      <c r="K52" s="127"/>
    </row>
    <row r="53" spans="1:11">
      <c r="A53" s="210"/>
      <c r="B53" s="210"/>
      <c r="C53" s="127" t="s">
        <v>2432</v>
      </c>
      <c r="D53" s="204"/>
      <c r="E53" s="204"/>
      <c r="F53" s="127" t="s">
        <v>32</v>
      </c>
      <c r="G53" s="127" t="s">
        <v>2427</v>
      </c>
      <c r="H53" s="127"/>
      <c r="I53" s="127">
        <v>5</v>
      </c>
      <c r="J53" s="127" t="s">
        <v>121</v>
      </c>
      <c r="K53" s="127"/>
    </row>
    <row r="54" spans="1:11">
      <c r="A54" s="210"/>
      <c r="B54" s="210"/>
      <c r="C54" s="127" t="s">
        <v>288</v>
      </c>
      <c r="D54" s="201"/>
      <c r="E54" s="201"/>
      <c r="F54" s="127" t="s">
        <v>32</v>
      </c>
      <c r="G54" s="127" t="s">
        <v>2428</v>
      </c>
      <c r="H54" s="127"/>
      <c r="I54" s="127">
        <v>0</v>
      </c>
      <c r="J54" s="127" t="s">
        <v>121</v>
      </c>
      <c r="K54" s="127"/>
    </row>
    <row r="55" spans="1:11">
      <c r="A55" s="209"/>
      <c r="B55" s="209"/>
      <c r="C55" s="127" t="s">
        <v>9</v>
      </c>
      <c r="D55" s="127">
        <v>10</v>
      </c>
      <c r="E55" s="127" t="s">
        <v>2114</v>
      </c>
      <c r="F55" s="127" t="s">
        <v>32</v>
      </c>
      <c r="G55" s="127" t="s">
        <v>2429</v>
      </c>
      <c r="H55" s="127"/>
      <c r="I55" s="127">
        <v>11</v>
      </c>
      <c r="J55" s="127" t="s">
        <v>121</v>
      </c>
      <c r="K55" s="127" t="s">
        <v>1129</v>
      </c>
    </row>
    <row r="56" spans="1:11" ht="32.6">
      <c r="A56" s="119" t="s">
        <v>280</v>
      </c>
      <c r="B56" s="119" t="s">
        <v>281</v>
      </c>
      <c r="C56" s="117"/>
      <c r="D56" s="117">
        <v>20</v>
      </c>
      <c r="E56" s="117" t="s">
        <v>2114</v>
      </c>
      <c r="F56" s="117" t="s">
        <v>10</v>
      </c>
      <c r="G56" s="118">
        <v>1.2</v>
      </c>
      <c r="H56" s="118"/>
      <c r="I56" s="117">
        <v>6.6</v>
      </c>
      <c r="J56" s="117" t="s">
        <v>259</v>
      </c>
      <c r="K56" s="117" t="s">
        <v>282</v>
      </c>
    </row>
    <row r="57" spans="1:11">
      <c r="A57" s="208" t="s">
        <v>304</v>
      </c>
      <c r="B57" s="208" t="s">
        <v>305</v>
      </c>
      <c r="C57" s="127" t="s">
        <v>1249</v>
      </c>
      <c r="D57" s="200">
        <v>30</v>
      </c>
      <c r="E57" s="200">
        <v>11.8</v>
      </c>
      <c r="F57" s="127" t="s">
        <v>1139</v>
      </c>
      <c r="G57" s="134">
        <v>0.65</v>
      </c>
      <c r="H57" s="127"/>
      <c r="I57" s="127">
        <v>8.25</v>
      </c>
      <c r="J57" s="127" t="s">
        <v>1251</v>
      </c>
      <c r="K57" s="127"/>
    </row>
    <row r="58" spans="1:11">
      <c r="A58" s="209"/>
      <c r="B58" s="209"/>
      <c r="C58" s="127" t="s">
        <v>1250</v>
      </c>
      <c r="D58" s="201"/>
      <c r="E58" s="201"/>
      <c r="F58" s="127" t="s">
        <v>10</v>
      </c>
      <c r="G58" s="127" t="s">
        <v>306</v>
      </c>
      <c r="H58" s="127" t="s">
        <v>1127</v>
      </c>
      <c r="I58" s="127">
        <v>15.95</v>
      </c>
      <c r="J58" s="127" t="s">
        <v>148</v>
      </c>
      <c r="K58" s="127" t="s">
        <v>1258</v>
      </c>
    </row>
    <row r="59" spans="1:11">
      <c r="A59" s="211" t="s">
        <v>307</v>
      </c>
      <c r="B59" s="211" t="s">
        <v>308</v>
      </c>
      <c r="C59" s="117" t="s">
        <v>42</v>
      </c>
      <c r="D59" s="117">
        <v>20</v>
      </c>
      <c r="E59" s="117">
        <v>11.8</v>
      </c>
      <c r="F59" s="117" t="s">
        <v>10</v>
      </c>
      <c r="G59" s="117" t="s">
        <v>309</v>
      </c>
      <c r="H59" s="117"/>
      <c r="I59" s="117">
        <v>19.25</v>
      </c>
      <c r="J59" s="117" t="s">
        <v>180</v>
      </c>
      <c r="K59" s="117"/>
    </row>
    <row r="60" spans="1:11">
      <c r="A60" s="212"/>
      <c r="B60" s="212"/>
      <c r="C60" s="117" t="s">
        <v>310</v>
      </c>
      <c r="D60" s="202">
        <v>20</v>
      </c>
      <c r="E60" s="202" t="s">
        <v>2118</v>
      </c>
      <c r="F60" s="117" t="s">
        <v>10</v>
      </c>
      <c r="G60" s="118">
        <v>0.8</v>
      </c>
      <c r="H60" s="118"/>
      <c r="I60" s="117">
        <v>8.25</v>
      </c>
      <c r="J60" s="117" t="s">
        <v>278</v>
      </c>
      <c r="K60" s="117"/>
    </row>
    <row r="61" spans="1:11">
      <c r="A61" s="213"/>
      <c r="B61" s="213"/>
      <c r="C61" s="117" t="s">
        <v>311</v>
      </c>
      <c r="D61" s="203"/>
      <c r="E61" s="203"/>
      <c r="F61" s="117" t="s">
        <v>10</v>
      </c>
      <c r="G61" s="117" t="s">
        <v>312</v>
      </c>
      <c r="H61" s="117"/>
      <c r="I61" s="117">
        <v>9.9</v>
      </c>
      <c r="J61" s="117" t="s">
        <v>180</v>
      </c>
      <c r="K61" s="117" t="s">
        <v>1128</v>
      </c>
    </row>
    <row r="62" spans="1:11" ht="32.6">
      <c r="A62" s="208" t="s">
        <v>294</v>
      </c>
      <c r="B62" s="208" t="s">
        <v>295</v>
      </c>
      <c r="C62" s="127" t="s">
        <v>2245</v>
      </c>
      <c r="D62" s="127">
        <v>32</v>
      </c>
      <c r="E62" s="127" t="s">
        <v>2114</v>
      </c>
      <c r="F62" s="127" t="s">
        <v>52</v>
      </c>
      <c r="G62" s="127" t="s">
        <v>2421</v>
      </c>
      <c r="H62" s="127"/>
      <c r="I62" s="127" t="s">
        <v>56</v>
      </c>
      <c r="J62" s="127" t="s">
        <v>56</v>
      </c>
      <c r="K62" s="127"/>
    </row>
    <row r="63" spans="1:11">
      <c r="A63" s="210"/>
      <c r="B63" s="210"/>
      <c r="C63" s="127" t="s">
        <v>296</v>
      </c>
      <c r="D63" s="127">
        <v>0</v>
      </c>
      <c r="E63" s="127" t="s">
        <v>2114</v>
      </c>
      <c r="F63" s="127" t="s">
        <v>10</v>
      </c>
      <c r="G63" s="128">
        <v>0.5</v>
      </c>
      <c r="H63" s="128"/>
      <c r="I63" s="127">
        <v>7.6999999999999993</v>
      </c>
      <c r="J63" s="127" t="s">
        <v>259</v>
      </c>
      <c r="K63" s="127" t="s">
        <v>297</v>
      </c>
    </row>
    <row r="64" spans="1:11">
      <c r="A64" s="210"/>
      <c r="B64" s="210"/>
      <c r="C64" s="127" t="s">
        <v>298</v>
      </c>
      <c r="D64" s="200">
        <v>0</v>
      </c>
      <c r="E64" s="200" t="s">
        <v>2114</v>
      </c>
      <c r="F64" s="127" t="s">
        <v>10</v>
      </c>
      <c r="G64" s="128">
        <v>0.53</v>
      </c>
      <c r="H64" s="128"/>
      <c r="I64" s="127">
        <v>7.6999999999999993</v>
      </c>
      <c r="J64" s="127" t="s">
        <v>259</v>
      </c>
      <c r="K64" s="127"/>
    </row>
    <row r="65" spans="1:11">
      <c r="A65" s="210"/>
      <c r="B65" s="210"/>
      <c r="C65" s="127" t="s">
        <v>299</v>
      </c>
      <c r="D65" s="201"/>
      <c r="E65" s="201"/>
      <c r="F65" s="127" t="s">
        <v>32</v>
      </c>
      <c r="G65" s="127" t="s">
        <v>2424</v>
      </c>
      <c r="H65" s="131"/>
      <c r="I65" s="127">
        <v>15</v>
      </c>
      <c r="J65" s="127" t="s">
        <v>121</v>
      </c>
      <c r="K65" s="127" t="s">
        <v>300</v>
      </c>
    </row>
    <row r="66" spans="1:11" ht="32.6">
      <c r="A66" s="210"/>
      <c r="B66" s="210"/>
      <c r="C66" s="127" t="s">
        <v>301</v>
      </c>
      <c r="D66" s="127">
        <v>0</v>
      </c>
      <c r="E66" s="127" t="s">
        <v>2114</v>
      </c>
      <c r="F66" s="127" t="s">
        <v>10</v>
      </c>
      <c r="G66" s="128">
        <v>0.65</v>
      </c>
      <c r="H66" s="128"/>
      <c r="I66" s="127">
        <v>8.8000000000000007</v>
      </c>
      <c r="J66" s="127" t="s">
        <v>259</v>
      </c>
      <c r="K66" s="127"/>
    </row>
    <row r="67" spans="1:11" ht="32.6">
      <c r="A67" s="210"/>
      <c r="B67" s="210"/>
      <c r="C67" s="127" t="s">
        <v>2069</v>
      </c>
      <c r="D67" s="200">
        <v>0</v>
      </c>
      <c r="E67" s="200" t="s">
        <v>2114</v>
      </c>
      <c r="F67" s="127" t="s">
        <v>10</v>
      </c>
      <c r="G67" s="128">
        <v>0.68</v>
      </c>
      <c r="H67" s="128"/>
      <c r="I67" s="127">
        <v>8.8000000000000007</v>
      </c>
      <c r="J67" s="127" t="s">
        <v>259</v>
      </c>
      <c r="K67" s="127"/>
    </row>
    <row r="68" spans="1:11">
      <c r="A68" s="209"/>
      <c r="B68" s="209"/>
      <c r="C68" s="127" t="s">
        <v>302</v>
      </c>
      <c r="D68" s="201"/>
      <c r="E68" s="201"/>
      <c r="F68" s="127" t="s">
        <v>32</v>
      </c>
      <c r="G68" s="127" t="s">
        <v>2425</v>
      </c>
      <c r="H68" s="131"/>
      <c r="I68" s="127">
        <v>24</v>
      </c>
      <c r="J68" s="127" t="s">
        <v>121</v>
      </c>
      <c r="K68" s="127" t="s">
        <v>303</v>
      </c>
    </row>
    <row r="69" spans="1:11">
      <c r="A69" s="211" t="s">
        <v>2256</v>
      </c>
      <c r="B69" s="211" t="s">
        <v>1253</v>
      </c>
      <c r="C69" s="117" t="s">
        <v>1254</v>
      </c>
      <c r="D69" s="202">
        <v>21</v>
      </c>
      <c r="E69" s="202" t="s">
        <v>2117</v>
      </c>
      <c r="F69" s="117" t="s">
        <v>1139</v>
      </c>
      <c r="G69" s="123">
        <v>2.9</v>
      </c>
      <c r="H69" s="121"/>
      <c r="I69" s="117">
        <v>0</v>
      </c>
      <c r="J69" s="117" t="s">
        <v>1233</v>
      </c>
      <c r="K69" s="117"/>
    </row>
    <row r="70" spans="1:11">
      <c r="A70" s="212"/>
      <c r="B70" s="212"/>
      <c r="C70" s="117" t="s">
        <v>1255</v>
      </c>
      <c r="D70" s="203"/>
      <c r="E70" s="203"/>
      <c r="F70" s="117" t="s">
        <v>1139</v>
      </c>
      <c r="G70" s="123">
        <v>1.5</v>
      </c>
      <c r="H70" s="121"/>
      <c r="I70" s="117">
        <v>16.5</v>
      </c>
      <c r="J70" s="117" t="s">
        <v>1233</v>
      </c>
      <c r="K70" s="117"/>
    </row>
    <row r="71" spans="1:11">
      <c r="A71" s="213"/>
      <c r="B71" s="213"/>
      <c r="C71" s="117" t="s">
        <v>1256</v>
      </c>
      <c r="D71" s="117">
        <v>10</v>
      </c>
      <c r="E71" s="117" t="s">
        <v>2118</v>
      </c>
      <c r="F71" s="117" t="s">
        <v>1139</v>
      </c>
      <c r="G71" s="123">
        <v>1.8</v>
      </c>
      <c r="H71" s="121"/>
      <c r="I71" s="117">
        <v>16.5</v>
      </c>
      <c r="J71" s="117" t="s">
        <v>1233</v>
      </c>
      <c r="K71" s="117" t="s">
        <v>1257</v>
      </c>
    </row>
    <row r="72" spans="1:11">
      <c r="A72" s="208" t="s">
        <v>313</v>
      </c>
      <c r="B72" s="208" t="s">
        <v>314</v>
      </c>
      <c r="C72" s="127" t="s">
        <v>315</v>
      </c>
      <c r="D72" s="200">
        <v>42</v>
      </c>
      <c r="E72" s="206">
        <v>11.8</v>
      </c>
      <c r="F72" s="127" t="s">
        <v>32</v>
      </c>
      <c r="G72" s="135">
        <v>250</v>
      </c>
      <c r="H72" s="135"/>
      <c r="I72" s="135">
        <v>6</v>
      </c>
      <c r="J72" s="135" t="s">
        <v>180</v>
      </c>
      <c r="K72" s="135" t="s">
        <v>2225</v>
      </c>
    </row>
    <row r="73" spans="1:11">
      <c r="A73" s="209"/>
      <c r="B73" s="209"/>
      <c r="C73" s="127" t="s">
        <v>316</v>
      </c>
      <c r="D73" s="201"/>
      <c r="E73" s="207"/>
      <c r="F73" s="127" t="s">
        <v>32</v>
      </c>
      <c r="G73" s="135">
        <v>230</v>
      </c>
      <c r="H73" s="135"/>
      <c r="I73" s="135">
        <v>0</v>
      </c>
      <c r="J73" s="135" t="s">
        <v>180</v>
      </c>
      <c r="K73" s="135"/>
    </row>
    <row r="74" spans="1:11" ht="32.6">
      <c r="A74" s="113" t="s">
        <v>317</v>
      </c>
      <c r="B74" s="113" t="s">
        <v>237</v>
      </c>
      <c r="C74" s="114" t="s">
        <v>1</v>
      </c>
      <c r="D74" s="114" t="s">
        <v>2</v>
      </c>
      <c r="E74" s="114" t="s">
        <v>2116</v>
      </c>
      <c r="F74" s="114" t="s">
        <v>3</v>
      </c>
      <c r="G74" s="114" t="s">
        <v>4</v>
      </c>
      <c r="H74" s="115" t="s">
        <v>1097</v>
      </c>
      <c r="I74" s="114" t="s">
        <v>2551</v>
      </c>
      <c r="J74" s="114" t="s">
        <v>238</v>
      </c>
      <c r="K74" s="114" t="s">
        <v>7</v>
      </c>
    </row>
    <row r="75" spans="1:11">
      <c r="A75" s="211" t="s">
        <v>2257</v>
      </c>
      <c r="B75" s="211" t="s">
        <v>1259</v>
      </c>
      <c r="C75" s="117"/>
      <c r="D75" s="117">
        <v>16</v>
      </c>
      <c r="E75" s="117" t="s">
        <v>2114</v>
      </c>
      <c r="F75" s="117" t="s">
        <v>1221</v>
      </c>
      <c r="G75" s="117" t="s">
        <v>1260</v>
      </c>
      <c r="H75" s="117"/>
      <c r="I75" s="117" t="s">
        <v>143</v>
      </c>
      <c r="J75" s="117" t="s">
        <v>1235</v>
      </c>
      <c r="K75" s="117"/>
    </row>
    <row r="76" spans="1:11">
      <c r="A76" s="213"/>
      <c r="B76" s="213"/>
      <c r="C76" s="117" t="s">
        <v>1246</v>
      </c>
      <c r="D76" s="117">
        <v>6</v>
      </c>
      <c r="E76" s="117" t="s">
        <v>2114</v>
      </c>
      <c r="F76" s="117" t="s">
        <v>1139</v>
      </c>
      <c r="G76" s="118">
        <v>1.5</v>
      </c>
      <c r="H76" s="117"/>
      <c r="I76" s="117">
        <v>15</v>
      </c>
      <c r="J76" s="117" t="s">
        <v>244</v>
      </c>
      <c r="K76" s="117"/>
    </row>
    <row r="77" spans="1:11">
      <c r="A77" s="208" t="s">
        <v>319</v>
      </c>
      <c r="B77" s="208" t="s">
        <v>320</v>
      </c>
      <c r="C77" s="127" t="s">
        <v>37</v>
      </c>
      <c r="D77" s="200">
        <v>20</v>
      </c>
      <c r="E77" s="200" t="s">
        <v>2119</v>
      </c>
      <c r="F77" s="127" t="s">
        <v>2574</v>
      </c>
      <c r="G77" s="135" t="s">
        <v>2423</v>
      </c>
      <c r="H77" s="135"/>
      <c r="I77" s="127">
        <v>10.199999999999999</v>
      </c>
      <c r="J77" s="127" t="s">
        <v>244</v>
      </c>
      <c r="K77" s="127"/>
    </row>
    <row r="78" spans="1:11">
      <c r="A78" s="209"/>
      <c r="B78" s="209"/>
      <c r="C78" s="127" t="s">
        <v>164</v>
      </c>
      <c r="D78" s="201"/>
      <c r="E78" s="201"/>
      <c r="F78" s="127" t="s">
        <v>2574</v>
      </c>
      <c r="G78" s="135" t="s">
        <v>2422</v>
      </c>
      <c r="H78" s="135"/>
      <c r="I78" s="127">
        <v>10.199999999999999</v>
      </c>
      <c r="J78" s="127" t="s">
        <v>259</v>
      </c>
      <c r="K78" s="127" t="s">
        <v>1129</v>
      </c>
    </row>
    <row r="79" spans="1:11" ht="48.9">
      <c r="A79" s="119" t="s">
        <v>321</v>
      </c>
      <c r="B79" s="119" t="s">
        <v>322</v>
      </c>
      <c r="C79" s="117"/>
      <c r="D79" s="117">
        <v>20</v>
      </c>
      <c r="E79" s="117" t="s">
        <v>1261</v>
      </c>
      <c r="F79" s="117" t="s">
        <v>52</v>
      </c>
      <c r="G79" s="124" t="s">
        <v>2453</v>
      </c>
      <c r="H79" s="124"/>
      <c r="I79" s="117" t="s">
        <v>56</v>
      </c>
      <c r="J79" s="117" t="s">
        <v>56</v>
      </c>
      <c r="K79" s="117" t="s">
        <v>2447</v>
      </c>
    </row>
    <row r="80" spans="1:11">
      <c r="A80" s="129" t="s">
        <v>323</v>
      </c>
      <c r="B80" s="129" t="s">
        <v>324</v>
      </c>
      <c r="C80" s="127"/>
      <c r="D80" s="127">
        <v>25</v>
      </c>
      <c r="E80" s="127" t="s">
        <v>2117</v>
      </c>
      <c r="F80" s="127" t="s">
        <v>10</v>
      </c>
      <c r="G80" s="128" t="s">
        <v>1145</v>
      </c>
      <c r="H80" s="128"/>
      <c r="I80" s="127" t="s">
        <v>2479</v>
      </c>
      <c r="J80" s="127" t="s">
        <v>259</v>
      </c>
      <c r="K80" s="127" t="s">
        <v>1146</v>
      </c>
    </row>
    <row r="81" spans="1:11">
      <c r="A81" s="211" t="s">
        <v>2258</v>
      </c>
      <c r="B81" s="211" t="s">
        <v>1262</v>
      </c>
      <c r="C81" s="117" t="s">
        <v>1465</v>
      </c>
      <c r="D81" s="117">
        <v>10</v>
      </c>
      <c r="E81" s="117" t="s">
        <v>2117</v>
      </c>
      <c r="F81" s="117" t="s">
        <v>10</v>
      </c>
      <c r="G81" s="118">
        <v>0.85</v>
      </c>
      <c r="H81" s="118"/>
      <c r="I81" s="117">
        <v>12</v>
      </c>
      <c r="J81" s="117" t="s">
        <v>1232</v>
      </c>
      <c r="K81" s="117"/>
    </row>
    <row r="82" spans="1:11">
      <c r="A82" s="213"/>
      <c r="B82" s="213"/>
      <c r="C82" s="117" t="s">
        <v>2120</v>
      </c>
      <c r="D82" s="117">
        <v>25</v>
      </c>
      <c r="E82" s="117" t="s">
        <v>2117</v>
      </c>
      <c r="F82" s="117" t="s">
        <v>10</v>
      </c>
      <c r="G82" s="118">
        <v>1.85</v>
      </c>
      <c r="H82" s="118"/>
      <c r="I82" s="117">
        <v>24</v>
      </c>
      <c r="J82" s="117" t="s">
        <v>1232</v>
      </c>
      <c r="K82" s="117" t="s">
        <v>1128</v>
      </c>
    </row>
    <row r="83" spans="1:11">
      <c r="A83" s="208" t="s">
        <v>325</v>
      </c>
      <c r="B83" s="208" t="s">
        <v>326</v>
      </c>
      <c r="C83" s="127" t="s">
        <v>46</v>
      </c>
      <c r="D83" s="127">
        <v>20</v>
      </c>
      <c r="E83" s="127" t="s">
        <v>2117</v>
      </c>
      <c r="F83" s="127" t="s">
        <v>2574</v>
      </c>
      <c r="G83" s="127" t="s">
        <v>327</v>
      </c>
      <c r="H83" s="127" t="s">
        <v>1140</v>
      </c>
      <c r="I83" s="127">
        <v>15</v>
      </c>
      <c r="J83" s="127" t="s">
        <v>259</v>
      </c>
      <c r="K83" s="127"/>
    </row>
    <row r="84" spans="1:11">
      <c r="A84" s="209"/>
      <c r="B84" s="209"/>
      <c r="C84" s="127" t="s">
        <v>152</v>
      </c>
      <c r="D84" s="127">
        <v>20</v>
      </c>
      <c r="E84" s="127" t="s">
        <v>2117</v>
      </c>
      <c r="F84" s="127" t="s">
        <v>2574</v>
      </c>
      <c r="G84" s="127" t="s">
        <v>328</v>
      </c>
      <c r="H84" s="127"/>
      <c r="I84" s="127">
        <v>10.199999999999999</v>
      </c>
      <c r="J84" s="127" t="s">
        <v>259</v>
      </c>
      <c r="K84" s="127" t="s">
        <v>1128</v>
      </c>
    </row>
    <row r="85" spans="1:11">
      <c r="A85" s="211" t="s">
        <v>2259</v>
      </c>
      <c r="B85" s="211" t="s">
        <v>1263</v>
      </c>
      <c r="C85" s="117" t="s">
        <v>1274</v>
      </c>
      <c r="D85" s="202" t="s">
        <v>1276</v>
      </c>
      <c r="E85" s="202" t="s">
        <v>2117</v>
      </c>
      <c r="F85" s="117" t="s">
        <v>1139</v>
      </c>
      <c r="G85" s="117" t="s">
        <v>2043</v>
      </c>
      <c r="H85" s="117"/>
      <c r="I85" s="117" t="s">
        <v>2480</v>
      </c>
      <c r="J85" s="117" t="s">
        <v>1240</v>
      </c>
      <c r="K85" s="117"/>
    </row>
    <row r="86" spans="1:11">
      <c r="A86" s="212"/>
      <c r="B86" s="212"/>
      <c r="C86" s="117" t="s">
        <v>1275</v>
      </c>
      <c r="D86" s="203"/>
      <c r="E86" s="203"/>
      <c r="F86" s="117" t="s">
        <v>1221</v>
      </c>
      <c r="G86" s="117" t="s">
        <v>1272</v>
      </c>
      <c r="H86" s="117"/>
      <c r="I86" s="117">
        <v>0</v>
      </c>
      <c r="J86" s="117" t="s">
        <v>1223</v>
      </c>
      <c r="K86" s="117"/>
    </row>
    <row r="87" spans="1:11">
      <c r="A87" s="212"/>
      <c r="B87" s="212"/>
      <c r="C87" s="117" t="s">
        <v>1270</v>
      </c>
      <c r="D87" s="202">
        <v>10</v>
      </c>
      <c r="E87" s="202" t="s">
        <v>2117</v>
      </c>
      <c r="F87" s="117" t="s">
        <v>1139</v>
      </c>
      <c r="G87" s="117" t="s">
        <v>2044</v>
      </c>
      <c r="H87" s="117"/>
      <c r="I87" s="117" t="s">
        <v>2481</v>
      </c>
      <c r="J87" s="117" t="s">
        <v>1240</v>
      </c>
      <c r="K87" s="117"/>
    </row>
    <row r="88" spans="1:11">
      <c r="A88" s="213"/>
      <c r="B88" s="213"/>
      <c r="C88" s="117" t="s">
        <v>1271</v>
      </c>
      <c r="D88" s="203"/>
      <c r="E88" s="203"/>
      <c r="F88" s="117" t="s">
        <v>1221</v>
      </c>
      <c r="G88" s="117" t="s">
        <v>1273</v>
      </c>
      <c r="H88" s="117"/>
      <c r="I88" s="117">
        <v>10</v>
      </c>
      <c r="J88" s="117" t="s">
        <v>1223</v>
      </c>
      <c r="K88" s="117" t="s">
        <v>1257</v>
      </c>
    </row>
    <row r="89" spans="1:11">
      <c r="A89" s="208" t="s">
        <v>2260</v>
      </c>
      <c r="B89" s="208" t="s">
        <v>1277</v>
      </c>
      <c r="C89" s="127" t="s">
        <v>1278</v>
      </c>
      <c r="D89" s="200">
        <v>32</v>
      </c>
      <c r="E89" s="200" t="s">
        <v>2391</v>
      </c>
      <c r="F89" s="127" t="s">
        <v>1139</v>
      </c>
      <c r="G89" s="128">
        <v>0.99</v>
      </c>
      <c r="H89" s="127"/>
      <c r="I89" s="127">
        <v>15</v>
      </c>
      <c r="J89" s="127" t="s">
        <v>1240</v>
      </c>
      <c r="K89" s="127"/>
    </row>
    <row r="90" spans="1:11">
      <c r="A90" s="210"/>
      <c r="B90" s="210"/>
      <c r="C90" s="127" t="s">
        <v>1279</v>
      </c>
      <c r="D90" s="204"/>
      <c r="E90" s="201"/>
      <c r="F90" s="127" t="s">
        <v>2574</v>
      </c>
      <c r="G90" s="127" t="s">
        <v>2175</v>
      </c>
      <c r="H90" s="127"/>
      <c r="I90" s="127" t="s">
        <v>1603</v>
      </c>
      <c r="J90" s="127" t="s">
        <v>2198</v>
      </c>
      <c r="K90" s="127"/>
    </row>
    <row r="91" spans="1:11">
      <c r="A91" s="210"/>
      <c r="B91" s="210"/>
      <c r="C91" s="127" t="s">
        <v>1280</v>
      </c>
      <c r="D91" s="204"/>
      <c r="E91" s="200" t="s">
        <v>2391</v>
      </c>
      <c r="F91" s="127" t="s">
        <v>1139</v>
      </c>
      <c r="G91" s="128">
        <v>1.32</v>
      </c>
      <c r="H91" s="127"/>
      <c r="I91" s="127">
        <v>27</v>
      </c>
      <c r="J91" s="127" t="s">
        <v>1240</v>
      </c>
      <c r="K91" s="127"/>
    </row>
    <row r="92" spans="1:11">
      <c r="A92" s="209"/>
      <c r="B92" s="209"/>
      <c r="C92" s="127" t="s">
        <v>1281</v>
      </c>
      <c r="D92" s="201"/>
      <c r="E92" s="201"/>
      <c r="F92" s="127" t="s">
        <v>2574</v>
      </c>
      <c r="G92" s="127" t="s">
        <v>2176</v>
      </c>
      <c r="H92" s="127"/>
      <c r="I92" s="127" t="s">
        <v>1603</v>
      </c>
      <c r="J92" s="127" t="s">
        <v>2198</v>
      </c>
      <c r="K92" s="127" t="s">
        <v>1386</v>
      </c>
    </row>
    <row r="93" spans="1:11">
      <c r="A93" s="211" t="s">
        <v>329</v>
      </c>
      <c r="B93" s="211" t="s">
        <v>330</v>
      </c>
      <c r="C93" s="117" t="s">
        <v>2121</v>
      </c>
      <c r="D93" s="202">
        <v>15</v>
      </c>
      <c r="E93" s="202" t="s">
        <v>2119</v>
      </c>
      <c r="F93" s="117" t="s">
        <v>2574</v>
      </c>
      <c r="G93" s="118" t="s">
        <v>331</v>
      </c>
      <c r="H93" s="118"/>
      <c r="I93" s="117">
        <v>6</v>
      </c>
      <c r="J93" s="117" t="s">
        <v>332</v>
      </c>
      <c r="K93" s="117"/>
    </row>
    <row r="94" spans="1:11" ht="32.6">
      <c r="A94" s="212"/>
      <c r="B94" s="212"/>
      <c r="C94" s="117" t="s">
        <v>2122</v>
      </c>
      <c r="D94" s="203"/>
      <c r="E94" s="203"/>
      <c r="F94" s="117" t="s">
        <v>10</v>
      </c>
      <c r="G94" s="118">
        <v>2.2000000000000002</v>
      </c>
      <c r="H94" s="118"/>
      <c r="I94" s="117">
        <v>18</v>
      </c>
      <c r="J94" s="117" t="s">
        <v>332</v>
      </c>
      <c r="K94" s="117" t="s">
        <v>333</v>
      </c>
    </row>
    <row r="95" spans="1:11">
      <c r="A95" s="213"/>
      <c r="B95" s="213"/>
      <c r="C95" s="117" t="s">
        <v>44</v>
      </c>
      <c r="D95" s="117">
        <v>15</v>
      </c>
      <c r="E95" s="117" t="s">
        <v>2119</v>
      </c>
      <c r="F95" s="117" t="s">
        <v>10</v>
      </c>
      <c r="G95" s="118">
        <v>2.2999999999999998</v>
      </c>
      <c r="H95" s="118"/>
      <c r="I95" s="117">
        <v>24</v>
      </c>
      <c r="J95" s="117" t="s">
        <v>332</v>
      </c>
      <c r="K95" s="117" t="s">
        <v>1131</v>
      </c>
    </row>
    <row r="96" spans="1:11" ht="65.150000000000006">
      <c r="A96" s="129" t="s">
        <v>335</v>
      </c>
      <c r="B96" s="129" t="s">
        <v>336</v>
      </c>
      <c r="C96" s="127"/>
      <c r="D96" s="127">
        <v>40</v>
      </c>
      <c r="E96" s="127" t="s">
        <v>2117</v>
      </c>
      <c r="F96" s="127" t="s">
        <v>10</v>
      </c>
      <c r="G96" s="135" t="s">
        <v>337</v>
      </c>
      <c r="H96" s="135"/>
      <c r="I96" s="127" t="s">
        <v>2482</v>
      </c>
      <c r="J96" s="127" t="s">
        <v>2053</v>
      </c>
      <c r="K96" s="127" t="s">
        <v>1130</v>
      </c>
    </row>
    <row r="97" spans="1:11" ht="48.9">
      <c r="A97" s="113" t="s">
        <v>1282</v>
      </c>
      <c r="B97" s="113" t="s">
        <v>237</v>
      </c>
      <c r="C97" s="114" t="s">
        <v>1</v>
      </c>
      <c r="D97" s="114" t="s">
        <v>2</v>
      </c>
      <c r="E97" s="114" t="s">
        <v>2116</v>
      </c>
      <c r="F97" s="114" t="s">
        <v>3</v>
      </c>
      <c r="G97" s="114" t="s">
        <v>4</v>
      </c>
      <c r="H97" s="115" t="s">
        <v>1097</v>
      </c>
      <c r="I97" s="114" t="s">
        <v>2552</v>
      </c>
      <c r="J97" s="114" t="s">
        <v>238</v>
      </c>
      <c r="K97" s="114" t="s">
        <v>7</v>
      </c>
    </row>
    <row r="98" spans="1:11">
      <c r="A98" s="211" t="s">
        <v>339</v>
      </c>
      <c r="B98" s="211" t="s">
        <v>340</v>
      </c>
      <c r="C98" s="117" t="s">
        <v>9</v>
      </c>
      <c r="D98" s="117" t="s">
        <v>341</v>
      </c>
      <c r="E98" s="117" t="s">
        <v>2114</v>
      </c>
      <c r="F98" s="117" t="s">
        <v>10</v>
      </c>
      <c r="G98" s="118">
        <v>1.85</v>
      </c>
      <c r="H98" s="118" t="s">
        <v>1147</v>
      </c>
      <c r="I98" s="117">
        <v>33</v>
      </c>
      <c r="J98" s="117" t="s">
        <v>66</v>
      </c>
      <c r="K98" s="117"/>
    </row>
    <row r="99" spans="1:11" ht="32.6">
      <c r="A99" s="213"/>
      <c r="B99" s="213"/>
      <c r="C99" s="117" t="s">
        <v>342</v>
      </c>
      <c r="D99" s="117">
        <v>7</v>
      </c>
      <c r="E99" s="117" t="s">
        <v>2114</v>
      </c>
      <c r="F99" s="117" t="s">
        <v>10</v>
      </c>
      <c r="G99" s="117" t="s">
        <v>343</v>
      </c>
      <c r="H99" s="117" t="s">
        <v>1147</v>
      </c>
      <c r="I99" s="117" t="s">
        <v>2483</v>
      </c>
      <c r="J99" s="117" t="s">
        <v>2123</v>
      </c>
      <c r="K99" s="117"/>
    </row>
    <row r="100" spans="1:11">
      <c r="A100" s="208" t="s">
        <v>344</v>
      </c>
      <c r="B100" s="208" t="s">
        <v>345</v>
      </c>
      <c r="C100" s="127" t="s">
        <v>346</v>
      </c>
      <c r="D100" s="200">
        <v>28</v>
      </c>
      <c r="E100" s="127" t="s">
        <v>2391</v>
      </c>
      <c r="F100" s="127" t="s">
        <v>32</v>
      </c>
      <c r="G100" s="127" t="s">
        <v>347</v>
      </c>
      <c r="H100" s="127"/>
      <c r="I100" s="127" t="s">
        <v>2484</v>
      </c>
      <c r="J100" s="127" t="s">
        <v>172</v>
      </c>
      <c r="K100" s="127" t="s">
        <v>348</v>
      </c>
    </row>
    <row r="101" spans="1:11">
      <c r="A101" s="210"/>
      <c r="B101" s="210"/>
      <c r="C101" s="127" t="s">
        <v>349</v>
      </c>
      <c r="D101" s="204"/>
      <c r="E101" s="127" t="s">
        <v>2391</v>
      </c>
      <c r="F101" s="127" t="s">
        <v>2574</v>
      </c>
      <c r="G101" s="127" t="s">
        <v>350</v>
      </c>
      <c r="H101" s="127"/>
      <c r="I101" s="127">
        <v>11</v>
      </c>
      <c r="J101" s="127" t="s">
        <v>351</v>
      </c>
      <c r="K101" s="127" t="s">
        <v>1129</v>
      </c>
    </row>
    <row r="102" spans="1:11">
      <c r="A102" s="209"/>
      <c r="B102" s="209"/>
      <c r="C102" s="127" t="s">
        <v>352</v>
      </c>
      <c r="D102" s="201"/>
      <c r="E102" s="127" t="s">
        <v>2391</v>
      </c>
      <c r="F102" s="127" t="s">
        <v>2574</v>
      </c>
      <c r="G102" s="127" t="s">
        <v>353</v>
      </c>
      <c r="H102" s="127"/>
      <c r="I102" s="127">
        <v>33</v>
      </c>
      <c r="J102" s="127" t="s">
        <v>351</v>
      </c>
      <c r="K102" s="127" t="s">
        <v>1129</v>
      </c>
    </row>
    <row r="103" spans="1:11" ht="32.6">
      <c r="A103" s="113" t="s">
        <v>354</v>
      </c>
      <c r="B103" s="113" t="s">
        <v>237</v>
      </c>
      <c r="C103" s="114" t="s">
        <v>1</v>
      </c>
      <c r="D103" s="114" t="s">
        <v>2</v>
      </c>
      <c r="E103" s="114" t="s">
        <v>2116</v>
      </c>
      <c r="F103" s="114" t="s">
        <v>3</v>
      </c>
      <c r="G103" s="114" t="s">
        <v>4</v>
      </c>
      <c r="H103" s="115" t="s">
        <v>1097</v>
      </c>
      <c r="I103" s="114" t="s">
        <v>2549</v>
      </c>
      <c r="J103" s="114" t="s">
        <v>238</v>
      </c>
      <c r="K103" s="114" t="s">
        <v>7</v>
      </c>
    </row>
    <row r="104" spans="1:11">
      <c r="A104" s="211" t="s">
        <v>357</v>
      </c>
      <c r="B104" s="211" t="s">
        <v>358</v>
      </c>
      <c r="C104" s="117" t="s">
        <v>42</v>
      </c>
      <c r="D104" s="202">
        <v>12</v>
      </c>
      <c r="E104" s="202">
        <v>3</v>
      </c>
      <c r="F104" s="117" t="s">
        <v>10</v>
      </c>
      <c r="G104" s="118">
        <v>1</v>
      </c>
      <c r="H104" s="118" t="s">
        <v>1127</v>
      </c>
      <c r="I104" s="117">
        <v>14.5</v>
      </c>
      <c r="J104" s="117" t="s">
        <v>1287</v>
      </c>
      <c r="K104" s="117"/>
    </row>
    <row r="105" spans="1:11">
      <c r="A105" s="212"/>
      <c r="B105" s="212"/>
      <c r="C105" s="117" t="s">
        <v>154</v>
      </c>
      <c r="D105" s="203"/>
      <c r="E105" s="203"/>
      <c r="F105" s="117" t="s">
        <v>32</v>
      </c>
      <c r="G105" s="117" t="s">
        <v>359</v>
      </c>
      <c r="H105" s="118" t="s">
        <v>1127</v>
      </c>
      <c r="I105" s="117">
        <v>0</v>
      </c>
      <c r="J105" s="117" t="s">
        <v>1239</v>
      </c>
      <c r="K105" s="117"/>
    </row>
    <row r="106" spans="1:11">
      <c r="A106" s="213"/>
      <c r="B106" s="213"/>
      <c r="C106" s="117" t="s">
        <v>44</v>
      </c>
      <c r="D106" s="117">
        <v>12</v>
      </c>
      <c r="E106" s="117">
        <v>3</v>
      </c>
      <c r="F106" s="117" t="s">
        <v>10</v>
      </c>
      <c r="G106" s="117" t="s">
        <v>360</v>
      </c>
      <c r="H106" s="118" t="s">
        <v>1127</v>
      </c>
      <c r="I106" s="117" t="s">
        <v>2485</v>
      </c>
      <c r="J106" s="117" t="s">
        <v>1287</v>
      </c>
      <c r="K106" s="117"/>
    </row>
    <row r="107" spans="1:11">
      <c r="A107" s="208" t="s">
        <v>2261</v>
      </c>
      <c r="B107" s="208" t="s">
        <v>1283</v>
      </c>
      <c r="C107" s="127" t="s">
        <v>42</v>
      </c>
      <c r="D107" s="200">
        <v>12</v>
      </c>
      <c r="E107" s="200">
        <v>3</v>
      </c>
      <c r="F107" s="127" t="s">
        <v>1139</v>
      </c>
      <c r="G107" s="127" t="s">
        <v>1285</v>
      </c>
      <c r="H107" s="128"/>
      <c r="I107" s="127" t="s">
        <v>2486</v>
      </c>
      <c r="J107" s="127" t="s">
        <v>1288</v>
      </c>
      <c r="K107" s="127" t="s">
        <v>1284</v>
      </c>
    </row>
    <row r="108" spans="1:11">
      <c r="A108" s="210"/>
      <c r="B108" s="210"/>
      <c r="C108" s="127" t="s">
        <v>1286</v>
      </c>
      <c r="D108" s="201"/>
      <c r="E108" s="201"/>
      <c r="F108" s="127" t="s">
        <v>1221</v>
      </c>
      <c r="G108" s="127" t="s">
        <v>2174</v>
      </c>
      <c r="H108" s="128"/>
      <c r="I108" s="127" t="s">
        <v>1616</v>
      </c>
      <c r="J108" s="127" t="s">
        <v>1235</v>
      </c>
      <c r="K108" s="127"/>
    </row>
    <row r="109" spans="1:11">
      <c r="A109" s="210"/>
      <c r="B109" s="210"/>
      <c r="C109" s="127" t="s">
        <v>44</v>
      </c>
      <c r="D109" s="200">
        <v>12</v>
      </c>
      <c r="E109" s="200">
        <v>3</v>
      </c>
      <c r="F109" s="127" t="s">
        <v>1139</v>
      </c>
      <c r="G109" s="128">
        <v>1</v>
      </c>
      <c r="H109" s="128"/>
      <c r="I109" s="127">
        <v>6</v>
      </c>
      <c r="J109" s="127" t="s">
        <v>1288</v>
      </c>
      <c r="K109" s="127" t="s">
        <v>1284</v>
      </c>
    </row>
    <row r="110" spans="1:11">
      <c r="A110" s="209"/>
      <c r="B110" s="209"/>
      <c r="C110" s="127" t="s">
        <v>1289</v>
      </c>
      <c r="D110" s="201"/>
      <c r="E110" s="201"/>
      <c r="F110" s="127" t="s">
        <v>1221</v>
      </c>
      <c r="G110" s="127" t="s">
        <v>2174</v>
      </c>
      <c r="H110" s="128"/>
      <c r="I110" s="127" t="s">
        <v>1616</v>
      </c>
      <c r="J110" s="127" t="s">
        <v>1235</v>
      </c>
      <c r="K110" s="127"/>
    </row>
    <row r="111" spans="1:11">
      <c r="A111" s="119" t="s">
        <v>355</v>
      </c>
      <c r="B111" s="119" t="s">
        <v>356</v>
      </c>
      <c r="C111" s="117"/>
      <c r="D111" s="117">
        <v>9</v>
      </c>
      <c r="E111" s="117" t="s">
        <v>2114</v>
      </c>
      <c r="F111" s="117" t="s">
        <v>10</v>
      </c>
      <c r="G111" s="118">
        <v>2.2000000000000002</v>
      </c>
      <c r="H111" s="118"/>
      <c r="I111" s="117">
        <v>22</v>
      </c>
      <c r="J111" s="117" t="s">
        <v>176</v>
      </c>
      <c r="K111" s="117"/>
    </row>
    <row r="112" spans="1:11">
      <c r="A112" s="129" t="s">
        <v>361</v>
      </c>
      <c r="B112" s="129" t="s">
        <v>362</v>
      </c>
      <c r="C112" s="127"/>
      <c r="D112" s="127">
        <v>20</v>
      </c>
      <c r="E112" s="127" t="s">
        <v>2114</v>
      </c>
      <c r="F112" s="127" t="s">
        <v>32</v>
      </c>
      <c r="G112" s="127" t="s">
        <v>363</v>
      </c>
      <c r="H112" s="127"/>
      <c r="I112" s="127" t="s">
        <v>364</v>
      </c>
      <c r="J112" s="127" t="s">
        <v>121</v>
      </c>
      <c r="K112" s="127"/>
    </row>
    <row r="113" spans="1:11">
      <c r="A113" s="211" t="s">
        <v>2262</v>
      </c>
      <c r="B113" s="211" t="s">
        <v>1290</v>
      </c>
      <c r="C113" s="117"/>
      <c r="D113" s="117">
        <v>15</v>
      </c>
      <c r="E113" s="117" t="s">
        <v>2119</v>
      </c>
      <c r="F113" s="117" t="s">
        <v>1294</v>
      </c>
      <c r="G113" s="117" t="s">
        <v>1293</v>
      </c>
      <c r="H113" s="117"/>
      <c r="I113" s="117" t="s">
        <v>2466</v>
      </c>
      <c r="J113" s="117" t="s">
        <v>1295</v>
      </c>
      <c r="K113" s="117"/>
    </row>
    <row r="114" spans="1:11">
      <c r="A114" s="213"/>
      <c r="B114" s="213"/>
      <c r="C114" s="117" t="s">
        <v>1291</v>
      </c>
      <c r="D114" s="117">
        <v>10</v>
      </c>
      <c r="E114" s="117" t="s">
        <v>2114</v>
      </c>
      <c r="F114" s="117" t="s">
        <v>1294</v>
      </c>
      <c r="G114" s="117" t="s">
        <v>1292</v>
      </c>
      <c r="H114" s="117"/>
      <c r="I114" s="117" t="s">
        <v>2487</v>
      </c>
      <c r="J114" s="117" t="s">
        <v>1295</v>
      </c>
      <c r="K114" s="117"/>
    </row>
    <row r="115" spans="1:11">
      <c r="A115" s="208" t="s">
        <v>2263</v>
      </c>
      <c r="B115" s="208" t="s">
        <v>1296</v>
      </c>
      <c r="C115" s="127" t="s">
        <v>1298</v>
      </c>
      <c r="D115" s="127">
        <v>2</v>
      </c>
      <c r="E115" s="127" t="s">
        <v>2114</v>
      </c>
      <c r="F115" s="127" t="s">
        <v>1294</v>
      </c>
      <c r="G115" s="128">
        <v>1.1000000000000001</v>
      </c>
      <c r="H115" s="127" t="s">
        <v>1297</v>
      </c>
      <c r="I115" s="127">
        <v>6</v>
      </c>
      <c r="J115" s="127" t="s">
        <v>1295</v>
      </c>
      <c r="K115" s="127"/>
    </row>
    <row r="116" spans="1:11">
      <c r="A116" s="210"/>
      <c r="B116" s="210"/>
      <c r="C116" s="127" t="s">
        <v>1299</v>
      </c>
      <c r="D116" s="127">
        <v>2</v>
      </c>
      <c r="E116" s="127" t="s">
        <v>2114</v>
      </c>
      <c r="F116" s="127" t="s">
        <v>1294</v>
      </c>
      <c r="G116" s="127" t="s">
        <v>1305</v>
      </c>
      <c r="H116" s="127" t="s">
        <v>1297</v>
      </c>
      <c r="I116" s="127" t="s">
        <v>2488</v>
      </c>
      <c r="J116" s="127" t="s">
        <v>1295</v>
      </c>
      <c r="K116" s="127"/>
    </row>
    <row r="117" spans="1:11">
      <c r="A117" s="210"/>
      <c r="B117" s="210"/>
      <c r="C117" s="127" t="s">
        <v>1300</v>
      </c>
      <c r="D117" s="127">
        <v>2</v>
      </c>
      <c r="E117" s="127" t="s">
        <v>2114</v>
      </c>
      <c r="F117" s="127" t="s">
        <v>1294</v>
      </c>
      <c r="G117" s="127" t="s">
        <v>1306</v>
      </c>
      <c r="H117" s="127" t="s">
        <v>1297</v>
      </c>
      <c r="I117" s="127" t="s">
        <v>2488</v>
      </c>
      <c r="J117" s="127" t="s">
        <v>1295</v>
      </c>
      <c r="K117" s="127"/>
    </row>
    <row r="118" spans="1:11">
      <c r="A118" s="210"/>
      <c r="B118" s="210"/>
      <c r="C118" s="127" t="s">
        <v>1301</v>
      </c>
      <c r="D118" s="127">
        <v>2</v>
      </c>
      <c r="E118" s="127" t="s">
        <v>2114</v>
      </c>
      <c r="F118" s="127" t="s">
        <v>1294</v>
      </c>
      <c r="G118" s="127" t="s">
        <v>1306</v>
      </c>
      <c r="H118" s="127" t="s">
        <v>1297</v>
      </c>
      <c r="I118" s="127" t="s">
        <v>2488</v>
      </c>
      <c r="J118" s="127" t="s">
        <v>1295</v>
      </c>
      <c r="K118" s="127"/>
    </row>
    <row r="119" spans="1:11">
      <c r="A119" s="210"/>
      <c r="B119" s="210"/>
      <c r="C119" s="127" t="s">
        <v>1302</v>
      </c>
      <c r="D119" s="127">
        <v>2</v>
      </c>
      <c r="E119" s="127" t="s">
        <v>2114</v>
      </c>
      <c r="F119" s="127" t="s">
        <v>1294</v>
      </c>
      <c r="G119" s="127" t="s">
        <v>1307</v>
      </c>
      <c r="H119" s="127" t="s">
        <v>1297</v>
      </c>
      <c r="I119" s="127" t="s">
        <v>2489</v>
      </c>
      <c r="J119" s="127" t="s">
        <v>1295</v>
      </c>
      <c r="K119" s="127"/>
    </row>
    <row r="120" spans="1:11">
      <c r="A120" s="210"/>
      <c r="B120" s="210"/>
      <c r="C120" s="127" t="s">
        <v>1303</v>
      </c>
      <c r="D120" s="127">
        <v>2</v>
      </c>
      <c r="E120" s="127" t="s">
        <v>2114</v>
      </c>
      <c r="F120" s="127" t="s">
        <v>1294</v>
      </c>
      <c r="G120" s="127" t="s">
        <v>1308</v>
      </c>
      <c r="H120" s="127" t="s">
        <v>1297</v>
      </c>
      <c r="I120" s="127" t="s">
        <v>2490</v>
      </c>
      <c r="J120" s="127" t="s">
        <v>1295</v>
      </c>
      <c r="K120" s="127"/>
    </row>
    <row r="121" spans="1:11">
      <c r="A121" s="209"/>
      <c r="B121" s="209"/>
      <c r="C121" s="127" t="s">
        <v>1304</v>
      </c>
      <c r="D121" s="127">
        <v>2</v>
      </c>
      <c r="E121" s="127" t="s">
        <v>2114</v>
      </c>
      <c r="F121" s="127" t="s">
        <v>1294</v>
      </c>
      <c r="G121" s="127" t="s">
        <v>1309</v>
      </c>
      <c r="H121" s="127" t="s">
        <v>1297</v>
      </c>
      <c r="I121" s="127" t="s">
        <v>2491</v>
      </c>
      <c r="J121" s="127" t="s">
        <v>1295</v>
      </c>
      <c r="K121" s="127" t="s">
        <v>1310</v>
      </c>
    </row>
    <row r="122" spans="1:11">
      <c r="A122" s="211" t="s">
        <v>2264</v>
      </c>
      <c r="B122" s="211" t="s">
        <v>1311</v>
      </c>
      <c r="C122" s="117" t="s">
        <v>1312</v>
      </c>
      <c r="D122" s="202">
        <v>17</v>
      </c>
      <c r="E122" s="202" t="s">
        <v>2118</v>
      </c>
      <c r="F122" s="117" t="s">
        <v>1294</v>
      </c>
      <c r="G122" s="118">
        <v>1</v>
      </c>
      <c r="H122" s="117"/>
      <c r="I122" s="117">
        <v>5</v>
      </c>
      <c r="J122" s="117" t="s">
        <v>1288</v>
      </c>
      <c r="K122" s="117"/>
    </row>
    <row r="123" spans="1:11">
      <c r="A123" s="213"/>
      <c r="B123" s="213"/>
      <c r="C123" s="117" t="s">
        <v>1313</v>
      </c>
      <c r="D123" s="203"/>
      <c r="E123" s="203"/>
      <c r="F123" s="117" t="s">
        <v>1314</v>
      </c>
      <c r="G123" s="117">
        <v>190</v>
      </c>
      <c r="H123" s="117"/>
      <c r="I123" s="117">
        <v>12</v>
      </c>
      <c r="J123" s="117" t="s">
        <v>1315</v>
      </c>
      <c r="K123" s="117"/>
    </row>
    <row r="124" spans="1:11" ht="32.6">
      <c r="A124" s="208" t="s">
        <v>1918</v>
      </c>
      <c r="B124" s="208" t="s">
        <v>365</v>
      </c>
      <c r="C124" s="127" t="s">
        <v>366</v>
      </c>
      <c r="D124" s="127">
        <v>16</v>
      </c>
      <c r="E124" s="127" t="s">
        <v>2114</v>
      </c>
      <c r="F124" s="127" t="s">
        <v>52</v>
      </c>
      <c r="G124" s="128" t="s">
        <v>1391</v>
      </c>
      <c r="H124" s="128"/>
      <c r="I124" s="127" t="s">
        <v>56</v>
      </c>
      <c r="J124" s="127" t="s">
        <v>56</v>
      </c>
      <c r="K124" s="127"/>
    </row>
    <row r="125" spans="1:11">
      <c r="A125" s="209"/>
      <c r="B125" s="209"/>
      <c r="C125" s="127" t="s">
        <v>44</v>
      </c>
      <c r="D125" s="127">
        <v>16</v>
      </c>
      <c r="E125" s="127" t="s">
        <v>2114</v>
      </c>
      <c r="F125" s="127" t="s">
        <v>10</v>
      </c>
      <c r="G125" s="128" t="s">
        <v>2417</v>
      </c>
      <c r="H125" s="128"/>
      <c r="I125" s="127">
        <v>30</v>
      </c>
      <c r="J125" s="127" t="s">
        <v>367</v>
      </c>
      <c r="K125" s="127"/>
    </row>
    <row r="126" spans="1:11" ht="32.6">
      <c r="A126" s="113" t="s">
        <v>368</v>
      </c>
      <c r="B126" s="113" t="s">
        <v>237</v>
      </c>
      <c r="C126" s="114" t="s">
        <v>1</v>
      </c>
      <c r="D126" s="114" t="s">
        <v>2</v>
      </c>
      <c r="E126" s="114" t="s">
        <v>2116</v>
      </c>
      <c r="F126" s="114" t="s">
        <v>3</v>
      </c>
      <c r="G126" s="114" t="s">
        <v>4</v>
      </c>
      <c r="H126" s="115" t="s">
        <v>1097</v>
      </c>
      <c r="I126" s="114" t="s">
        <v>2550</v>
      </c>
      <c r="J126" s="114" t="s">
        <v>238</v>
      </c>
      <c r="K126" s="114" t="s">
        <v>7</v>
      </c>
    </row>
    <row r="127" spans="1:11">
      <c r="A127" s="211" t="s">
        <v>372</v>
      </c>
      <c r="B127" s="211" t="s">
        <v>373</v>
      </c>
      <c r="C127" s="117"/>
      <c r="D127" s="117">
        <v>8</v>
      </c>
      <c r="E127" s="117">
        <v>11.8</v>
      </c>
      <c r="F127" s="117" t="s">
        <v>10</v>
      </c>
      <c r="G127" s="118">
        <v>1.95</v>
      </c>
      <c r="H127" s="118"/>
      <c r="I127" s="117">
        <v>22</v>
      </c>
      <c r="J127" s="117" t="s">
        <v>176</v>
      </c>
      <c r="K127" s="117"/>
    </row>
    <row r="128" spans="1:11">
      <c r="A128" s="213"/>
      <c r="B128" s="213"/>
      <c r="C128" s="117" t="s">
        <v>9</v>
      </c>
      <c r="D128" s="117">
        <v>12</v>
      </c>
      <c r="E128" s="117" t="s">
        <v>2114</v>
      </c>
      <c r="F128" s="117" t="s">
        <v>10</v>
      </c>
      <c r="G128" s="118">
        <v>2.1</v>
      </c>
      <c r="H128" s="118"/>
      <c r="I128" s="117">
        <v>22</v>
      </c>
      <c r="J128" s="117" t="s">
        <v>176</v>
      </c>
      <c r="K128" s="117"/>
    </row>
    <row r="129" spans="1:11">
      <c r="A129" s="208" t="s">
        <v>369</v>
      </c>
      <c r="B129" s="208" t="s">
        <v>370</v>
      </c>
      <c r="C129" s="127" t="s">
        <v>37</v>
      </c>
      <c r="D129" s="200">
        <v>27</v>
      </c>
      <c r="E129" s="200" t="s">
        <v>2119</v>
      </c>
      <c r="F129" s="127" t="s">
        <v>10</v>
      </c>
      <c r="G129" s="128">
        <v>1</v>
      </c>
      <c r="H129" s="128"/>
      <c r="I129" s="127">
        <v>5.5</v>
      </c>
      <c r="J129" s="127" t="s">
        <v>1337</v>
      </c>
      <c r="K129" s="127"/>
    </row>
    <row r="130" spans="1:11">
      <c r="A130" s="209"/>
      <c r="B130" s="209"/>
      <c r="C130" s="127" t="s">
        <v>371</v>
      </c>
      <c r="D130" s="201"/>
      <c r="E130" s="201"/>
      <c r="F130" s="127" t="s">
        <v>32</v>
      </c>
      <c r="G130" s="127">
        <v>200</v>
      </c>
      <c r="H130" s="127"/>
      <c r="I130" s="127">
        <v>20</v>
      </c>
      <c r="J130" s="127" t="s">
        <v>121</v>
      </c>
      <c r="K130" s="127" t="s">
        <v>1128</v>
      </c>
    </row>
    <row r="131" spans="1:11">
      <c r="A131" s="211" t="s">
        <v>379</v>
      </c>
      <c r="B131" s="211" t="s">
        <v>380</v>
      </c>
      <c r="C131" s="117" t="s">
        <v>37</v>
      </c>
      <c r="D131" s="202">
        <v>15</v>
      </c>
      <c r="E131" s="202" t="s">
        <v>2124</v>
      </c>
      <c r="F131" s="117" t="s">
        <v>10</v>
      </c>
      <c r="G131" s="118">
        <v>0.6</v>
      </c>
      <c r="H131" s="118" t="s">
        <v>1138</v>
      </c>
      <c r="I131" s="117">
        <v>3.3</v>
      </c>
      <c r="J131" s="117" t="s">
        <v>1337</v>
      </c>
      <c r="K131" s="117"/>
    </row>
    <row r="132" spans="1:11">
      <c r="A132" s="213"/>
      <c r="B132" s="213"/>
      <c r="C132" s="117" t="s">
        <v>381</v>
      </c>
      <c r="D132" s="203"/>
      <c r="E132" s="203"/>
      <c r="F132" s="117" t="s">
        <v>32</v>
      </c>
      <c r="G132" s="117" t="s">
        <v>2546</v>
      </c>
      <c r="H132" s="117" t="s">
        <v>1138</v>
      </c>
      <c r="I132" s="117" t="s">
        <v>382</v>
      </c>
      <c r="J132" s="117" t="s">
        <v>121</v>
      </c>
      <c r="K132" s="117"/>
    </row>
    <row r="133" spans="1:11">
      <c r="A133" s="208" t="s">
        <v>374</v>
      </c>
      <c r="B133" s="208" t="s">
        <v>375</v>
      </c>
      <c r="C133" s="127" t="s">
        <v>152</v>
      </c>
      <c r="D133" s="200">
        <v>20</v>
      </c>
      <c r="E133" s="200" t="s">
        <v>2226</v>
      </c>
      <c r="F133" s="127" t="s">
        <v>10</v>
      </c>
      <c r="G133" s="128">
        <v>1.7</v>
      </c>
      <c r="H133" s="128" t="s">
        <v>1127</v>
      </c>
      <c r="I133" s="127">
        <v>16.5</v>
      </c>
      <c r="J133" s="127" t="s">
        <v>1287</v>
      </c>
      <c r="K133" s="127"/>
    </row>
    <row r="134" spans="1:11">
      <c r="A134" s="210"/>
      <c r="B134" s="210"/>
      <c r="C134" s="127" t="s">
        <v>154</v>
      </c>
      <c r="D134" s="201"/>
      <c r="E134" s="201"/>
      <c r="F134" s="127" t="s">
        <v>32</v>
      </c>
      <c r="G134" s="127" t="s">
        <v>376</v>
      </c>
      <c r="H134" s="127" t="s">
        <v>1127</v>
      </c>
      <c r="I134" s="127">
        <v>0</v>
      </c>
      <c r="J134" s="127" t="s">
        <v>148</v>
      </c>
      <c r="K134" s="127"/>
    </row>
    <row r="135" spans="1:11">
      <c r="A135" s="209"/>
      <c r="B135" s="209"/>
      <c r="C135" s="127" t="s">
        <v>377</v>
      </c>
      <c r="D135" s="127">
        <v>10</v>
      </c>
      <c r="E135" s="127" t="s">
        <v>2226</v>
      </c>
      <c r="F135" s="127" t="s">
        <v>10</v>
      </c>
      <c r="G135" s="127" t="s">
        <v>378</v>
      </c>
      <c r="H135" s="127" t="s">
        <v>1127</v>
      </c>
      <c r="I135" s="127" t="s">
        <v>2492</v>
      </c>
      <c r="J135" s="127" t="s">
        <v>1287</v>
      </c>
      <c r="K135" s="127" t="s">
        <v>1126</v>
      </c>
    </row>
    <row r="136" spans="1:11">
      <c r="A136" s="211" t="s">
        <v>2265</v>
      </c>
      <c r="B136" s="211" t="s">
        <v>1317</v>
      </c>
      <c r="C136" s="117" t="s">
        <v>1299</v>
      </c>
      <c r="D136" s="202">
        <v>22</v>
      </c>
      <c r="E136" s="202" t="s">
        <v>2124</v>
      </c>
      <c r="F136" s="117" t="s">
        <v>2574</v>
      </c>
      <c r="G136" s="117" t="s">
        <v>2179</v>
      </c>
      <c r="H136" s="117" t="s">
        <v>1138</v>
      </c>
      <c r="I136" s="117" t="s">
        <v>2464</v>
      </c>
      <c r="J136" s="117" t="s">
        <v>2068</v>
      </c>
      <c r="K136" s="117"/>
    </row>
    <row r="137" spans="1:11">
      <c r="A137" s="212"/>
      <c r="B137" s="212"/>
      <c r="C137" s="117" t="s">
        <v>1325</v>
      </c>
      <c r="D137" s="203"/>
      <c r="E137" s="203"/>
      <c r="F137" s="117" t="s">
        <v>32</v>
      </c>
      <c r="G137" s="117" t="s">
        <v>1318</v>
      </c>
      <c r="H137" s="117" t="s">
        <v>1138</v>
      </c>
      <c r="I137" s="117" t="s">
        <v>2462</v>
      </c>
      <c r="J137" s="117" t="s">
        <v>1330</v>
      </c>
      <c r="K137" s="117"/>
    </row>
    <row r="138" spans="1:11">
      <c r="A138" s="212"/>
      <c r="B138" s="212"/>
      <c r="C138" s="117" t="s">
        <v>1300</v>
      </c>
      <c r="D138" s="202">
        <v>10</v>
      </c>
      <c r="E138" s="202" t="s">
        <v>2124</v>
      </c>
      <c r="F138" s="117" t="s">
        <v>2574</v>
      </c>
      <c r="G138" s="117" t="s">
        <v>2180</v>
      </c>
      <c r="H138" s="117" t="s">
        <v>1138</v>
      </c>
      <c r="I138" s="117" t="s">
        <v>2464</v>
      </c>
      <c r="J138" s="117" t="s">
        <v>2068</v>
      </c>
      <c r="K138" s="117"/>
    </row>
    <row r="139" spans="1:11">
      <c r="A139" s="212"/>
      <c r="B139" s="212"/>
      <c r="C139" s="117" t="s">
        <v>1326</v>
      </c>
      <c r="D139" s="203"/>
      <c r="E139" s="203"/>
      <c r="F139" s="117" t="s">
        <v>32</v>
      </c>
      <c r="G139" s="117" t="s">
        <v>1318</v>
      </c>
      <c r="H139" s="117" t="s">
        <v>1138</v>
      </c>
      <c r="I139" s="117" t="s">
        <v>2462</v>
      </c>
      <c r="J139" s="117" t="s">
        <v>1330</v>
      </c>
      <c r="K139" s="117"/>
    </row>
    <row r="140" spans="1:11">
      <c r="A140" s="212"/>
      <c r="B140" s="212"/>
      <c r="C140" s="117" t="s">
        <v>1301</v>
      </c>
      <c r="D140" s="202">
        <v>10</v>
      </c>
      <c r="E140" s="202" t="s">
        <v>2124</v>
      </c>
      <c r="F140" s="117" t="s">
        <v>2574</v>
      </c>
      <c r="G140" s="117" t="s">
        <v>2181</v>
      </c>
      <c r="H140" s="117" t="s">
        <v>1138</v>
      </c>
      <c r="I140" s="117" t="s">
        <v>2464</v>
      </c>
      <c r="J140" s="117" t="s">
        <v>2068</v>
      </c>
      <c r="K140" s="117" t="s">
        <v>1319</v>
      </c>
    </row>
    <row r="141" spans="1:11">
      <c r="A141" s="213"/>
      <c r="B141" s="213"/>
      <c r="C141" s="117" t="s">
        <v>1327</v>
      </c>
      <c r="D141" s="203"/>
      <c r="E141" s="203"/>
      <c r="F141" s="117" t="s">
        <v>32</v>
      </c>
      <c r="G141" s="117" t="s">
        <v>1318</v>
      </c>
      <c r="H141" s="117" t="s">
        <v>1138</v>
      </c>
      <c r="I141" s="117" t="s">
        <v>2462</v>
      </c>
      <c r="J141" s="117" t="s">
        <v>1330</v>
      </c>
      <c r="K141" s="117" t="s">
        <v>1319</v>
      </c>
    </row>
    <row r="142" spans="1:11">
      <c r="A142" s="208" t="s">
        <v>383</v>
      </c>
      <c r="B142" s="208" t="s">
        <v>384</v>
      </c>
      <c r="C142" s="127" t="s">
        <v>385</v>
      </c>
      <c r="D142" s="200" t="s">
        <v>386</v>
      </c>
      <c r="E142" s="200">
        <v>11.8</v>
      </c>
      <c r="F142" s="127" t="s">
        <v>2574</v>
      </c>
      <c r="G142" s="127" t="s">
        <v>387</v>
      </c>
      <c r="H142" s="127"/>
      <c r="I142" s="127" t="s">
        <v>2493</v>
      </c>
      <c r="J142" s="127" t="s">
        <v>388</v>
      </c>
      <c r="K142" s="127" t="s">
        <v>1316</v>
      </c>
    </row>
    <row r="143" spans="1:11">
      <c r="A143" s="209"/>
      <c r="B143" s="209"/>
      <c r="C143" s="127" t="s">
        <v>168</v>
      </c>
      <c r="D143" s="201"/>
      <c r="E143" s="201"/>
      <c r="F143" s="127" t="s">
        <v>32</v>
      </c>
      <c r="G143" s="127">
        <v>80</v>
      </c>
      <c r="H143" s="127"/>
      <c r="I143" s="127">
        <v>8</v>
      </c>
      <c r="J143" s="127" t="s">
        <v>148</v>
      </c>
      <c r="K143" s="127"/>
    </row>
    <row r="144" spans="1:11" ht="32.6">
      <c r="A144" s="113" t="s">
        <v>1323</v>
      </c>
      <c r="B144" s="113" t="s">
        <v>237</v>
      </c>
      <c r="C144" s="114" t="s">
        <v>1</v>
      </c>
      <c r="D144" s="114" t="s">
        <v>2</v>
      </c>
      <c r="E144" s="114" t="s">
        <v>2116</v>
      </c>
      <c r="F144" s="114" t="s">
        <v>3</v>
      </c>
      <c r="G144" s="114" t="s">
        <v>4</v>
      </c>
      <c r="H144" s="115" t="s">
        <v>1097</v>
      </c>
      <c r="I144" s="114" t="s">
        <v>2549</v>
      </c>
      <c r="J144" s="114" t="s">
        <v>238</v>
      </c>
      <c r="K144" s="114" t="s">
        <v>7</v>
      </c>
    </row>
    <row r="145" spans="1:11">
      <c r="A145" s="211" t="s">
        <v>2266</v>
      </c>
      <c r="B145" s="211" t="s">
        <v>1324</v>
      </c>
      <c r="C145" s="117" t="s">
        <v>1299</v>
      </c>
      <c r="D145" s="117">
        <v>15</v>
      </c>
      <c r="E145" s="117" t="s">
        <v>2114</v>
      </c>
      <c r="F145" s="117" t="s">
        <v>1294</v>
      </c>
      <c r="G145" s="117" t="s">
        <v>2170</v>
      </c>
      <c r="H145" s="117" t="s">
        <v>1297</v>
      </c>
      <c r="I145" s="117" t="s">
        <v>2494</v>
      </c>
      <c r="J145" s="117" t="s">
        <v>1295</v>
      </c>
      <c r="K145" s="117"/>
    </row>
    <row r="146" spans="1:11" ht="32.6">
      <c r="A146" s="213"/>
      <c r="B146" s="213"/>
      <c r="C146" s="117" t="s">
        <v>1300</v>
      </c>
      <c r="D146" s="117">
        <v>8</v>
      </c>
      <c r="E146" s="117" t="s">
        <v>2114</v>
      </c>
      <c r="F146" s="117" t="s">
        <v>1294</v>
      </c>
      <c r="G146" s="118">
        <v>1.48</v>
      </c>
      <c r="H146" s="117" t="s">
        <v>1328</v>
      </c>
      <c r="I146" s="117">
        <v>20</v>
      </c>
      <c r="J146" s="117" t="s">
        <v>1329</v>
      </c>
      <c r="K146" s="117"/>
    </row>
    <row r="147" spans="1:11" ht="32.6">
      <c r="A147" s="113" t="s">
        <v>389</v>
      </c>
      <c r="B147" s="113" t="s">
        <v>237</v>
      </c>
      <c r="C147" s="114" t="s">
        <v>1</v>
      </c>
      <c r="D147" s="114" t="s">
        <v>2</v>
      </c>
      <c r="E147" s="114" t="s">
        <v>2116</v>
      </c>
      <c r="F147" s="114" t="s">
        <v>3</v>
      </c>
      <c r="G147" s="114" t="s">
        <v>4</v>
      </c>
      <c r="H147" s="115" t="s">
        <v>1097</v>
      </c>
      <c r="I147" s="114" t="s">
        <v>2549</v>
      </c>
      <c r="J147" s="114" t="s">
        <v>238</v>
      </c>
      <c r="K147" s="114" t="s">
        <v>7</v>
      </c>
    </row>
    <row r="148" spans="1:11">
      <c r="A148" s="208" t="s">
        <v>390</v>
      </c>
      <c r="B148" s="208" t="s">
        <v>391</v>
      </c>
      <c r="C148" s="127" t="s">
        <v>1407</v>
      </c>
      <c r="D148" s="200">
        <v>15</v>
      </c>
      <c r="E148" s="200" t="s">
        <v>2114</v>
      </c>
      <c r="F148" s="127" t="s">
        <v>10</v>
      </c>
      <c r="G148" s="128">
        <v>0.5</v>
      </c>
      <c r="H148" s="128"/>
      <c r="I148" s="127">
        <v>22.5</v>
      </c>
      <c r="J148" s="127" t="s">
        <v>392</v>
      </c>
      <c r="K148" s="127"/>
    </row>
    <row r="149" spans="1:11">
      <c r="A149" s="210"/>
      <c r="B149" s="210"/>
      <c r="C149" s="127" t="s">
        <v>1408</v>
      </c>
      <c r="D149" s="201"/>
      <c r="E149" s="201"/>
      <c r="F149" s="127" t="s">
        <v>32</v>
      </c>
      <c r="G149" s="127">
        <v>140</v>
      </c>
      <c r="H149" s="127"/>
      <c r="I149" s="127">
        <v>5</v>
      </c>
      <c r="J149" s="127" t="s">
        <v>121</v>
      </c>
      <c r="K149" s="127"/>
    </row>
    <row r="150" spans="1:11">
      <c r="A150" s="210"/>
      <c r="B150" s="210"/>
      <c r="C150" s="127" t="s">
        <v>1410</v>
      </c>
      <c r="D150" s="200">
        <v>20</v>
      </c>
      <c r="E150" s="200" t="s">
        <v>2114</v>
      </c>
      <c r="F150" s="127" t="s">
        <v>10</v>
      </c>
      <c r="G150" s="128">
        <v>0.55000000000000004</v>
      </c>
      <c r="H150" s="128"/>
      <c r="I150" s="127">
        <v>22.5</v>
      </c>
      <c r="J150" s="127" t="s">
        <v>392</v>
      </c>
      <c r="K150" s="127"/>
    </row>
    <row r="151" spans="1:11">
      <c r="A151" s="209"/>
      <c r="B151" s="209"/>
      <c r="C151" s="127" t="s">
        <v>1411</v>
      </c>
      <c r="D151" s="201"/>
      <c r="E151" s="201"/>
      <c r="F151" s="127" t="s">
        <v>32</v>
      </c>
      <c r="G151" s="127">
        <v>155</v>
      </c>
      <c r="H151" s="127"/>
      <c r="I151" s="127">
        <v>7.5</v>
      </c>
      <c r="J151" s="127" t="s">
        <v>121</v>
      </c>
      <c r="K151" s="127"/>
    </row>
    <row r="152" spans="1:11">
      <c r="A152" s="211" t="s">
        <v>2267</v>
      </c>
      <c r="B152" s="211" t="s">
        <v>1332</v>
      </c>
      <c r="C152" s="117" t="s">
        <v>1333</v>
      </c>
      <c r="D152" s="202">
        <v>21</v>
      </c>
      <c r="E152" s="202" t="s">
        <v>2114</v>
      </c>
      <c r="F152" s="117" t="s">
        <v>1294</v>
      </c>
      <c r="G152" s="117" t="s">
        <v>1335</v>
      </c>
      <c r="H152" s="117"/>
      <c r="I152" s="117" t="s">
        <v>2495</v>
      </c>
      <c r="J152" s="117" t="s">
        <v>1337</v>
      </c>
      <c r="K152" s="117" t="s">
        <v>1397</v>
      </c>
    </row>
    <row r="153" spans="1:11">
      <c r="A153" s="213"/>
      <c r="B153" s="213"/>
      <c r="C153" s="117" t="s">
        <v>1334</v>
      </c>
      <c r="D153" s="203"/>
      <c r="E153" s="203"/>
      <c r="F153" s="117" t="s">
        <v>1294</v>
      </c>
      <c r="G153" s="117" t="s">
        <v>1336</v>
      </c>
      <c r="H153" s="117"/>
      <c r="I153" s="117" t="s">
        <v>2496</v>
      </c>
      <c r="J153" s="117" t="s">
        <v>1337</v>
      </c>
      <c r="K153" s="117" t="s">
        <v>1397</v>
      </c>
    </row>
    <row r="154" spans="1:11" ht="32.6">
      <c r="A154" s="208" t="s">
        <v>393</v>
      </c>
      <c r="B154" s="208" t="s">
        <v>394</v>
      </c>
      <c r="C154" s="127" t="s">
        <v>42</v>
      </c>
      <c r="D154" s="127">
        <v>17</v>
      </c>
      <c r="E154" s="127" t="s">
        <v>2114</v>
      </c>
      <c r="F154" s="127" t="s">
        <v>10</v>
      </c>
      <c r="G154" s="127" t="s">
        <v>395</v>
      </c>
      <c r="H154" s="127" t="s">
        <v>1147</v>
      </c>
      <c r="I154" s="127" t="s">
        <v>2497</v>
      </c>
      <c r="J154" s="127" t="s">
        <v>388</v>
      </c>
      <c r="K154" s="127" t="s">
        <v>2073</v>
      </c>
    </row>
    <row r="155" spans="1:11" ht="32.6">
      <c r="A155" s="210"/>
      <c r="B155" s="210"/>
      <c r="C155" s="127" t="s">
        <v>44</v>
      </c>
      <c r="D155" s="127">
        <v>9</v>
      </c>
      <c r="E155" s="127" t="s">
        <v>2114</v>
      </c>
      <c r="F155" s="127" t="s">
        <v>10</v>
      </c>
      <c r="G155" s="127" t="s">
        <v>396</v>
      </c>
      <c r="H155" s="127" t="s">
        <v>1147</v>
      </c>
      <c r="I155" s="127" t="s">
        <v>2498</v>
      </c>
      <c r="J155" s="127" t="s">
        <v>388</v>
      </c>
      <c r="K155" s="127" t="s">
        <v>2071</v>
      </c>
    </row>
    <row r="156" spans="1:11" ht="32.6">
      <c r="A156" s="209"/>
      <c r="B156" s="209"/>
      <c r="C156" s="127" t="s">
        <v>76</v>
      </c>
      <c r="D156" s="127">
        <v>9</v>
      </c>
      <c r="E156" s="127" t="s">
        <v>2114</v>
      </c>
      <c r="F156" s="127" t="s">
        <v>10</v>
      </c>
      <c r="G156" s="128" t="s">
        <v>397</v>
      </c>
      <c r="H156" s="127" t="s">
        <v>1147</v>
      </c>
      <c r="I156" s="127" t="s">
        <v>2499</v>
      </c>
      <c r="J156" s="127" t="s">
        <v>388</v>
      </c>
      <c r="K156" s="127" t="s">
        <v>2072</v>
      </c>
    </row>
    <row r="157" spans="1:11" ht="32.6">
      <c r="A157" s="211" t="s">
        <v>398</v>
      </c>
      <c r="B157" s="211" t="s">
        <v>399</v>
      </c>
      <c r="C157" s="117" t="s">
        <v>174</v>
      </c>
      <c r="D157" s="202">
        <v>25</v>
      </c>
      <c r="E157" s="202" t="s">
        <v>2114</v>
      </c>
      <c r="F157" s="117" t="s">
        <v>32</v>
      </c>
      <c r="G157" s="117">
        <v>30</v>
      </c>
      <c r="H157" s="117"/>
      <c r="I157" s="117">
        <v>2</v>
      </c>
      <c r="J157" s="117" t="s">
        <v>172</v>
      </c>
      <c r="K157" s="117" t="s">
        <v>2125</v>
      </c>
    </row>
    <row r="158" spans="1:11">
      <c r="A158" s="212"/>
      <c r="B158" s="212"/>
      <c r="C158" s="117" t="s">
        <v>176</v>
      </c>
      <c r="D158" s="205"/>
      <c r="E158" s="205"/>
      <c r="F158" s="117" t="s">
        <v>10</v>
      </c>
      <c r="G158" s="118" t="s">
        <v>2126</v>
      </c>
      <c r="H158" s="118"/>
      <c r="I158" s="117">
        <v>15</v>
      </c>
      <c r="J158" s="117" t="s">
        <v>1343</v>
      </c>
      <c r="K158" s="117"/>
    </row>
    <row r="159" spans="1:11">
      <c r="A159" s="213"/>
      <c r="B159" s="213"/>
      <c r="C159" s="117" t="s">
        <v>171</v>
      </c>
      <c r="D159" s="203"/>
      <c r="E159" s="203"/>
      <c r="F159" s="117" t="s">
        <v>32</v>
      </c>
      <c r="G159" s="117">
        <v>149</v>
      </c>
      <c r="H159" s="117"/>
      <c r="I159" s="117">
        <v>10</v>
      </c>
      <c r="J159" s="117" t="s">
        <v>172</v>
      </c>
      <c r="K159" s="117" t="s">
        <v>401</v>
      </c>
    </row>
    <row r="160" spans="1:11">
      <c r="A160" s="208" t="s">
        <v>2268</v>
      </c>
      <c r="B160" s="208" t="s">
        <v>1339</v>
      </c>
      <c r="C160" s="127" t="s">
        <v>1299</v>
      </c>
      <c r="D160" s="127">
        <v>10</v>
      </c>
      <c r="E160" s="127" t="s">
        <v>2114</v>
      </c>
      <c r="F160" s="127" t="s">
        <v>1294</v>
      </c>
      <c r="G160" s="127" t="s">
        <v>1340</v>
      </c>
      <c r="H160" s="127"/>
      <c r="I160" s="127" t="s">
        <v>2500</v>
      </c>
      <c r="J160" s="127" t="s">
        <v>1337</v>
      </c>
      <c r="K160" s="127"/>
    </row>
    <row r="161" spans="1:11">
      <c r="A161" s="210"/>
      <c r="B161" s="210"/>
      <c r="C161" s="127" t="s">
        <v>1300</v>
      </c>
      <c r="D161" s="127">
        <v>8</v>
      </c>
      <c r="E161" s="127" t="s">
        <v>2114</v>
      </c>
      <c r="F161" s="127" t="s">
        <v>1294</v>
      </c>
      <c r="G161" s="127" t="s">
        <v>1341</v>
      </c>
      <c r="H161" s="127"/>
      <c r="I161" s="127" t="s">
        <v>2501</v>
      </c>
      <c r="J161" s="127" t="s">
        <v>1337</v>
      </c>
      <c r="K161" s="127"/>
    </row>
    <row r="162" spans="1:11">
      <c r="A162" s="209"/>
      <c r="B162" s="209"/>
      <c r="C162" s="127" t="s">
        <v>1301</v>
      </c>
      <c r="D162" s="127">
        <v>8</v>
      </c>
      <c r="E162" s="127" t="s">
        <v>2114</v>
      </c>
      <c r="F162" s="127" t="s">
        <v>1294</v>
      </c>
      <c r="G162" s="127" t="s">
        <v>1342</v>
      </c>
      <c r="H162" s="127"/>
      <c r="I162" s="127" t="s">
        <v>2502</v>
      </c>
      <c r="J162" s="127" t="s">
        <v>1337</v>
      </c>
      <c r="K162" s="127"/>
    </row>
    <row r="163" spans="1:11">
      <c r="A163" s="211" t="s">
        <v>402</v>
      </c>
      <c r="B163" s="211" t="s">
        <v>403</v>
      </c>
      <c r="C163" s="117" t="s">
        <v>42</v>
      </c>
      <c r="D163" s="117">
        <v>12</v>
      </c>
      <c r="E163" s="117" t="s">
        <v>2127</v>
      </c>
      <c r="F163" s="117" t="s">
        <v>10</v>
      </c>
      <c r="G163" s="117" t="s">
        <v>404</v>
      </c>
      <c r="H163" s="117" t="s">
        <v>1132</v>
      </c>
      <c r="I163" s="117" t="s">
        <v>78</v>
      </c>
      <c r="J163" s="117" t="s">
        <v>176</v>
      </c>
      <c r="K163" s="117"/>
    </row>
    <row r="164" spans="1:11">
      <c r="A164" s="212"/>
      <c r="B164" s="212"/>
      <c r="C164" s="117" t="s">
        <v>44</v>
      </c>
      <c r="D164" s="117">
        <v>9</v>
      </c>
      <c r="E164" s="117" t="s">
        <v>2127</v>
      </c>
      <c r="F164" s="117" t="s">
        <v>10</v>
      </c>
      <c r="G164" s="117" t="s">
        <v>405</v>
      </c>
      <c r="H164" s="117" t="s">
        <v>1132</v>
      </c>
      <c r="I164" s="117" t="s">
        <v>78</v>
      </c>
      <c r="J164" s="117" t="s">
        <v>176</v>
      </c>
      <c r="K164" s="117"/>
    </row>
    <row r="165" spans="1:11">
      <c r="A165" s="213"/>
      <c r="B165" s="213"/>
      <c r="C165" s="117" t="s">
        <v>76</v>
      </c>
      <c r="D165" s="117">
        <v>9</v>
      </c>
      <c r="E165" s="117" t="s">
        <v>2127</v>
      </c>
      <c r="F165" s="117" t="s">
        <v>10</v>
      </c>
      <c r="G165" s="117" t="s">
        <v>406</v>
      </c>
      <c r="H165" s="117" t="s">
        <v>1132</v>
      </c>
      <c r="I165" s="117" t="s">
        <v>78</v>
      </c>
      <c r="J165" s="117" t="s">
        <v>176</v>
      </c>
      <c r="K165" s="117" t="s">
        <v>1126</v>
      </c>
    </row>
    <row r="166" spans="1:11" ht="32.6">
      <c r="A166" s="113" t="s">
        <v>1344</v>
      </c>
      <c r="B166" s="113" t="s">
        <v>237</v>
      </c>
      <c r="C166" s="114" t="s">
        <v>1</v>
      </c>
      <c r="D166" s="114" t="s">
        <v>2</v>
      </c>
      <c r="E166" s="114" t="s">
        <v>2116</v>
      </c>
      <c r="F166" s="114" t="s">
        <v>3</v>
      </c>
      <c r="G166" s="114" t="s">
        <v>4</v>
      </c>
      <c r="H166" s="115" t="s">
        <v>1097</v>
      </c>
      <c r="I166" s="114" t="s">
        <v>2550</v>
      </c>
      <c r="J166" s="114" t="s">
        <v>238</v>
      </c>
      <c r="K166" s="114" t="s">
        <v>7</v>
      </c>
    </row>
    <row r="167" spans="1:11" ht="48.9">
      <c r="A167" s="208" t="s">
        <v>2269</v>
      </c>
      <c r="B167" s="208" t="s">
        <v>1856</v>
      </c>
      <c r="C167" s="127" t="s">
        <v>1857</v>
      </c>
      <c r="D167" s="200">
        <v>18</v>
      </c>
      <c r="E167" s="127" t="s">
        <v>2119</v>
      </c>
      <c r="F167" s="127" t="s">
        <v>1832</v>
      </c>
      <c r="G167" s="128">
        <v>1.69</v>
      </c>
      <c r="H167" s="131"/>
      <c r="I167" s="127">
        <v>22</v>
      </c>
      <c r="J167" s="127" t="s">
        <v>176</v>
      </c>
      <c r="K167" s="127" t="s">
        <v>2212</v>
      </c>
    </row>
    <row r="168" spans="1:11">
      <c r="A168" s="210"/>
      <c r="B168" s="210"/>
      <c r="C168" s="127" t="s">
        <v>2064</v>
      </c>
      <c r="D168" s="204"/>
      <c r="E168" s="200" t="s">
        <v>2119</v>
      </c>
      <c r="F168" s="127" t="s">
        <v>1832</v>
      </c>
      <c r="G168" s="128">
        <v>0.65</v>
      </c>
      <c r="H168" s="131"/>
      <c r="I168" s="127">
        <v>16.5</v>
      </c>
      <c r="J168" s="127" t="s">
        <v>1288</v>
      </c>
      <c r="K168" s="127" t="s">
        <v>1385</v>
      </c>
    </row>
    <row r="169" spans="1:11">
      <c r="A169" s="209"/>
      <c r="B169" s="209"/>
      <c r="C169" s="127" t="s">
        <v>2065</v>
      </c>
      <c r="D169" s="201"/>
      <c r="E169" s="201"/>
      <c r="F169" s="127" t="s">
        <v>1139</v>
      </c>
      <c r="G169" s="128">
        <v>1.91</v>
      </c>
      <c r="H169" s="131"/>
      <c r="I169" s="127">
        <v>16.5</v>
      </c>
      <c r="J169" s="127" t="s">
        <v>1252</v>
      </c>
      <c r="K169" s="127" t="s">
        <v>1385</v>
      </c>
    </row>
    <row r="170" spans="1:11">
      <c r="A170" s="119" t="s">
        <v>2270</v>
      </c>
      <c r="B170" s="119" t="s">
        <v>1345</v>
      </c>
      <c r="C170" s="117"/>
      <c r="D170" s="117">
        <v>8</v>
      </c>
      <c r="E170" s="117" t="s">
        <v>2119</v>
      </c>
      <c r="F170" s="117" t="s">
        <v>1294</v>
      </c>
      <c r="G170" s="117" t="s">
        <v>1346</v>
      </c>
      <c r="H170" s="117"/>
      <c r="I170" s="117" t="s">
        <v>2464</v>
      </c>
      <c r="J170" s="117" t="s">
        <v>176</v>
      </c>
      <c r="K170" s="117" t="s">
        <v>1347</v>
      </c>
    </row>
    <row r="171" spans="1:11" ht="32.6">
      <c r="A171" s="113" t="s">
        <v>407</v>
      </c>
      <c r="B171" s="113" t="s">
        <v>237</v>
      </c>
      <c r="C171" s="114" t="s">
        <v>1</v>
      </c>
      <c r="D171" s="114" t="s">
        <v>2</v>
      </c>
      <c r="E171" s="114" t="s">
        <v>2116</v>
      </c>
      <c r="F171" s="114" t="s">
        <v>3</v>
      </c>
      <c r="G171" s="114" t="s">
        <v>4</v>
      </c>
      <c r="H171" s="115" t="s">
        <v>1097</v>
      </c>
      <c r="I171" s="114" t="s">
        <v>2549</v>
      </c>
      <c r="J171" s="114" t="s">
        <v>238</v>
      </c>
      <c r="K171" s="114" t="s">
        <v>7</v>
      </c>
    </row>
    <row r="172" spans="1:11">
      <c r="A172" s="208" t="s">
        <v>408</v>
      </c>
      <c r="B172" s="208" t="s">
        <v>409</v>
      </c>
      <c r="C172" s="127" t="s">
        <v>42</v>
      </c>
      <c r="D172" s="127">
        <v>11</v>
      </c>
      <c r="E172" s="127" t="s">
        <v>2391</v>
      </c>
      <c r="F172" s="127" t="s">
        <v>10</v>
      </c>
      <c r="G172" s="127" t="s">
        <v>2038</v>
      </c>
      <c r="H172" s="127" t="s">
        <v>1132</v>
      </c>
      <c r="I172" s="127" t="s">
        <v>2503</v>
      </c>
      <c r="J172" s="127" t="s">
        <v>388</v>
      </c>
      <c r="K172" s="127" t="s">
        <v>2189</v>
      </c>
    </row>
    <row r="173" spans="1:11">
      <c r="A173" s="209"/>
      <c r="B173" s="209"/>
      <c r="C173" s="127" t="s">
        <v>44</v>
      </c>
      <c r="D173" s="127">
        <v>6</v>
      </c>
      <c r="E173" s="127" t="s">
        <v>2119</v>
      </c>
      <c r="F173" s="127" t="s">
        <v>10</v>
      </c>
      <c r="G173" s="127" t="s">
        <v>411</v>
      </c>
      <c r="H173" s="127" t="s">
        <v>1132</v>
      </c>
      <c r="I173" s="127" t="s">
        <v>2504</v>
      </c>
      <c r="J173" s="127" t="s">
        <v>388</v>
      </c>
      <c r="K173" s="127" t="s">
        <v>1385</v>
      </c>
    </row>
    <row r="174" spans="1:11" ht="32.6">
      <c r="A174" s="211" t="s">
        <v>2271</v>
      </c>
      <c r="B174" s="211" t="s">
        <v>1348</v>
      </c>
      <c r="C174" s="117" t="s">
        <v>1349</v>
      </c>
      <c r="D174" s="202">
        <v>28</v>
      </c>
      <c r="E174" s="117" t="s">
        <v>2114</v>
      </c>
      <c r="F174" s="117" t="s">
        <v>1294</v>
      </c>
      <c r="G174" s="117" t="s">
        <v>1350</v>
      </c>
      <c r="H174" s="117"/>
      <c r="I174" s="117" t="s">
        <v>2505</v>
      </c>
      <c r="J174" s="117" t="s">
        <v>2068</v>
      </c>
      <c r="K174" s="117" t="s">
        <v>2197</v>
      </c>
    </row>
    <row r="175" spans="1:11">
      <c r="A175" s="212"/>
      <c r="B175" s="212"/>
      <c r="C175" s="117" t="s">
        <v>1352</v>
      </c>
      <c r="D175" s="205"/>
      <c r="E175" s="202" t="s">
        <v>2114</v>
      </c>
      <c r="F175" s="117" t="s">
        <v>1294</v>
      </c>
      <c r="G175" s="117" t="s">
        <v>1351</v>
      </c>
      <c r="H175" s="117"/>
      <c r="I175" s="117" t="s">
        <v>2505</v>
      </c>
      <c r="J175" s="117" t="s">
        <v>2068</v>
      </c>
      <c r="K175" s="117"/>
    </row>
    <row r="176" spans="1:11">
      <c r="A176" s="212"/>
      <c r="B176" s="212"/>
      <c r="C176" s="117" t="s">
        <v>2128</v>
      </c>
      <c r="D176" s="205"/>
      <c r="E176" s="203"/>
      <c r="F176" s="117" t="s">
        <v>1314</v>
      </c>
      <c r="G176" s="117" t="s">
        <v>1874</v>
      </c>
      <c r="H176" s="117"/>
      <c r="I176" s="117" t="s">
        <v>2506</v>
      </c>
      <c r="J176" s="117" t="s">
        <v>1315</v>
      </c>
      <c r="K176" s="117" t="s">
        <v>1353</v>
      </c>
    </row>
    <row r="177" spans="1:11">
      <c r="A177" s="212"/>
      <c r="B177" s="212"/>
      <c r="C177" s="117" t="s">
        <v>1356</v>
      </c>
      <c r="D177" s="205"/>
      <c r="E177" s="202" t="s">
        <v>2114</v>
      </c>
      <c r="F177" s="117" t="s">
        <v>1294</v>
      </c>
      <c r="G177" s="117" t="s">
        <v>1355</v>
      </c>
      <c r="H177" s="117"/>
      <c r="I177" s="117" t="s">
        <v>2507</v>
      </c>
      <c r="J177" s="117" t="s">
        <v>2068</v>
      </c>
      <c r="K177" s="117"/>
    </row>
    <row r="178" spans="1:11">
      <c r="A178" s="213"/>
      <c r="B178" s="213"/>
      <c r="C178" s="117" t="s">
        <v>2129</v>
      </c>
      <c r="D178" s="203"/>
      <c r="E178" s="203"/>
      <c r="F178" s="117" t="s">
        <v>1314</v>
      </c>
      <c r="G178" s="117" t="s">
        <v>1875</v>
      </c>
      <c r="H178" s="117"/>
      <c r="I178" s="117" t="s">
        <v>2508</v>
      </c>
      <c r="J178" s="117" t="s">
        <v>1315</v>
      </c>
      <c r="K178" s="117" t="s">
        <v>1353</v>
      </c>
    </row>
    <row r="179" spans="1:11" ht="32.6">
      <c r="A179" s="113" t="s">
        <v>456</v>
      </c>
      <c r="B179" s="113" t="s">
        <v>237</v>
      </c>
      <c r="C179" s="114" t="s">
        <v>1</v>
      </c>
      <c r="D179" s="114" t="s">
        <v>2</v>
      </c>
      <c r="E179" s="114" t="s">
        <v>2116</v>
      </c>
      <c r="F179" s="114" t="s">
        <v>3</v>
      </c>
      <c r="G179" s="114" t="s">
        <v>4</v>
      </c>
      <c r="H179" s="115" t="s">
        <v>1097</v>
      </c>
      <c r="I179" s="114" t="s">
        <v>2549</v>
      </c>
      <c r="J179" s="114" t="s">
        <v>238</v>
      </c>
      <c r="K179" s="114" t="s">
        <v>7</v>
      </c>
    </row>
    <row r="180" spans="1:11">
      <c r="A180" s="129" t="s">
        <v>2272</v>
      </c>
      <c r="B180" s="129" t="s">
        <v>1357</v>
      </c>
      <c r="C180" s="127"/>
      <c r="D180" s="127">
        <v>14</v>
      </c>
      <c r="E180" s="127" t="s">
        <v>2114</v>
      </c>
      <c r="F180" s="127" t="s">
        <v>1314</v>
      </c>
      <c r="G180" s="127" t="s">
        <v>1358</v>
      </c>
      <c r="H180" s="127"/>
      <c r="I180" s="127">
        <v>0</v>
      </c>
      <c r="J180" s="127" t="s">
        <v>1363</v>
      </c>
      <c r="K180" s="127"/>
    </row>
    <row r="181" spans="1:11" ht="32.6">
      <c r="A181" s="211" t="s">
        <v>457</v>
      </c>
      <c r="B181" s="211" t="s">
        <v>458</v>
      </c>
      <c r="C181" s="117" t="s">
        <v>42</v>
      </c>
      <c r="D181" s="117">
        <v>19</v>
      </c>
      <c r="E181" s="117" t="s">
        <v>2124</v>
      </c>
      <c r="F181" s="117" t="s">
        <v>10</v>
      </c>
      <c r="G181" s="117" t="s">
        <v>1925</v>
      </c>
      <c r="H181" s="117" t="s">
        <v>1138</v>
      </c>
      <c r="I181" s="117" t="s">
        <v>2509</v>
      </c>
      <c r="J181" s="117" t="s">
        <v>178</v>
      </c>
      <c r="K181" s="117" t="s">
        <v>459</v>
      </c>
    </row>
    <row r="182" spans="1:11">
      <c r="A182" s="212"/>
      <c r="B182" s="212"/>
      <c r="C182" s="117" t="s">
        <v>44</v>
      </c>
      <c r="D182" s="117">
        <v>12</v>
      </c>
      <c r="E182" s="117" t="s">
        <v>2124</v>
      </c>
      <c r="F182" s="117" t="s">
        <v>10</v>
      </c>
      <c r="G182" s="117" t="s">
        <v>1136</v>
      </c>
      <c r="H182" s="117" t="s">
        <v>1138</v>
      </c>
      <c r="I182" s="117" t="s">
        <v>2510</v>
      </c>
      <c r="J182" s="117" t="s">
        <v>178</v>
      </c>
      <c r="K182" s="117"/>
    </row>
    <row r="183" spans="1:11">
      <c r="A183" s="213"/>
      <c r="B183" s="213"/>
      <c r="C183" s="117" t="s">
        <v>76</v>
      </c>
      <c r="D183" s="117">
        <v>12</v>
      </c>
      <c r="E183" s="117" t="s">
        <v>2124</v>
      </c>
      <c r="F183" s="117" t="s">
        <v>10</v>
      </c>
      <c r="G183" s="117" t="s">
        <v>1137</v>
      </c>
      <c r="H183" s="117" t="s">
        <v>1138</v>
      </c>
      <c r="I183" s="117" t="s">
        <v>2510</v>
      </c>
      <c r="J183" s="117" t="s">
        <v>178</v>
      </c>
      <c r="K183" s="117" t="s">
        <v>1126</v>
      </c>
    </row>
    <row r="184" spans="1:11" ht="32.6">
      <c r="A184" s="129" t="s">
        <v>460</v>
      </c>
      <c r="B184" s="129" t="s">
        <v>461</v>
      </c>
      <c r="C184" s="127"/>
      <c r="D184" s="127">
        <v>15</v>
      </c>
      <c r="E184" s="127">
        <v>3</v>
      </c>
      <c r="F184" s="127" t="s">
        <v>10</v>
      </c>
      <c r="G184" s="127" t="s">
        <v>462</v>
      </c>
      <c r="H184" s="127"/>
      <c r="I184" s="127" t="s">
        <v>2511</v>
      </c>
      <c r="J184" s="127" t="s">
        <v>2060</v>
      </c>
      <c r="K184" s="127" t="s">
        <v>2074</v>
      </c>
    </row>
    <row r="185" spans="1:11">
      <c r="A185" s="211" t="s">
        <v>2273</v>
      </c>
      <c r="B185" s="211" t="s">
        <v>1359</v>
      </c>
      <c r="C185" s="117"/>
      <c r="D185" s="117">
        <v>8</v>
      </c>
      <c r="E185" s="117" t="s">
        <v>2114</v>
      </c>
      <c r="F185" s="117" t="s">
        <v>1314</v>
      </c>
      <c r="G185" s="117">
        <v>50</v>
      </c>
      <c r="H185" s="117" t="s">
        <v>1360</v>
      </c>
      <c r="I185" s="117">
        <v>0</v>
      </c>
      <c r="J185" s="117" t="s">
        <v>1362</v>
      </c>
      <c r="K185" s="117"/>
    </row>
    <row r="186" spans="1:11">
      <c r="A186" s="213"/>
      <c r="B186" s="213"/>
      <c r="C186" s="117" t="s">
        <v>1291</v>
      </c>
      <c r="D186" s="117">
        <v>10</v>
      </c>
      <c r="E186" s="117" t="s">
        <v>2114</v>
      </c>
      <c r="F186" s="117" t="s">
        <v>1294</v>
      </c>
      <c r="G186" s="117" t="s">
        <v>1361</v>
      </c>
      <c r="H186" s="117" t="s">
        <v>1360</v>
      </c>
      <c r="I186" s="117" t="s">
        <v>2512</v>
      </c>
      <c r="J186" s="117" t="s">
        <v>178</v>
      </c>
      <c r="K186" s="117"/>
    </row>
    <row r="187" spans="1:11" ht="32.6">
      <c r="A187" s="113" t="s">
        <v>463</v>
      </c>
      <c r="B187" s="113" t="s">
        <v>237</v>
      </c>
      <c r="C187" s="114" t="s">
        <v>1</v>
      </c>
      <c r="D187" s="114" t="s">
        <v>2</v>
      </c>
      <c r="E187" s="114" t="s">
        <v>2116</v>
      </c>
      <c r="F187" s="114" t="s">
        <v>3</v>
      </c>
      <c r="G187" s="114" t="s">
        <v>4</v>
      </c>
      <c r="H187" s="115" t="s">
        <v>1097</v>
      </c>
      <c r="I187" s="114" t="s">
        <v>2550</v>
      </c>
      <c r="J187" s="114" t="s">
        <v>238</v>
      </c>
      <c r="K187" s="114" t="s">
        <v>7</v>
      </c>
    </row>
    <row r="188" spans="1:11" ht="32.6">
      <c r="A188" s="129" t="s">
        <v>2274</v>
      </c>
      <c r="B188" s="129" t="s">
        <v>1375</v>
      </c>
      <c r="C188" s="127"/>
      <c r="D188" s="127">
        <v>16</v>
      </c>
      <c r="E188" s="127" t="s">
        <v>2114</v>
      </c>
      <c r="F188" s="127" t="s">
        <v>1376</v>
      </c>
      <c r="G188" s="127" t="s">
        <v>1377</v>
      </c>
      <c r="H188" s="127"/>
      <c r="I188" s="127" t="s">
        <v>56</v>
      </c>
      <c r="J188" s="127" t="s">
        <v>56</v>
      </c>
      <c r="K188" s="127"/>
    </row>
    <row r="189" spans="1:11">
      <c r="A189" s="211" t="s">
        <v>2275</v>
      </c>
      <c r="B189" s="211" t="s">
        <v>1378</v>
      </c>
      <c r="C189" s="117"/>
      <c r="D189" s="117">
        <v>8</v>
      </c>
      <c r="E189" s="117" t="s">
        <v>2114</v>
      </c>
      <c r="F189" s="117" t="s">
        <v>1314</v>
      </c>
      <c r="G189" s="117">
        <v>50</v>
      </c>
      <c r="H189" s="117" t="s">
        <v>1360</v>
      </c>
      <c r="I189" s="117">
        <v>0</v>
      </c>
      <c r="J189" s="117" t="s">
        <v>1362</v>
      </c>
      <c r="K189" s="117"/>
    </row>
    <row r="190" spans="1:11">
      <c r="A190" s="212"/>
      <c r="B190" s="212"/>
      <c r="C190" s="117" t="s">
        <v>1291</v>
      </c>
      <c r="D190" s="202">
        <v>13</v>
      </c>
      <c r="E190" s="202" t="s">
        <v>2117</v>
      </c>
      <c r="F190" s="117" t="s">
        <v>1294</v>
      </c>
      <c r="G190" s="118">
        <v>1.8</v>
      </c>
      <c r="H190" s="117" t="s">
        <v>1360</v>
      </c>
      <c r="I190" s="117">
        <v>22</v>
      </c>
      <c r="J190" s="117" t="s">
        <v>1387</v>
      </c>
      <c r="K190" s="117"/>
    </row>
    <row r="191" spans="1:11">
      <c r="A191" s="213"/>
      <c r="B191" s="213"/>
      <c r="C191" s="117" t="s">
        <v>1379</v>
      </c>
      <c r="D191" s="203"/>
      <c r="E191" s="203"/>
      <c r="F191" s="117" t="s">
        <v>1314</v>
      </c>
      <c r="G191" s="117">
        <v>90</v>
      </c>
      <c r="H191" s="117" t="s">
        <v>1360</v>
      </c>
      <c r="I191" s="117">
        <v>10</v>
      </c>
      <c r="J191" s="117" t="s">
        <v>1362</v>
      </c>
      <c r="K191" s="117"/>
    </row>
    <row r="192" spans="1:11">
      <c r="A192" s="129" t="s">
        <v>469</v>
      </c>
      <c r="B192" s="129" t="s">
        <v>470</v>
      </c>
      <c r="C192" s="127"/>
      <c r="D192" s="127">
        <v>12</v>
      </c>
      <c r="E192" s="127" t="s">
        <v>2114</v>
      </c>
      <c r="F192" s="127" t="s">
        <v>52</v>
      </c>
      <c r="G192" s="127" t="s">
        <v>1392</v>
      </c>
      <c r="H192" s="127"/>
      <c r="I192" s="127" t="s">
        <v>56</v>
      </c>
      <c r="J192" s="127" t="s">
        <v>56</v>
      </c>
      <c r="K192" s="127"/>
    </row>
    <row r="193" spans="1:11">
      <c r="A193" s="211" t="s">
        <v>464</v>
      </c>
      <c r="B193" s="211" t="s">
        <v>465</v>
      </c>
      <c r="C193" s="117" t="s">
        <v>42</v>
      </c>
      <c r="D193" s="117">
        <v>15</v>
      </c>
      <c r="E193" s="117" t="s">
        <v>2119</v>
      </c>
      <c r="F193" s="117" t="s">
        <v>10</v>
      </c>
      <c r="G193" s="117" t="s">
        <v>466</v>
      </c>
      <c r="H193" s="117"/>
      <c r="I193" s="117" t="s">
        <v>2513</v>
      </c>
      <c r="J193" s="117" t="s">
        <v>40</v>
      </c>
      <c r="K193" s="117" t="s">
        <v>467</v>
      </c>
    </row>
    <row r="194" spans="1:11" ht="32.6">
      <c r="A194" s="213"/>
      <c r="B194" s="213"/>
      <c r="C194" s="117" t="s">
        <v>44</v>
      </c>
      <c r="D194" s="117">
        <v>15</v>
      </c>
      <c r="E194" s="117" t="s">
        <v>2119</v>
      </c>
      <c r="F194" s="117" t="s">
        <v>10</v>
      </c>
      <c r="G194" s="117" t="s">
        <v>468</v>
      </c>
      <c r="H194" s="117"/>
      <c r="I194" s="117">
        <v>8.25</v>
      </c>
      <c r="J194" s="117" t="s">
        <v>40</v>
      </c>
      <c r="K194" s="117" t="s">
        <v>2412</v>
      </c>
    </row>
    <row r="195" spans="1:11">
      <c r="A195" s="208" t="s">
        <v>2276</v>
      </c>
      <c r="B195" s="208" t="s">
        <v>1380</v>
      </c>
      <c r="C195" s="127" t="s">
        <v>1298</v>
      </c>
      <c r="D195" s="127">
        <v>12</v>
      </c>
      <c r="E195" s="127" t="s">
        <v>2117</v>
      </c>
      <c r="F195" s="127" t="s">
        <v>1294</v>
      </c>
      <c r="G195" s="128">
        <v>1.63</v>
      </c>
      <c r="H195" s="127"/>
      <c r="I195" s="127">
        <v>16.5</v>
      </c>
      <c r="J195" s="127" t="s">
        <v>1295</v>
      </c>
      <c r="K195" s="127"/>
    </row>
    <row r="196" spans="1:11">
      <c r="A196" s="210"/>
      <c r="B196" s="210"/>
      <c r="C196" s="127" t="s">
        <v>2076</v>
      </c>
      <c r="D196" s="127">
        <v>7</v>
      </c>
      <c r="E196" s="127" t="s">
        <v>2119</v>
      </c>
      <c r="F196" s="127" t="s">
        <v>1294</v>
      </c>
      <c r="G196" s="127" t="s">
        <v>1381</v>
      </c>
      <c r="H196" s="127"/>
      <c r="I196" s="127" t="s">
        <v>2514</v>
      </c>
      <c r="J196" s="127" t="s">
        <v>1295</v>
      </c>
      <c r="K196" s="127" t="s">
        <v>2075</v>
      </c>
    </row>
    <row r="197" spans="1:11">
      <c r="A197" s="209"/>
      <c r="B197" s="209"/>
      <c r="C197" s="127" t="s">
        <v>1291</v>
      </c>
      <c r="D197" s="127">
        <v>7</v>
      </c>
      <c r="E197" s="127" t="s">
        <v>2117</v>
      </c>
      <c r="F197" s="127" t="s">
        <v>1294</v>
      </c>
      <c r="G197" s="127" t="s">
        <v>1382</v>
      </c>
      <c r="H197" s="127"/>
      <c r="I197" s="127" t="s">
        <v>2515</v>
      </c>
      <c r="J197" s="127" t="s">
        <v>1295</v>
      </c>
      <c r="K197" s="127"/>
    </row>
    <row r="198" spans="1:11" ht="32.6">
      <c r="A198" s="113" t="s">
        <v>412</v>
      </c>
      <c r="B198" s="113" t="s">
        <v>237</v>
      </c>
      <c r="C198" s="114" t="s">
        <v>1</v>
      </c>
      <c r="D198" s="114" t="s">
        <v>2</v>
      </c>
      <c r="E198" s="114" t="s">
        <v>2116</v>
      </c>
      <c r="F198" s="114" t="s">
        <v>3</v>
      </c>
      <c r="G198" s="114" t="s">
        <v>4</v>
      </c>
      <c r="H198" s="115" t="s">
        <v>1097</v>
      </c>
      <c r="I198" s="114" t="s">
        <v>2553</v>
      </c>
      <c r="J198" s="114" t="s">
        <v>238</v>
      </c>
      <c r="K198" s="114" t="s">
        <v>7</v>
      </c>
    </row>
    <row r="199" spans="1:11">
      <c r="A199" s="119" t="s">
        <v>417</v>
      </c>
      <c r="B199" s="119" t="s">
        <v>418</v>
      </c>
      <c r="C199" s="117"/>
      <c r="D199" s="117">
        <v>6</v>
      </c>
      <c r="E199" s="117" t="s">
        <v>2114</v>
      </c>
      <c r="F199" s="117" t="s">
        <v>32</v>
      </c>
      <c r="G199" s="117">
        <v>110</v>
      </c>
      <c r="H199" s="117" t="s">
        <v>1142</v>
      </c>
      <c r="I199" s="117">
        <v>5.2</v>
      </c>
      <c r="J199" s="117" t="s">
        <v>180</v>
      </c>
      <c r="K199" s="117" t="s">
        <v>419</v>
      </c>
    </row>
    <row r="200" spans="1:11" ht="32.6">
      <c r="A200" s="129" t="s">
        <v>414</v>
      </c>
      <c r="B200" s="129" t="s">
        <v>356</v>
      </c>
      <c r="C200" s="127"/>
      <c r="D200" s="127">
        <v>16</v>
      </c>
      <c r="E200" s="127" t="s">
        <v>2124</v>
      </c>
      <c r="F200" s="127" t="s">
        <v>10</v>
      </c>
      <c r="G200" s="127" t="s">
        <v>415</v>
      </c>
      <c r="H200" s="127"/>
      <c r="I200" s="127" t="s">
        <v>2516</v>
      </c>
      <c r="J200" s="127" t="s">
        <v>30</v>
      </c>
      <c r="K200" s="127" t="s">
        <v>2413</v>
      </c>
    </row>
    <row r="201" spans="1:11">
      <c r="A201" s="119" t="s">
        <v>420</v>
      </c>
      <c r="B201" s="119" t="s">
        <v>421</v>
      </c>
      <c r="C201" s="117"/>
      <c r="D201" s="117">
        <v>14</v>
      </c>
      <c r="E201" s="117" t="s">
        <v>2117</v>
      </c>
      <c r="F201" s="117" t="s">
        <v>10</v>
      </c>
      <c r="G201" s="118">
        <v>2.5</v>
      </c>
      <c r="H201" s="118"/>
      <c r="I201" s="117" t="s">
        <v>2517</v>
      </c>
      <c r="J201" s="117" t="s">
        <v>30</v>
      </c>
      <c r="K201" s="117" t="s">
        <v>1129</v>
      </c>
    </row>
    <row r="202" spans="1:11" ht="32.6">
      <c r="A202" s="129" t="s">
        <v>427</v>
      </c>
      <c r="B202" s="129" t="s">
        <v>428</v>
      </c>
      <c r="C202" s="127"/>
      <c r="D202" s="127">
        <v>35</v>
      </c>
      <c r="E202" s="127" t="s">
        <v>2114</v>
      </c>
      <c r="F202" s="127" t="s">
        <v>52</v>
      </c>
      <c r="G202" s="127" t="s">
        <v>429</v>
      </c>
      <c r="H202" s="127"/>
      <c r="I202" s="127" t="s">
        <v>56</v>
      </c>
      <c r="J202" s="127" t="s">
        <v>56</v>
      </c>
      <c r="K202" s="127"/>
    </row>
    <row r="203" spans="1:11" ht="32.6">
      <c r="A203" s="211" t="s">
        <v>2277</v>
      </c>
      <c r="B203" s="211" t="s">
        <v>1383</v>
      </c>
      <c r="C203" s="117" t="s">
        <v>1333</v>
      </c>
      <c r="D203" s="202">
        <v>18</v>
      </c>
      <c r="E203" s="202" t="s">
        <v>2114</v>
      </c>
      <c r="F203" s="117" t="s">
        <v>1314</v>
      </c>
      <c r="G203" s="117">
        <v>104</v>
      </c>
      <c r="H203" s="117"/>
      <c r="I203" s="117">
        <v>5</v>
      </c>
      <c r="J203" s="117" t="s">
        <v>1362</v>
      </c>
      <c r="K203" s="117" t="s">
        <v>1384</v>
      </c>
    </row>
    <row r="204" spans="1:11">
      <c r="A204" s="213"/>
      <c r="B204" s="213"/>
      <c r="C204" s="117" t="s">
        <v>1334</v>
      </c>
      <c r="D204" s="203"/>
      <c r="E204" s="203"/>
      <c r="F204" s="117" t="s">
        <v>1314</v>
      </c>
      <c r="G204" s="117">
        <v>137</v>
      </c>
      <c r="H204" s="117"/>
      <c r="I204" s="117">
        <v>5</v>
      </c>
      <c r="J204" s="117" t="s">
        <v>1362</v>
      </c>
      <c r="K204" s="117" t="s">
        <v>1385</v>
      </c>
    </row>
    <row r="205" spans="1:11" ht="32.6">
      <c r="A205" s="129" t="s">
        <v>423</v>
      </c>
      <c r="B205" s="129" t="s">
        <v>424</v>
      </c>
      <c r="C205" s="127"/>
      <c r="D205" s="127">
        <v>26</v>
      </c>
      <c r="E205" s="127">
        <v>10.3</v>
      </c>
      <c r="F205" s="127" t="s">
        <v>10</v>
      </c>
      <c r="G205" s="127" t="s">
        <v>425</v>
      </c>
      <c r="H205" s="127"/>
      <c r="I205" s="127" t="s">
        <v>2518</v>
      </c>
      <c r="J205" s="127" t="s">
        <v>2077</v>
      </c>
      <c r="K205" s="127" t="s">
        <v>2078</v>
      </c>
    </row>
    <row r="206" spans="1:11" ht="32.6">
      <c r="A206" s="113" t="s">
        <v>444</v>
      </c>
      <c r="B206" s="113" t="s">
        <v>237</v>
      </c>
      <c r="C206" s="114" t="s">
        <v>1</v>
      </c>
      <c r="D206" s="114" t="s">
        <v>2</v>
      </c>
      <c r="E206" s="114" t="s">
        <v>2116</v>
      </c>
      <c r="F206" s="114" t="s">
        <v>3</v>
      </c>
      <c r="G206" s="114" t="s">
        <v>4</v>
      </c>
      <c r="H206" s="115" t="s">
        <v>1097</v>
      </c>
      <c r="I206" s="114" t="s">
        <v>2551</v>
      </c>
      <c r="J206" s="114" t="s">
        <v>238</v>
      </c>
      <c r="K206" s="114" t="s">
        <v>7</v>
      </c>
    </row>
    <row r="207" spans="1:11">
      <c r="A207" s="211" t="s">
        <v>1531</v>
      </c>
      <c r="B207" s="211" t="s">
        <v>445</v>
      </c>
      <c r="C207" s="117" t="s">
        <v>2454</v>
      </c>
      <c r="D207" s="117">
        <v>8</v>
      </c>
      <c r="E207" s="117" t="s">
        <v>2114</v>
      </c>
      <c r="F207" s="117" t="s">
        <v>10</v>
      </c>
      <c r="G207" s="118" t="s">
        <v>446</v>
      </c>
      <c r="H207" s="118"/>
      <c r="I207" s="117">
        <v>5.0999999999999996</v>
      </c>
      <c r="J207" s="117" t="s">
        <v>30</v>
      </c>
      <c r="K207" s="117"/>
    </row>
    <row r="208" spans="1:11">
      <c r="A208" s="212"/>
      <c r="B208" s="212"/>
      <c r="C208" s="117" t="s">
        <v>19</v>
      </c>
      <c r="D208" s="117">
        <v>8</v>
      </c>
      <c r="E208" s="117" t="s">
        <v>2114</v>
      </c>
      <c r="F208" s="117" t="s">
        <v>10</v>
      </c>
      <c r="G208" s="117" t="s">
        <v>447</v>
      </c>
      <c r="H208" s="117"/>
      <c r="I208" s="117" t="s">
        <v>2519</v>
      </c>
      <c r="J208" s="117" t="s">
        <v>30</v>
      </c>
      <c r="K208" s="117"/>
    </row>
    <row r="209" spans="1:11">
      <c r="A209" s="213"/>
      <c r="B209" s="213"/>
      <c r="C209" s="117" t="s">
        <v>9</v>
      </c>
      <c r="D209" s="117">
        <v>10</v>
      </c>
      <c r="E209" s="117" t="s">
        <v>2114</v>
      </c>
      <c r="F209" s="117" t="s">
        <v>10</v>
      </c>
      <c r="G209" s="117" t="s">
        <v>448</v>
      </c>
      <c r="H209" s="117"/>
      <c r="I209" s="117" t="s">
        <v>2520</v>
      </c>
      <c r="J209" s="117" t="s">
        <v>30</v>
      </c>
      <c r="K209" s="117"/>
    </row>
    <row r="210" spans="1:11">
      <c r="A210" s="129" t="s">
        <v>449</v>
      </c>
      <c r="B210" s="129" t="s">
        <v>450</v>
      </c>
      <c r="C210" s="127"/>
      <c r="D210" s="127">
        <v>25</v>
      </c>
      <c r="E210" s="127" t="s">
        <v>2114</v>
      </c>
      <c r="F210" s="127" t="s">
        <v>10</v>
      </c>
      <c r="G210" s="127" t="s">
        <v>451</v>
      </c>
      <c r="H210" s="127"/>
      <c r="I210" s="127" t="s">
        <v>2521</v>
      </c>
      <c r="J210" s="127" t="s">
        <v>121</v>
      </c>
      <c r="K210" s="127"/>
    </row>
    <row r="211" spans="1:11" ht="48.9">
      <c r="A211" s="211" t="s">
        <v>2278</v>
      </c>
      <c r="B211" s="211" t="s">
        <v>1388</v>
      </c>
      <c r="C211" s="117"/>
      <c r="D211" s="117">
        <v>8</v>
      </c>
      <c r="E211" s="117" t="s">
        <v>2114</v>
      </c>
      <c r="F211" s="117" t="s">
        <v>1376</v>
      </c>
      <c r="G211" s="117" t="s">
        <v>2455</v>
      </c>
      <c r="H211" s="117"/>
      <c r="I211" s="117" t="s">
        <v>56</v>
      </c>
      <c r="J211" s="117" t="s">
        <v>56</v>
      </c>
      <c r="K211" s="117" t="s">
        <v>1389</v>
      </c>
    </row>
    <row r="212" spans="1:11">
      <c r="A212" s="212"/>
      <c r="B212" s="212"/>
      <c r="C212" s="117" t="s">
        <v>1393</v>
      </c>
      <c r="D212" s="117">
        <v>0</v>
      </c>
      <c r="E212" s="117" t="s">
        <v>2114</v>
      </c>
      <c r="F212" s="117" t="s">
        <v>1314</v>
      </c>
      <c r="G212" s="117">
        <v>75</v>
      </c>
      <c r="H212" s="117" t="s">
        <v>1422</v>
      </c>
      <c r="I212" s="117">
        <v>7</v>
      </c>
      <c r="J212" s="117"/>
      <c r="K212" s="117"/>
    </row>
    <row r="213" spans="1:11">
      <c r="A213" s="213"/>
      <c r="B213" s="213"/>
      <c r="C213" s="117" t="s">
        <v>1394</v>
      </c>
      <c r="D213" s="117">
        <v>0</v>
      </c>
      <c r="E213" s="117" t="s">
        <v>2114</v>
      </c>
      <c r="F213" s="117" t="s">
        <v>1314</v>
      </c>
      <c r="G213" s="117">
        <v>117</v>
      </c>
      <c r="H213" s="117" t="s">
        <v>1422</v>
      </c>
      <c r="I213" s="117">
        <v>12</v>
      </c>
      <c r="J213" s="117"/>
      <c r="K213" s="117" t="s">
        <v>1396</v>
      </c>
    </row>
    <row r="214" spans="1:11">
      <c r="A214" s="208" t="s">
        <v>452</v>
      </c>
      <c r="B214" s="208" t="s">
        <v>362</v>
      </c>
      <c r="C214" s="127" t="s">
        <v>453</v>
      </c>
      <c r="D214" s="200">
        <v>25</v>
      </c>
      <c r="E214" s="200" t="s">
        <v>2114</v>
      </c>
      <c r="F214" s="127" t="s">
        <v>10</v>
      </c>
      <c r="G214" s="128">
        <v>1.54</v>
      </c>
      <c r="H214" s="128"/>
      <c r="I214" s="127">
        <v>9.24</v>
      </c>
      <c r="J214" s="127" t="s">
        <v>454</v>
      </c>
      <c r="K214" s="127"/>
    </row>
    <row r="215" spans="1:11">
      <c r="A215" s="209"/>
      <c r="B215" s="209"/>
      <c r="C215" s="127" t="s">
        <v>164</v>
      </c>
      <c r="D215" s="201"/>
      <c r="E215" s="201"/>
      <c r="F215" s="127" t="s">
        <v>32</v>
      </c>
      <c r="G215" s="127" t="s">
        <v>455</v>
      </c>
      <c r="H215" s="127"/>
      <c r="I215" s="127">
        <v>13</v>
      </c>
      <c r="J215" s="127" t="s">
        <v>121</v>
      </c>
      <c r="K215" s="127"/>
    </row>
    <row r="216" spans="1:11" ht="32.6">
      <c r="A216" s="113" t="s">
        <v>430</v>
      </c>
      <c r="B216" s="113" t="s">
        <v>237</v>
      </c>
      <c r="C216" s="114" t="s">
        <v>1</v>
      </c>
      <c r="D216" s="114" t="s">
        <v>2</v>
      </c>
      <c r="E216" s="114" t="s">
        <v>2116</v>
      </c>
      <c r="F216" s="114" t="s">
        <v>3</v>
      </c>
      <c r="G216" s="114" t="s">
        <v>4</v>
      </c>
      <c r="H216" s="115" t="s">
        <v>1097</v>
      </c>
      <c r="I216" s="114" t="s">
        <v>2557</v>
      </c>
      <c r="J216" s="114" t="s">
        <v>238</v>
      </c>
      <c r="K216" s="114" t="s">
        <v>7</v>
      </c>
    </row>
    <row r="217" spans="1:11">
      <c r="A217" s="119" t="s">
        <v>431</v>
      </c>
      <c r="B217" s="119" t="s">
        <v>432</v>
      </c>
      <c r="C217" s="117"/>
      <c r="D217" s="117">
        <v>16</v>
      </c>
      <c r="E217" s="117">
        <v>15.4</v>
      </c>
      <c r="F217" s="117" t="s">
        <v>32</v>
      </c>
      <c r="G217" s="117" t="s">
        <v>1133</v>
      </c>
      <c r="H217" s="117" t="s">
        <v>1142</v>
      </c>
      <c r="I217" s="117" t="s">
        <v>2522</v>
      </c>
      <c r="J217" s="117" t="s">
        <v>180</v>
      </c>
      <c r="K217" s="117"/>
    </row>
    <row r="218" spans="1:11">
      <c r="A218" s="208" t="s">
        <v>433</v>
      </c>
      <c r="B218" s="208" t="s">
        <v>434</v>
      </c>
      <c r="C218" s="127" t="s">
        <v>2079</v>
      </c>
      <c r="D218" s="200">
        <v>15</v>
      </c>
      <c r="E218" s="200">
        <v>15.4</v>
      </c>
      <c r="F218" s="127" t="s">
        <v>1139</v>
      </c>
      <c r="G218" s="128">
        <v>0.1</v>
      </c>
      <c r="H218" s="127"/>
      <c r="I218" s="127">
        <v>9.1</v>
      </c>
      <c r="J218" s="127" t="s">
        <v>1446</v>
      </c>
      <c r="K218" s="127"/>
    </row>
    <row r="219" spans="1:11">
      <c r="A219" s="209"/>
      <c r="B219" s="209"/>
      <c r="C219" s="127" t="s">
        <v>385</v>
      </c>
      <c r="D219" s="201"/>
      <c r="E219" s="201"/>
      <c r="F219" s="127" t="s">
        <v>32</v>
      </c>
      <c r="G219" s="127" t="s">
        <v>435</v>
      </c>
      <c r="H219" s="127"/>
      <c r="I219" s="127" t="s">
        <v>2558</v>
      </c>
      <c r="J219" s="127" t="s">
        <v>148</v>
      </c>
      <c r="K219" s="127" t="s">
        <v>1134</v>
      </c>
    </row>
    <row r="220" spans="1:11">
      <c r="A220" s="211" t="s">
        <v>436</v>
      </c>
      <c r="B220" s="211" t="s">
        <v>437</v>
      </c>
      <c r="C220" s="117" t="s">
        <v>438</v>
      </c>
      <c r="D220" s="202">
        <v>20</v>
      </c>
      <c r="E220" s="202" t="s">
        <v>2130</v>
      </c>
      <c r="F220" s="117" t="s">
        <v>10</v>
      </c>
      <c r="G220" s="118">
        <v>0.8</v>
      </c>
      <c r="H220" s="118"/>
      <c r="I220" s="117">
        <v>7</v>
      </c>
      <c r="J220" s="117" t="s">
        <v>278</v>
      </c>
      <c r="K220" s="117"/>
    </row>
    <row r="221" spans="1:11" ht="32.6">
      <c r="A221" s="213"/>
      <c r="B221" s="213"/>
      <c r="C221" s="117" t="s">
        <v>439</v>
      </c>
      <c r="D221" s="203"/>
      <c r="E221" s="203"/>
      <c r="F221" s="117" t="s">
        <v>32</v>
      </c>
      <c r="G221" s="117">
        <v>186</v>
      </c>
      <c r="H221" s="117"/>
      <c r="I221" s="117">
        <v>20</v>
      </c>
      <c r="J221" s="117" t="s">
        <v>40</v>
      </c>
      <c r="K221" s="117" t="s">
        <v>440</v>
      </c>
    </row>
    <row r="222" spans="1:11">
      <c r="A222" s="129" t="s">
        <v>441</v>
      </c>
      <c r="B222" s="129" t="s">
        <v>442</v>
      </c>
      <c r="C222" s="127"/>
      <c r="D222" s="127">
        <v>35</v>
      </c>
      <c r="E222" s="127" t="s">
        <v>2114</v>
      </c>
      <c r="F222" s="127" t="s">
        <v>10</v>
      </c>
      <c r="G222" s="127" t="s">
        <v>443</v>
      </c>
      <c r="H222" s="127"/>
      <c r="I222" s="127">
        <v>12.950000000000001</v>
      </c>
      <c r="J222" s="127" t="s">
        <v>148</v>
      </c>
      <c r="K222" s="127" t="s">
        <v>1354</v>
      </c>
    </row>
    <row r="223" spans="1:11" ht="48.9">
      <c r="A223" s="113" t="s">
        <v>535</v>
      </c>
      <c r="B223" s="113" t="s">
        <v>237</v>
      </c>
      <c r="C223" s="114" t="s">
        <v>1</v>
      </c>
      <c r="D223" s="114" t="s">
        <v>2</v>
      </c>
      <c r="E223" s="114" t="s">
        <v>2116</v>
      </c>
      <c r="F223" s="114" t="s">
        <v>3</v>
      </c>
      <c r="G223" s="114" t="s">
        <v>4</v>
      </c>
      <c r="H223" s="115" t="s">
        <v>1097</v>
      </c>
      <c r="I223" s="114" t="s">
        <v>2554</v>
      </c>
      <c r="J223" s="114" t="s">
        <v>238</v>
      </c>
      <c r="K223" s="114" t="s">
        <v>7</v>
      </c>
    </row>
    <row r="224" spans="1:11">
      <c r="A224" s="119" t="s">
        <v>538</v>
      </c>
      <c r="B224" s="119" t="s">
        <v>539</v>
      </c>
      <c r="C224" s="117"/>
      <c r="D224" s="117">
        <v>15</v>
      </c>
      <c r="E224" s="117" t="s">
        <v>2117</v>
      </c>
      <c r="F224" s="117" t="s">
        <v>32</v>
      </c>
      <c r="G224" s="117" t="s">
        <v>540</v>
      </c>
      <c r="H224" s="117"/>
      <c r="I224" s="117" t="s">
        <v>2526</v>
      </c>
      <c r="J224" s="117" t="s">
        <v>121</v>
      </c>
      <c r="K224" s="117"/>
    </row>
    <row r="225" spans="1:11" ht="48.9">
      <c r="A225" s="129" t="s">
        <v>548</v>
      </c>
      <c r="B225" s="129" t="s">
        <v>549</v>
      </c>
      <c r="C225" s="127"/>
      <c r="D225" s="127">
        <v>19</v>
      </c>
      <c r="E225" s="127" t="s">
        <v>2391</v>
      </c>
      <c r="F225" s="127" t="s">
        <v>32</v>
      </c>
      <c r="G225" s="128" t="s">
        <v>2209</v>
      </c>
      <c r="H225" s="128"/>
      <c r="I225" s="127">
        <v>36</v>
      </c>
      <c r="J225" s="127" t="s">
        <v>2077</v>
      </c>
      <c r="K225" s="127" t="s">
        <v>2414</v>
      </c>
    </row>
    <row r="226" spans="1:11">
      <c r="A226" s="119" t="s">
        <v>536</v>
      </c>
      <c r="B226" s="119" t="s">
        <v>537</v>
      </c>
      <c r="C226" s="117"/>
      <c r="D226" s="117">
        <v>16</v>
      </c>
      <c r="E226" s="117" t="s">
        <v>2117</v>
      </c>
      <c r="F226" s="117" t="s">
        <v>32</v>
      </c>
      <c r="G226" s="117">
        <v>315</v>
      </c>
      <c r="H226" s="117" t="s">
        <v>1142</v>
      </c>
      <c r="I226" s="117">
        <v>10</v>
      </c>
      <c r="J226" s="117" t="s">
        <v>180</v>
      </c>
      <c r="K226" s="117" t="s">
        <v>1129</v>
      </c>
    </row>
    <row r="227" spans="1:11">
      <c r="A227" s="129" t="s">
        <v>541</v>
      </c>
      <c r="B227" s="129" t="s">
        <v>542</v>
      </c>
      <c r="C227" s="127"/>
      <c r="D227" s="127">
        <v>3</v>
      </c>
      <c r="E227" s="127">
        <v>19.8</v>
      </c>
      <c r="F227" s="127" t="s">
        <v>10</v>
      </c>
      <c r="G227" s="127" t="s">
        <v>543</v>
      </c>
      <c r="H227" s="127"/>
      <c r="I227" s="127" t="s">
        <v>2527</v>
      </c>
      <c r="J227" s="127" t="s">
        <v>40</v>
      </c>
      <c r="K227" s="127" t="s">
        <v>2131</v>
      </c>
    </row>
    <row r="228" spans="1:11">
      <c r="A228" s="119" t="s">
        <v>544</v>
      </c>
      <c r="B228" s="119" t="s">
        <v>545</v>
      </c>
      <c r="C228" s="117"/>
      <c r="D228" s="117">
        <v>13</v>
      </c>
      <c r="E228" s="117" t="s">
        <v>2114</v>
      </c>
      <c r="F228" s="117" t="s">
        <v>32</v>
      </c>
      <c r="G228" s="124" t="s">
        <v>1175</v>
      </c>
      <c r="H228" s="124"/>
      <c r="I228" s="117">
        <v>7</v>
      </c>
      <c r="J228" s="117" t="s">
        <v>454</v>
      </c>
      <c r="K228" s="122"/>
    </row>
    <row r="229" spans="1:11" ht="32.6">
      <c r="A229" s="129" t="s">
        <v>2279</v>
      </c>
      <c r="B229" s="129" t="s">
        <v>1398</v>
      </c>
      <c r="C229" s="127"/>
      <c r="D229" s="127">
        <v>18</v>
      </c>
      <c r="E229" s="127" t="s">
        <v>2117</v>
      </c>
      <c r="F229" s="127" t="s">
        <v>1294</v>
      </c>
      <c r="G229" s="136" t="s">
        <v>1399</v>
      </c>
      <c r="H229" s="135"/>
      <c r="I229" s="127" t="s">
        <v>2528</v>
      </c>
      <c r="J229" s="127" t="s">
        <v>1927</v>
      </c>
      <c r="K229" s="133"/>
    </row>
    <row r="230" spans="1:11">
      <c r="A230" s="211" t="s">
        <v>2280</v>
      </c>
      <c r="B230" s="211" t="s">
        <v>1400</v>
      </c>
      <c r="C230" s="117" t="s">
        <v>1333</v>
      </c>
      <c r="D230" s="202">
        <v>16</v>
      </c>
      <c r="E230" s="202" t="s">
        <v>2119</v>
      </c>
      <c r="F230" s="117" t="s">
        <v>1294</v>
      </c>
      <c r="G230" s="124" t="s">
        <v>2204</v>
      </c>
      <c r="H230" s="124" t="s">
        <v>2042</v>
      </c>
      <c r="I230" s="124" t="s">
        <v>2529</v>
      </c>
      <c r="J230" s="117" t="s">
        <v>1401</v>
      </c>
      <c r="K230" s="124" t="s">
        <v>1482</v>
      </c>
    </row>
    <row r="231" spans="1:11">
      <c r="A231" s="213"/>
      <c r="B231" s="213"/>
      <c r="C231" s="117" t="s">
        <v>1334</v>
      </c>
      <c r="D231" s="203"/>
      <c r="E231" s="203"/>
      <c r="F231" s="117" t="s">
        <v>1294</v>
      </c>
      <c r="G231" s="124" t="s">
        <v>2205</v>
      </c>
      <c r="H231" s="124" t="s">
        <v>2042</v>
      </c>
      <c r="I231" s="124" t="s">
        <v>2530</v>
      </c>
      <c r="J231" s="117" t="s">
        <v>1401</v>
      </c>
      <c r="K231" s="124" t="s">
        <v>1482</v>
      </c>
    </row>
    <row r="232" spans="1:11" ht="81.45">
      <c r="A232" s="208" t="s">
        <v>546</v>
      </c>
      <c r="B232" s="208" t="s">
        <v>547</v>
      </c>
      <c r="C232" s="127" t="s">
        <v>1140</v>
      </c>
      <c r="D232" s="127">
        <v>25</v>
      </c>
      <c r="E232" s="127" t="s">
        <v>2132</v>
      </c>
      <c r="F232" s="127" t="s">
        <v>1139</v>
      </c>
      <c r="G232" s="128">
        <v>2.1</v>
      </c>
      <c r="H232" s="128" t="s">
        <v>1140</v>
      </c>
      <c r="I232" s="127" t="s">
        <v>2459</v>
      </c>
      <c r="J232" s="127" t="s">
        <v>40</v>
      </c>
      <c r="K232" s="127" t="s">
        <v>2080</v>
      </c>
    </row>
    <row r="233" spans="1:11" ht="32.6">
      <c r="A233" s="210"/>
      <c r="B233" s="210"/>
      <c r="C233" s="127" t="s">
        <v>1837</v>
      </c>
      <c r="D233" s="200">
        <v>0</v>
      </c>
      <c r="E233" s="200">
        <v>19.8</v>
      </c>
      <c r="F233" s="127" t="s">
        <v>1139</v>
      </c>
      <c r="G233" s="128">
        <v>0.8</v>
      </c>
      <c r="H233" s="128" t="s">
        <v>1141</v>
      </c>
      <c r="I233" s="127">
        <v>9</v>
      </c>
      <c r="J233" s="127" t="s">
        <v>40</v>
      </c>
      <c r="K233" s="127" t="s">
        <v>1834</v>
      </c>
    </row>
    <row r="234" spans="1:11">
      <c r="A234" s="210"/>
      <c r="B234" s="210"/>
      <c r="C234" s="127" t="s">
        <v>1838</v>
      </c>
      <c r="D234" s="201"/>
      <c r="E234" s="201"/>
      <c r="F234" s="127" t="s">
        <v>1832</v>
      </c>
      <c r="G234" s="128">
        <v>1</v>
      </c>
      <c r="H234" s="128" t="s">
        <v>1833</v>
      </c>
      <c r="I234" s="127">
        <v>12</v>
      </c>
      <c r="J234" s="127"/>
      <c r="K234" s="127"/>
    </row>
    <row r="235" spans="1:11">
      <c r="A235" s="210"/>
      <c r="B235" s="210"/>
      <c r="C235" s="127" t="s">
        <v>1835</v>
      </c>
      <c r="D235" s="127">
        <v>0</v>
      </c>
      <c r="E235" s="127">
        <v>19.8</v>
      </c>
      <c r="F235" s="127" t="s">
        <v>1139</v>
      </c>
      <c r="G235" s="128">
        <v>1.65</v>
      </c>
      <c r="H235" s="128" t="s">
        <v>1140</v>
      </c>
      <c r="I235" s="127">
        <v>12</v>
      </c>
      <c r="J235" s="127" t="s">
        <v>40</v>
      </c>
      <c r="K235" s="127"/>
    </row>
    <row r="236" spans="1:11" ht="32.6">
      <c r="A236" s="210"/>
      <c r="B236" s="210"/>
      <c r="C236" s="127" t="s">
        <v>1839</v>
      </c>
      <c r="D236" s="200">
        <v>0</v>
      </c>
      <c r="E236" s="200">
        <v>19.8</v>
      </c>
      <c r="F236" s="127" t="s">
        <v>1139</v>
      </c>
      <c r="G236" s="128">
        <v>0.9</v>
      </c>
      <c r="H236" s="128" t="s">
        <v>1141</v>
      </c>
      <c r="I236" s="127">
        <v>12</v>
      </c>
      <c r="J236" s="127" t="s">
        <v>40</v>
      </c>
      <c r="K236" s="127" t="s">
        <v>1331</v>
      </c>
    </row>
    <row r="237" spans="1:11">
      <c r="A237" s="210"/>
      <c r="B237" s="210"/>
      <c r="C237" s="127" t="s">
        <v>1840</v>
      </c>
      <c r="D237" s="201"/>
      <c r="E237" s="201"/>
      <c r="F237" s="127" t="s">
        <v>1139</v>
      </c>
      <c r="G237" s="128">
        <v>1.1000000000000001</v>
      </c>
      <c r="H237" s="128" t="s">
        <v>1140</v>
      </c>
      <c r="I237" s="127">
        <v>18</v>
      </c>
      <c r="J237" s="127"/>
      <c r="K237" s="127"/>
    </row>
    <row r="238" spans="1:11">
      <c r="A238" s="209"/>
      <c r="B238" s="209"/>
      <c r="C238" s="127" t="s">
        <v>1836</v>
      </c>
      <c r="D238" s="127">
        <v>0</v>
      </c>
      <c r="E238" s="127">
        <v>19.8</v>
      </c>
      <c r="F238" s="127" t="s">
        <v>1139</v>
      </c>
      <c r="G238" s="128">
        <v>1.9</v>
      </c>
      <c r="H238" s="128" t="s">
        <v>1140</v>
      </c>
      <c r="I238" s="127">
        <v>18</v>
      </c>
      <c r="J238" s="127" t="s">
        <v>40</v>
      </c>
      <c r="K238" s="127" t="s">
        <v>1128</v>
      </c>
    </row>
    <row r="239" spans="1:11" ht="32.6">
      <c r="A239" s="211" t="s">
        <v>2281</v>
      </c>
      <c r="B239" s="211" t="s">
        <v>1402</v>
      </c>
      <c r="C239" s="117" t="s">
        <v>1299</v>
      </c>
      <c r="D239" s="117">
        <v>16</v>
      </c>
      <c r="E239" s="117" t="s">
        <v>2117</v>
      </c>
      <c r="F239" s="117" t="s">
        <v>1294</v>
      </c>
      <c r="G239" s="118">
        <v>2.0099999999999998</v>
      </c>
      <c r="H239" s="118"/>
      <c r="I239" s="117">
        <v>21</v>
      </c>
      <c r="J239" s="117" t="s">
        <v>2077</v>
      </c>
      <c r="K239" s="117" t="s">
        <v>2082</v>
      </c>
    </row>
    <row r="240" spans="1:11">
      <c r="A240" s="212"/>
      <c r="B240" s="212"/>
      <c r="C240" s="117" t="s">
        <v>1300</v>
      </c>
      <c r="D240" s="117">
        <v>8</v>
      </c>
      <c r="E240" s="117" t="s">
        <v>2117</v>
      </c>
      <c r="F240" s="117" t="s">
        <v>1294</v>
      </c>
      <c r="G240" s="118" t="s">
        <v>1403</v>
      </c>
      <c r="H240" s="118"/>
      <c r="I240" s="124" t="s">
        <v>2460</v>
      </c>
      <c r="J240" s="117" t="s">
        <v>1401</v>
      </c>
      <c r="K240" s="117" t="s">
        <v>1385</v>
      </c>
    </row>
    <row r="241" spans="1:11" ht="32.6">
      <c r="A241" s="213"/>
      <c r="B241" s="213"/>
      <c r="C241" s="117" t="s">
        <v>1301</v>
      </c>
      <c r="D241" s="117">
        <v>8</v>
      </c>
      <c r="E241" s="117" t="s">
        <v>2117</v>
      </c>
      <c r="F241" s="117" t="s">
        <v>1294</v>
      </c>
      <c r="G241" s="118">
        <v>2.1</v>
      </c>
      <c r="H241" s="118"/>
      <c r="I241" s="117">
        <v>30</v>
      </c>
      <c r="J241" s="117" t="s">
        <v>1401</v>
      </c>
      <c r="K241" s="117" t="s">
        <v>2415</v>
      </c>
    </row>
    <row r="242" spans="1:11">
      <c r="A242" s="208" t="s">
        <v>2282</v>
      </c>
      <c r="B242" s="208" t="s">
        <v>1404</v>
      </c>
      <c r="C242" s="127" t="s">
        <v>1405</v>
      </c>
      <c r="D242" s="200">
        <v>31</v>
      </c>
      <c r="E242" s="200" t="s">
        <v>2117</v>
      </c>
      <c r="F242" s="127" t="s">
        <v>1294</v>
      </c>
      <c r="G242" s="128">
        <v>0.8</v>
      </c>
      <c r="H242" s="128"/>
      <c r="I242" s="127">
        <v>7.5</v>
      </c>
      <c r="J242" s="127" t="s">
        <v>1416</v>
      </c>
      <c r="K242" s="127"/>
    </row>
    <row r="243" spans="1:11">
      <c r="A243" s="210"/>
      <c r="B243" s="210"/>
      <c r="C243" s="127" t="s">
        <v>1412</v>
      </c>
      <c r="D243" s="204"/>
      <c r="E243" s="204"/>
      <c r="F243" s="127" t="s">
        <v>1294</v>
      </c>
      <c r="G243" s="128">
        <v>0.66</v>
      </c>
      <c r="H243" s="128"/>
      <c r="I243" s="127">
        <v>7.5</v>
      </c>
      <c r="J243" s="127" t="s">
        <v>1416</v>
      </c>
      <c r="K243" s="127"/>
    </row>
    <row r="244" spans="1:11" ht="32.6">
      <c r="A244" s="210"/>
      <c r="B244" s="210"/>
      <c r="C244" s="127" t="s">
        <v>1413</v>
      </c>
      <c r="D244" s="204"/>
      <c r="E244" s="204"/>
      <c r="F244" s="127" t="s">
        <v>1314</v>
      </c>
      <c r="G244" s="135">
        <v>220</v>
      </c>
      <c r="H244" s="128"/>
      <c r="I244" s="127">
        <v>7.5</v>
      </c>
      <c r="J244" s="127" t="s">
        <v>1315</v>
      </c>
      <c r="K244" s="127" t="s">
        <v>2585</v>
      </c>
    </row>
    <row r="245" spans="1:11">
      <c r="A245" s="210"/>
      <c r="B245" s="210"/>
      <c r="C245" s="127" t="s">
        <v>1414</v>
      </c>
      <c r="D245" s="204"/>
      <c r="E245" s="204"/>
      <c r="F245" s="127" t="s">
        <v>1294</v>
      </c>
      <c r="G245" s="128">
        <v>0.87</v>
      </c>
      <c r="H245" s="128"/>
      <c r="I245" s="127">
        <v>7.5</v>
      </c>
      <c r="J245" s="127" t="s">
        <v>1416</v>
      </c>
      <c r="K245" s="127"/>
    </row>
    <row r="246" spans="1:11" ht="32.6">
      <c r="A246" s="209"/>
      <c r="B246" s="209"/>
      <c r="C246" s="127" t="s">
        <v>1415</v>
      </c>
      <c r="D246" s="201"/>
      <c r="E246" s="201"/>
      <c r="F246" s="127" t="s">
        <v>1314</v>
      </c>
      <c r="G246" s="135">
        <v>320</v>
      </c>
      <c r="H246" s="128"/>
      <c r="I246" s="127">
        <v>7.5</v>
      </c>
      <c r="J246" s="127" t="s">
        <v>1223</v>
      </c>
      <c r="K246" s="127" t="s">
        <v>2585</v>
      </c>
    </row>
    <row r="247" spans="1:11" ht="32.6">
      <c r="A247" s="113" t="s">
        <v>471</v>
      </c>
      <c r="B247" s="113" t="s">
        <v>237</v>
      </c>
      <c r="C247" s="114" t="s">
        <v>1</v>
      </c>
      <c r="D247" s="114" t="s">
        <v>2</v>
      </c>
      <c r="E247" s="114" t="s">
        <v>2116</v>
      </c>
      <c r="F247" s="114" t="s">
        <v>3</v>
      </c>
      <c r="G247" s="114" t="s">
        <v>4</v>
      </c>
      <c r="H247" s="115" t="s">
        <v>1097</v>
      </c>
      <c r="I247" s="114" t="s">
        <v>2549</v>
      </c>
      <c r="J247" s="114" t="s">
        <v>238</v>
      </c>
      <c r="K247" s="114" t="s">
        <v>7</v>
      </c>
    </row>
    <row r="248" spans="1:11">
      <c r="A248" s="211" t="s">
        <v>1919</v>
      </c>
      <c r="B248" s="211" t="s">
        <v>476</v>
      </c>
      <c r="C248" s="117" t="s">
        <v>2083</v>
      </c>
      <c r="D248" s="202">
        <v>12</v>
      </c>
      <c r="E248" s="117" t="s">
        <v>2114</v>
      </c>
      <c r="F248" s="117" t="s">
        <v>10</v>
      </c>
      <c r="G248" s="118">
        <v>1.4</v>
      </c>
      <c r="H248" s="118"/>
      <c r="I248" s="117">
        <v>10</v>
      </c>
      <c r="J248" s="117" t="s">
        <v>2068</v>
      </c>
      <c r="K248" s="117"/>
    </row>
    <row r="249" spans="1:11">
      <c r="A249" s="213"/>
      <c r="B249" s="213"/>
      <c r="C249" s="117" t="s">
        <v>478</v>
      </c>
      <c r="D249" s="203"/>
      <c r="E249" s="202" t="s">
        <v>2114</v>
      </c>
      <c r="F249" s="117" t="s">
        <v>10</v>
      </c>
      <c r="G249" s="117" t="s">
        <v>479</v>
      </c>
      <c r="H249" s="117"/>
      <c r="I249" s="117">
        <v>10</v>
      </c>
      <c r="J249" s="117" t="s">
        <v>180</v>
      </c>
      <c r="K249" s="117"/>
    </row>
    <row r="250" spans="1:11">
      <c r="A250" s="129" t="s">
        <v>472</v>
      </c>
      <c r="B250" s="129" t="s">
        <v>473</v>
      </c>
      <c r="C250" s="127"/>
      <c r="D250" s="127">
        <v>20</v>
      </c>
      <c r="E250" s="203"/>
      <c r="F250" s="127" t="s">
        <v>10</v>
      </c>
      <c r="G250" s="127" t="s">
        <v>474</v>
      </c>
      <c r="H250" s="127"/>
      <c r="I250" s="127" t="s">
        <v>2531</v>
      </c>
      <c r="J250" s="127" t="s">
        <v>121</v>
      </c>
      <c r="K250" s="127"/>
    </row>
    <row r="251" spans="1:11">
      <c r="A251" s="211" t="s">
        <v>480</v>
      </c>
      <c r="B251" s="211" t="s">
        <v>481</v>
      </c>
      <c r="C251" s="117" t="s">
        <v>125</v>
      </c>
      <c r="D251" s="202">
        <v>25</v>
      </c>
      <c r="E251" s="202" t="s">
        <v>2119</v>
      </c>
      <c r="F251" s="117" t="s">
        <v>2574</v>
      </c>
      <c r="G251" s="117" t="s">
        <v>482</v>
      </c>
      <c r="H251" s="117"/>
      <c r="I251" s="117">
        <v>2.5</v>
      </c>
      <c r="J251" s="117" t="s">
        <v>172</v>
      </c>
      <c r="K251" s="117"/>
    </row>
    <row r="252" spans="1:11">
      <c r="A252" s="213"/>
      <c r="B252" s="213"/>
      <c r="C252" s="117" t="s">
        <v>89</v>
      </c>
      <c r="D252" s="203"/>
      <c r="E252" s="203"/>
      <c r="F252" s="117" t="s">
        <v>2574</v>
      </c>
      <c r="G252" s="117" t="s">
        <v>483</v>
      </c>
      <c r="H252" s="117"/>
      <c r="I252" s="117">
        <v>2.5</v>
      </c>
      <c r="J252" s="117" t="s">
        <v>172</v>
      </c>
      <c r="K252" s="117" t="s">
        <v>1128</v>
      </c>
    </row>
    <row r="253" spans="1:11" ht="32.6">
      <c r="A253" s="113" t="s">
        <v>484</v>
      </c>
      <c r="B253" s="113" t="s">
        <v>237</v>
      </c>
      <c r="C253" s="114" t="s">
        <v>1</v>
      </c>
      <c r="D253" s="114" t="s">
        <v>2</v>
      </c>
      <c r="E253" s="114" t="s">
        <v>2116</v>
      </c>
      <c r="F253" s="114" t="s">
        <v>3</v>
      </c>
      <c r="G253" s="114" t="s">
        <v>4</v>
      </c>
      <c r="H253" s="114"/>
      <c r="I253" s="114" t="s">
        <v>2550</v>
      </c>
      <c r="J253" s="114" t="s">
        <v>238</v>
      </c>
      <c r="K253" s="114" t="s">
        <v>7</v>
      </c>
    </row>
    <row r="254" spans="1:11">
      <c r="A254" s="208" t="s">
        <v>495</v>
      </c>
      <c r="B254" s="208" t="s">
        <v>496</v>
      </c>
      <c r="C254" s="127" t="s">
        <v>42</v>
      </c>
      <c r="D254" s="127">
        <v>10</v>
      </c>
      <c r="E254" s="127" t="s">
        <v>2130</v>
      </c>
      <c r="F254" s="127" t="s">
        <v>1139</v>
      </c>
      <c r="G254" s="128">
        <v>3.12</v>
      </c>
      <c r="H254" s="128"/>
      <c r="I254" s="127">
        <v>49.5</v>
      </c>
      <c r="J254" s="127" t="s">
        <v>66</v>
      </c>
      <c r="K254" s="127"/>
    </row>
    <row r="255" spans="1:11">
      <c r="A255" s="209"/>
      <c r="B255" s="209"/>
      <c r="C255" s="127" t="s">
        <v>44</v>
      </c>
      <c r="D255" s="127">
        <v>20</v>
      </c>
      <c r="E255" s="127" t="s">
        <v>2130</v>
      </c>
      <c r="F255" s="127" t="s">
        <v>1139</v>
      </c>
      <c r="G255" s="128">
        <v>3.3</v>
      </c>
      <c r="H255" s="128"/>
      <c r="I255" s="127">
        <v>33</v>
      </c>
      <c r="J255" s="127" t="s">
        <v>66</v>
      </c>
      <c r="K255" s="127" t="s">
        <v>1129</v>
      </c>
    </row>
    <row r="256" spans="1:11" ht="32.6">
      <c r="A256" s="211" t="s">
        <v>485</v>
      </c>
      <c r="B256" s="211" t="s">
        <v>486</v>
      </c>
      <c r="C256" s="117" t="s">
        <v>125</v>
      </c>
      <c r="D256" s="202">
        <v>25</v>
      </c>
      <c r="E256" s="202" t="s">
        <v>2119</v>
      </c>
      <c r="F256" s="117" t="s">
        <v>10</v>
      </c>
      <c r="G256" s="118" t="s">
        <v>487</v>
      </c>
      <c r="H256" s="118"/>
      <c r="I256" s="117" t="s">
        <v>2524</v>
      </c>
      <c r="J256" s="117" t="s">
        <v>1926</v>
      </c>
      <c r="K256" s="117" t="s">
        <v>2133</v>
      </c>
    </row>
    <row r="257" spans="1:11" ht="32.6">
      <c r="A257" s="213"/>
      <c r="B257" s="213"/>
      <c r="C257" s="117" t="s">
        <v>89</v>
      </c>
      <c r="D257" s="203"/>
      <c r="E257" s="203"/>
      <c r="F257" s="117" t="s">
        <v>10</v>
      </c>
      <c r="G257" s="118" t="s">
        <v>488</v>
      </c>
      <c r="H257" s="118"/>
      <c r="I257" s="117" t="s">
        <v>2523</v>
      </c>
      <c r="J257" s="117" t="s">
        <v>1926</v>
      </c>
      <c r="K257" s="117" t="s">
        <v>1126</v>
      </c>
    </row>
    <row r="258" spans="1:11">
      <c r="A258" s="208" t="s">
        <v>497</v>
      </c>
      <c r="B258" s="208" t="s">
        <v>498</v>
      </c>
      <c r="C258" s="127" t="s">
        <v>66</v>
      </c>
      <c r="D258" s="200">
        <v>14</v>
      </c>
      <c r="E258" s="200">
        <v>11.8</v>
      </c>
      <c r="F258" s="127" t="s">
        <v>10</v>
      </c>
      <c r="G258" s="128" t="s">
        <v>2435</v>
      </c>
      <c r="H258" s="128"/>
      <c r="I258" s="127">
        <v>8.25</v>
      </c>
      <c r="J258" s="127" t="s">
        <v>499</v>
      </c>
      <c r="K258" s="127"/>
    </row>
    <row r="259" spans="1:11">
      <c r="A259" s="210"/>
      <c r="B259" s="210"/>
      <c r="C259" s="127" t="s">
        <v>164</v>
      </c>
      <c r="D259" s="204"/>
      <c r="E259" s="204"/>
      <c r="F259" s="127" t="s">
        <v>32</v>
      </c>
      <c r="G259" s="127" t="s">
        <v>2436</v>
      </c>
      <c r="H259" s="127"/>
      <c r="I259" s="127">
        <v>20</v>
      </c>
      <c r="J259" s="127" t="s">
        <v>148</v>
      </c>
      <c r="K259" s="127"/>
    </row>
    <row r="260" spans="1:11">
      <c r="A260" s="209"/>
      <c r="B260" s="209"/>
      <c r="C260" s="127" t="s">
        <v>500</v>
      </c>
      <c r="D260" s="201"/>
      <c r="E260" s="201"/>
      <c r="F260" s="127" t="s">
        <v>32</v>
      </c>
      <c r="G260" s="127" t="s">
        <v>2434</v>
      </c>
      <c r="H260" s="127"/>
      <c r="I260" s="127">
        <v>0</v>
      </c>
      <c r="J260" s="127" t="s">
        <v>148</v>
      </c>
      <c r="K260" s="127"/>
    </row>
    <row r="261" spans="1:11" ht="32.6">
      <c r="A261" s="119" t="s">
        <v>2283</v>
      </c>
      <c r="B261" s="119" t="s">
        <v>1417</v>
      </c>
      <c r="C261" s="117"/>
      <c r="D261" s="117">
        <v>6</v>
      </c>
      <c r="E261" s="117" t="s">
        <v>2114</v>
      </c>
      <c r="F261" s="117" t="s">
        <v>1221</v>
      </c>
      <c r="G261" s="117" t="s">
        <v>2547</v>
      </c>
      <c r="H261" s="117"/>
      <c r="I261" s="117" t="s">
        <v>1743</v>
      </c>
      <c r="J261" s="117" t="s">
        <v>1223</v>
      </c>
      <c r="K261" s="117" t="s">
        <v>2084</v>
      </c>
    </row>
    <row r="262" spans="1:11">
      <c r="A262" s="208" t="s">
        <v>2284</v>
      </c>
      <c r="B262" s="208" t="s">
        <v>1418</v>
      </c>
      <c r="C262" s="127" t="s">
        <v>385</v>
      </c>
      <c r="D262" s="127" t="s">
        <v>1432</v>
      </c>
      <c r="E262" s="127">
        <v>3</v>
      </c>
      <c r="F262" s="127" t="s">
        <v>32</v>
      </c>
      <c r="G262" s="136" t="s">
        <v>1419</v>
      </c>
      <c r="H262" s="127"/>
      <c r="I262" s="127" t="s">
        <v>1748</v>
      </c>
      <c r="J262" s="127" t="s">
        <v>1239</v>
      </c>
      <c r="K262" s="127" t="s">
        <v>2085</v>
      </c>
    </row>
    <row r="263" spans="1:11">
      <c r="A263" s="209"/>
      <c r="B263" s="209"/>
      <c r="C263" s="127" t="s">
        <v>76</v>
      </c>
      <c r="D263" s="127">
        <v>20</v>
      </c>
      <c r="E263" s="127">
        <v>3</v>
      </c>
      <c r="F263" s="127" t="s">
        <v>32</v>
      </c>
      <c r="G263" s="127" t="s">
        <v>1420</v>
      </c>
      <c r="H263" s="127"/>
      <c r="I263" s="127" t="s">
        <v>1750</v>
      </c>
      <c r="J263" s="127" t="s">
        <v>1239</v>
      </c>
      <c r="K263" s="127" t="s">
        <v>1385</v>
      </c>
    </row>
    <row r="264" spans="1:11" ht="48.9">
      <c r="A264" s="211" t="s">
        <v>489</v>
      </c>
      <c r="B264" s="211" t="s">
        <v>490</v>
      </c>
      <c r="C264" s="117" t="s">
        <v>385</v>
      </c>
      <c r="D264" s="117" t="s">
        <v>1432</v>
      </c>
      <c r="E264" s="117">
        <v>11.8</v>
      </c>
      <c r="F264" s="117" t="s">
        <v>32</v>
      </c>
      <c r="G264" s="125" t="s">
        <v>491</v>
      </c>
      <c r="H264" s="125"/>
      <c r="I264" s="117" t="s">
        <v>492</v>
      </c>
      <c r="J264" s="117" t="s">
        <v>148</v>
      </c>
      <c r="K264" s="117" t="s">
        <v>1867</v>
      </c>
    </row>
    <row r="265" spans="1:11">
      <c r="A265" s="213"/>
      <c r="B265" s="213"/>
      <c r="C265" s="117" t="s">
        <v>76</v>
      </c>
      <c r="D265" s="117">
        <v>20</v>
      </c>
      <c r="E265" s="117">
        <v>11.8</v>
      </c>
      <c r="F265" s="117" t="s">
        <v>32</v>
      </c>
      <c r="G265" s="125" t="s">
        <v>493</v>
      </c>
      <c r="H265" s="125"/>
      <c r="I265" s="117" t="s">
        <v>494</v>
      </c>
      <c r="J265" s="117" t="s">
        <v>148</v>
      </c>
      <c r="K265" s="117" t="s">
        <v>84</v>
      </c>
    </row>
    <row r="266" spans="1:11">
      <c r="A266" s="208" t="s">
        <v>2285</v>
      </c>
      <c r="B266" s="208" t="s">
        <v>1423</v>
      </c>
      <c r="C266" s="127" t="s">
        <v>1425</v>
      </c>
      <c r="D266" s="200">
        <v>15</v>
      </c>
      <c r="E266" s="200" t="s">
        <v>2117</v>
      </c>
      <c r="F266" s="127" t="s">
        <v>1139</v>
      </c>
      <c r="G266" s="136">
        <v>0.62</v>
      </c>
      <c r="H266" s="136" t="s">
        <v>1422</v>
      </c>
      <c r="I266" s="127">
        <v>2.75</v>
      </c>
      <c r="J266" s="127" t="s">
        <v>1431</v>
      </c>
      <c r="K266" s="127"/>
    </row>
    <row r="267" spans="1:11">
      <c r="A267" s="210"/>
      <c r="B267" s="210"/>
      <c r="C267" s="127" t="s">
        <v>1426</v>
      </c>
      <c r="D267" s="201"/>
      <c r="E267" s="201"/>
      <c r="F267" s="127" t="s">
        <v>1221</v>
      </c>
      <c r="G267" s="127">
        <v>160</v>
      </c>
      <c r="H267" s="136" t="s">
        <v>1422</v>
      </c>
      <c r="I267" s="127">
        <v>7</v>
      </c>
      <c r="J267" s="127" t="s">
        <v>1431</v>
      </c>
      <c r="K267" s="127"/>
    </row>
    <row r="268" spans="1:11">
      <c r="A268" s="210"/>
      <c r="B268" s="210"/>
      <c r="C268" s="127" t="s">
        <v>1256</v>
      </c>
      <c r="D268" s="127">
        <v>9</v>
      </c>
      <c r="E268" s="127" t="s">
        <v>2114</v>
      </c>
      <c r="F268" s="127" t="s">
        <v>1139</v>
      </c>
      <c r="G268" s="136" t="s">
        <v>1427</v>
      </c>
      <c r="H268" s="136" t="s">
        <v>1422</v>
      </c>
      <c r="I268" s="127" t="s">
        <v>2525</v>
      </c>
      <c r="J268" s="127" t="s">
        <v>1431</v>
      </c>
      <c r="K268" s="127"/>
    </row>
    <row r="269" spans="1:11">
      <c r="A269" s="209"/>
      <c r="B269" s="209"/>
      <c r="C269" s="127" t="s">
        <v>1428</v>
      </c>
      <c r="D269" s="127">
        <v>9</v>
      </c>
      <c r="E269" s="127" t="s">
        <v>2114</v>
      </c>
      <c r="F269" s="127" t="s">
        <v>1139</v>
      </c>
      <c r="G269" s="136" t="s">
        <v>1429</v>
      </c>
      <c r="H269" s="136" t="s">
        <v>1422</v>
      </c>
      <c r="I269" s="127" t="s">
        <v>2525</v>
      </c>
      <c r="J269" s="127" t="s">
        <v>1431</v>
      </c>
      <c r="K269" s="127" t="s">
        <v>1430</v>
      </c>
    </row>
    <row r="270" spans="1:11" ht="32.6">
      <c r="A270" s="113" t="s">
        <v>501</v>
      </c>
      <c r="B270" s="113" t="s">
        <v>237</v>
      </c>
      <c r="C270" s="114" t="s">
        <v>1</v>
      </c>
      <c r="D270" s="114" t="s">
        <v>2</v>
      </c>
      <c r="E270" s="114" t="s">
        <v>2116</v>
      </c>
      <c r="F270" s="114" t="s">
        <v>3</v>
      </c>
      <c r="G270" s="114" t="s">
        <v>4</v>
      </c>
      <c r="H270" s="115" t="s">
        <v>1097</v>
      </c>
      <c r="I270" s="114" t="s">
        <v>2549</v>
      </c>
      <c r="J270" s="114" t="s">
        <v>238</v>
      </c>
      <c r="K270" s="114" t="s">
        <v>7</v>
      </c>
    </row>
    <row r="271" spans="1:11" ht="32.6">
      <c r="A271" s="211" t="s">
        <v>502</v>
      </c>
      <c r="B271" s="211" t="s">
        <v>63</v>
      </c>
      <c r="C271" s="117" t="s">
        <v>42</v>
      </c>
      <c r="D271" s="117">
        <v>17</v>
      </c>
      <c r="E271" s="117">
        <v>10.4</v>
      </c>
      <c r="F271" s="117" t="s">
        <v>10</v>
      </c>
      <c r="G271" s="118">
        <v>1.05</v>
      </c>
      <c r="H271" s="118"/>
      <c r="I271" s="117">
        <v>11.5</v>
      </c>
      <c r="J271" s="117" t="s">
        <v>178</v>
      </c>
      <c r="K271" s="117" t="s">
        <v>400</v>
      </c>
    </row>
    <row r="272" spans="1:11">
      <c r="A272" s="212"/>
      <c r="B272" s="212"/>
      <c r="C272" s="117" t="s">
        <v>44</v>
      </c>
      <c r="D272" s="202">
        <v>11</v>
      </c>
      <c r="E272" s="202">
        <v>10.4</v>
      </c>
      <c r="F272" s="117" t="s">
        <v>10</v>
      </c>
      <c r="G272" s="118" t="s">
        <v>503</v>
      </c>
      <c r="H272" s="118"/>
      <c r="I272" s="117" t="s">
        <v>2535</v>
      </c>
      <c r="J272" s="117" t="s">
        <v>178</v>
      </c>
      <c r="K272" s="117"/>
    </row>
    <row r="273" spans="1:11">
      <c r="A273" s="213"/>
      <c r="B273" s="213"/>
      <c r="C273" s="117" t="s">
        <v>171</v>
      </c>
      <c r="D273" s="203"/>
      <c r="E273" s="203"/>
      <c r="F273" s="117" t="s">
        <v>32</v>
      </c>
      <c r="G273" s="117">
        <v>149</v>
      </c>
      <c r="H273" s="117"/>
      <c r="I273" s="117">
        <v>10</v>
      </c>
      <c r="J273" s="117" t="s">
        <v>172</v>
      </c>
      <c r="K273" s="117" t="s">
        <v>401</v>
      </c>
    </row>
    <row r="274" spans="1:11">
      <c r="A274" s="129" t="s">
        <v>504</v>
      </c>
      <c r="B274" s="137" t="s">
        <v>132</v>
      </c>
      <c r="C274" s="127"/>
      <c r="D274" s="127">
        <v>14</v>
      </c>
      <c r="E274" s="127">
        <v>10.4</v>
      </c>
      <c r="F274" s="127" t="s">
        <v>1139</v>
      </c>
      <c r="G274" s="128" t="s">
        <v>1928</v>
      </c>
      <c r="H274" s="128"/>
      <c r="I274" s="127" t="s">
        <v>2536</v>
      </c>
      <c r="J274" s="127" t="s">
        <v>392</v>
      </c>
      <c r="K274" s="127"/>
    </row>
    <row r="275" spans="1:11" ht="32.6">
      <c r="A275" s="119" t="s">
        <v>1920</v>
      </c>
      <c r="B275" s="126" t="s">
        <v>1433</v>
      </c>
      <c r="C275" s="117"/>
      <c r="D275" s="117">
        <v>30</v>
      </c>
      <c r="E275" s="117" t="s">
        <v>2114</v>
      </c>
      <c r="F275" s="117" t="s">
        <v>1208</v>
      </c>
      <c r="G275" s="118" t="s">
        <v>1435</v>
      </c>
      <c r="H275" s="118"/>
      <c r="I275" s="117" t="s">
        <v>56</v>
      </c>
      <c r="J275" s="117" t="s">
        <v>1261</v>
      </c>
      <c r="K275" s="117"/>
    </row>
    <row r="276" spans="1:11">
      <c r="A276" s="208" t="s">
        <v>2286</v>
      </c>
      <c r="B276" s="214" t="s">
        <v>1283</v>
      </c>
      <c r="C276" s="127" t="s">
        <v>42</v>
      </c>
      <c r="D276" s="200">
        <v>12</v>
      </c>
      <c r="E276" s="200">
        <v>10.4</v>
      </c>
      <c r="F276" s="127" t="s">
        <v>1139</v>
      </c>
      <c r="G276" s="127" t="s">
        <v>1285</v>
      </c>
      <c r="H276" s="128"/>
      <c r="I276" s="127" t="s">
        <v>2460</v>
      </c>
      <c r="J276" s="127" t="s">
        <v>1447</v>
      </c>
      <c r="K276" s="127"/>
    </row>
    <row r="277" spans="1:11">
      <c r="A277" s="210"/>
      <c r="B277" s="215"/>
      <c r="C277" s="127" t="s">
        <v>1286</v>
      </c>
      <c r="D277" s="201"/>
      <c r="E277" s="201"/>
      <c r="F277" s="127" t="s">
        <v>1221</v>
      </c>
      <c r="G277" s="127" t="s">
        <v>2070</v>
      </c>
      <c r="H277" s="128"/>
      <c r="I277" s="127" t="s">
        <v>1616</v>
      </c>
      <c r="J277" s="127" t="s">
        <v>1235</v>
      </c>
      <c r="K277" s="127"/>
    </row>
    <row r="278" spans="1:11">
      <c r="A278" s="210"/>
      <c r="B278" s="215"/>
      <c r="C278" s="127" t="s">
        <v>44</v>
      </c>
      <c r="D278" s="200">
        <v>12</v>
      </c>
      <c r="E278" s="200">
        <v>10.4</v>
      </c>
      <c r="F278" s="127" t="s">
        <v>1139</v>
      </c>
      <c r="G278" s="128">
        <v>1</v>
      </c>
      <c r="H278" s="128"/>
      <c r="I278" s="127">
        <v>8.5</v>
      </c>
      <c r="J278" s="127" t="s">
        <v>1447</v>
      </c>
      <c r="K278" s="127"/>
    </row>
    <row r="279" spans="1:11">
      <c r="A279" s="209"/>
      <c r="B279" s="216"/>
      <c r="C279" s="127" t="s">
        <v>1289</v>
      </c>
      <c r="D279" s="201"/>
      <c r="E279" s="201"/>
      <c r="F279" s="127" t="s">
        <v>1221</v>
      </c>
      <c r="G279" s="127" t="s">
        <v>2070</v>
      </c>
      <c r="H279" s="128"/>
      <c r="I279" s="127" t="s">
        <v>1616</v>
      </c>
      <c r="J279" s="127" t="s">
        <v>1235</v>
      </c>
      <c r="K279" s="127"/>
    </row>
    <row r="280" spans="1:11" ht="32.6">
      <c r="A280" s="119" t="s">
        <v>2287</v>
      </c>
      <c r="B280" s="126" t="s">
        <v>1436</v>
      </c>
      <c r="C280" s="117"/>
      <c r="D280" s="117">
        <v>24</v>
      </c>
      <c r="E280" s="117" t="s">
        <v>2186</v>
      </c>
      <c r="F280" s="117" t="s">
        <v>1139</v>
      </c>
      <c r="G280" s="118" t="s">
        <v>2086</v>
      </c>
      <c r="H280" s="118"/>
      <c r="I280" s="117" t="s">
        <v>2537</v>
      </c>
      <c r="J280" s="117" t="s">
        <v>2063</v>
      </c>
      <c r="K280" s="117"/>
    </row>
    <row r="281" spans="1:11" ht="32.6">
      <c r="A281" s="113" t="s">
        <v>505</v>
      </c>
      <c r="B281" s="113" t="s">
        <v>237</v>
      </c>
      <c r="C281" s="114" t="s">
        <v>1</v>
      </c>
      <c r="D281" s="114" t="s">
        <v>2</v>
      </c>
      <c r="E281" s="114" t="s">
        <v>2116</v>
      </c>
      <c r="F281" s="114" t="s">
        <v>3</v>
      </c>
      <c r="G281" s="114" t="s">
        <v>4</v>
      </c>
      <c r="H281" s="115" t="s">
        <v>1097</v>
      </c>
      <c r="I281" s="114" t="s">
        <v>2549</v>
      </c>
      <c r="J281" s="114" t="s">
        <v>238</v>
      </c>
      <c r="K281" s="114" t="s">
        <v>7</v>
      </c>
    </row>
    <row r="282" spans="1:11">
      <c r="A282" s="208" t="s">
        <v>506</v>
      </c>
      <c r="B282" s="208" t="s">
        <v>507</v>
      </c>
      <c r="C282" s="127" t="s">
        <v>247</v>
      </c>
      <c r="D282" s="200">
        <v>11</v>
      </c>
      <c r="E282" s="200" t="s">
        <v>2114</v>
      </c>
      <c r="F282" s="127" t="s">
        <v>10</v>
      </c>
      <c r="G282" s="128">
        <v>0.55000000000000004</v>
      </c>
      <c r="H282" s="128"/>
      <c r="I282" s="127">
        <v>2.75</v>
      </c>
      <c r="J282" s="127" t="s">
        <v>367</v>
      </c>
      <c r="K282" s="127"/>
    </row>
    <row r="283" spans="1:11">
      <c r="A283" s="209"/>
      <c r="B283" s="209"/>
      <c r="C283" s="127" t="s">
        <v>185</v>
      </c>
      <c r="D283" s="201"/>
      <c r="E283" s="201"/>
      <c r="F283" s="127" t="s">
        <v>32</v>
      </c>
      <c r="G283" s="127">
        <v>170</v>
      </c>
      <c r="H283" s="127"/>
      <c r="I283" s="127">
        <v>3</v>
      </c>
      <c r="J283" s="127" t="s">
        <v>180</v>
      </c>
      <c r="K283" s="127"/>
    </row>
    <row r="284" spans="1:11" ht="32.6">
      <c r="A284" s="119" t="s">
        <v>508</v>
      </c>
      <c r="B284" s="119" t="s">
        <v>509</v>
      </c>
      <c r="C284" s="117"/>
      <c r="D284" s="117">
        <v>17</v>
      </c>
      <c r="E284" s="117" t="s">
        <v>2391</v>
      </c>
      <c r="F284" s="117" t="s">
        <v>10</v>
      </c>
      <c r="G284" s="117" t="s">
        <v>510</v>
      </c>
      <c r="H284" s="117"/>
      <c r="I284" s="117" t="s">
        <v>2538</v>
      </c>
      <c r="J284" s="117" t="s">
        <v>367</v>
      </c>
      <c r="K284" s="117" t="s">
        <v>511</v>
      </c>
    </row>
    <row r="285" spans="1:11">
      <c r="A285" s="208" t="s">
        <v>2288</v>
      </c>
      <c r="B285" s="208" t="s">
        <v>1438</v>
      </c>
      <c r="C285" s="127" t="s">
        <v>2087</v>
      </c>
      <c r="D285" s="127" t="s">
        <v>1437</v>
      </c>
      <c r="E285" s="127" t="s">
        <v>2114</v>
      </c>
      <c r="F285" s="127" t="s">
        <v>1139</v>
      </c>
      <c r="G285" s="128">
        <v>1.8</v>
      </c>
      <c r="H285" s="127" t="s">
        <v>1210</v>
      </c>
      <c r="I285" s="127">
        <v>33</v>
      </c>
      <c r="J285" s="127" t="s">
        <v>1288</v>
      </c>
      <c r="K285" s="127"/>
    </row>
    <row r="286" spans="1:11">
      <c r="A286" s="209"/>
      <c r="B286" s="209"/>
      <c r="C286" s="127" t="s">
        <v>2088</v>
      </c>
      <c r="D286" s="127">
        <v>9</v>
      </c>
      <c r="E286" s="127" t="s">
        <v>2114</v>
      </c>
      <c r="F286" s="127" t="s">
        <v>1139</v>
      </c>
      <c r="G286" s="127" t="s">
        <v>1439</v>
      </c>
      <c r="H286" s="127" t="s">
        <v>1210</v>
      </c>
      <c r="I286" s="127" t="s">
        <v>2539</v>
      </c>
      <c r="J286" s="127" t="s">
        <v>1288</v>
      </c>
      <c r="K286" s="127"/>
    </row>
    <row r="287" spans="1:11" ht="32.6">
      <c r="A287" s="113" t="s">
        <v>512</v>
      </c>
      <c r="B287" s="113" t="s">
        <v>237</v>
      </c>
      <c r="C287" s="114" t="s">
        <v>1</v>
      </c>
      <c r="D287" s="114" t="s">
        <v>2</v>
      </c>
      <c r="E287" s="114" t="s">
        <v>2116</v>
      </c>
      <c r="F287" s="114" t="s">
        <v>3</v>
      </c>
      <c r="G287" s="114" t="s">
        <v>4</v>
      </c>
      <c r="H287" s="115" t="s">
        <v>1097</v>
      </c>
      <c r="I287" s="114" t="s">
        <v>2555</v>
      </c>
      <c r="J287" s="114" t="s">
        <v>238</v>
      </c>
      <c r="K287" s="114" t="s">
        <v>7</v>
      </c>
    </row>
    <row r="288" spans="1:11" ht="32.6">
      <c r="A288" s="119" t="s">
        <v>2289</v>
      </c>
      <c r="B288" s="119" t="s">
        <v>1441</v>
      </c>
      <c r="C288" s="117"/>
      <c r="D288" s="117">
        <v>16</v>
      </c>
      <c r="E288" s="117" t="s">
        <v>2114</v>
      </c>
      <c r="F288" s="117" t="s">
        <v>1139</v>
      </c>
      <c r="G288" s="117" t="s">
        <v>1442</v>
      </c>
      <c r="H288" s="117"/>
      <c r="I288" s="117" t="s">
        <v>2540</v>
      </c>
      <c r="J288" s="117" t="s">
        <v>1443</v>
      </c>
      <c r="K288" s="117" t="s">
        <v>2111</v>
      </c>
    </row>
    <row r="289" spans="1:11">
      <c r="A289" s="208" t="s">
        <v>514</v>
      </c>
      <c r="B289" s="208" t="s">
        <v>515</v>
      </c>
      <c r="C289" s="127" t="s">
        <v>516</v>
      </c>
      <c r="D289" s="200">
        <v>5</v>
      </c>
      <c r="E289" s="200" t="s">
        <v>2114</v>
      </c>
      <c r="F289" s="127" t="s">
        <v>10</v>
      </c>
      <c r="G289" s="127" t="s">
        <v>517</v>
      </c>
      <c r="H289" s="127" t="s">
        <v>1127</v>
      </c>
      <c r="I289" s="127" t="s">
        <v>2541</v>
      </c>
      <c r="J289" s="127" t="s">
        <v>518</v>
      </c>
      <c r="K289" s="127"/>
    </row>
    <row r="290" spans="1:11">
      <c r="A290" s="209"/>
      <c r="B290" s="209"/>
      <c r="C290" s="127" t="s">
        <v>519</v>
      </c>
      <c r="D290" s="201"/>
      <c r="E290" s="201"/>
      <c r="F290" s="127" t="s">
        <v>32</v>
      </c>
      <c r="G290" s="127" t="s">
        <v>520</v>
      </c>
      <c r="H290" s="127" t="s">
        <v>1127</v>
      </c>
      <c r="I290" s="127">
        <v>0</v>
      </c>
      <c r="J290" s="127" t="s">
        <v>148</v>
      </c>
      <c r="K290" s="127"/>
    </row>
    <row r="291" spans="1:11">
      <c r="A291" s="119" t="s">
        <v>521</v>
      </c>
      <c r="B291" s="119" t="s">
        <v>522</v>
      </c>
      <c r="C291" s="117"/>
      <c r="D291" s="117">
        <v>25</v>
      </c>
      <c r="E291" s="117" t="s">
        <v>2114</v>
      </c>
      <c r="F291" s="117" t="s">
        <v>10</v>
      </c>
      <c r="G291" s="118" t="s">
        <v>523</v>
      </c>
      <c r="H291" s="118" t="s">
        <v>1132</v>
      </c>
      <c r="I291" s="117" t="s">
        <v>856</v>
      </c>
      <c r="J291" s="117" t="s">
        <v>518</v>
      </c>
      <c r="K291" s="117" t="s">
        <v>1126</v>
      </c>
    </row>
    <row r="292" spans="1:11" ht="59.6" customHeight="1">
      <c r="A292" s="113" t="s">
        <v>524</v>
      </c>
      <c r="B292" s="113" t="s">
        <v>237</v>
      </c>
      <c r="C292" s="114" t="s">
        <v>1</v>
      </c>
      <c r="D292" s="114" t="s">
        <v>2</v>
      </c>
      <c r="E292" s="114" t="s">
        <v>2116</v>
      </c>
      <c r="F292" s="114" t="s">
        <v>3</v>
      </c>
      <c r="G292" s="114" t="s">
        <v>4</v>
      </c>
      <c r="H292" s="115" t="s">
        <v>1097</v>
      </c>
      <c r="I292" s="114" t="s">
        <v>2556</v>
      </c>
      <c r="J292" s="114" t="s">
        <v>238</v>
      </c>
      <c r="K292" s="114" t="s">
        <v>7</v>
      </c>
    </row>
    <row r="293" spans="1:11" ht="32.6">
      <c r="A293" s="208" t="s">
        <v>525</v>
      </c>
      <c r="B293" s="208" t="s">
        <v>526</v>
      </c>
      <c r="C293" s="127"/>
      <c r="D293" s="127">
        <v>10</v>
      </c>
      <c r="E293" s="127" t="s">
        <v>2114</v>
      </c>
      <c r="F293" s="127" t="s">
        <v>10</v>
      </c>
      <c r="G293" s="136" t="s">
        <v>2544</v>
      </c>
      <c r="H293" s="136" t="s">
        <v>1138</v>
      </c>
      <c r="I293" s="127" t="s">
        <v>2543</v>
      </c>
      <c r="J293" s="127" t="s">
        <v>527</v>
      </c>
      <c r="K293" s="127" t="s">
        <v>528</v>
      </c>
    </row>
    <row r="294" spans="1:11">
      <c r="A294" s="210"/>
      <c r="B294" s="210"/>
      <c r="C294" s="127" t="s">
        <v>9</v>
      </c>
      <c r="D294" s="200">
        <v>15</v>
      </c>
      <c r="E294" s="200" t="s">
        <v>2117</v>
      </c>
      <c r="F294" s="127" t="s">
        <v>2574</v>
      </c>
      <c r="G294" s="136" t="s">
        <v>529</v>
      </c>
      <c r="H294" s="136"/>
      <c r="I294" s="127">
        <v>25</v>
      </c>
      <c r="J294" s="127" t="s">
        <v>351</v>
      </c>
      <c r="K294" s="127" t="s">
        <v>2213</v>
      </c>
    </row>
    <row r="295" spans="1:11">
      <c r="A295" s="209"/>
      <c r="B295" s="209"/>
      <c r="C295" s="127" t="s">
        <v>530</v>
      </c>
      <c r="D295" s="201"/>
      <c r="E295" s="201"/>
      <c r="F295" s="127" t="s">
        <v>32</v>
      </c>
      <c r="G295" s="135">
        <v>109</v>
      </c>
      <c r="H295" s="136"/>
      <c r="I295" s="127">
        <v>10</v>
      </c>
      <c r="J295" s="127" t="s">
        <v>172</v>
      </c>
      <c r="K295" s="127" t="s">
        <v>531</v>
      </c>
    </row>
    <row r="296" spans="1:11">
      <c r="A296" s="119" t="s">
        <v>532</v>
      </c>
      <c r="B296" s="119" t="s">
        <v>262</v>
      </c>
      <c r="C296" s="117"/>
      <c r="D296" s="117">
        <v>17</v>
      </c>
      <c r="E296" s="117" t="s">
        <v>2114</v>
      </c>
      <c r="F296" s="117" t="s">
        <v>10</v>
      </c>
      <c r="G296" s="125">
        <v>2.97</v>
      </c>
      <c r="H296" s="125"/>
      <c r="I296" s="117">
        <v>30</v>
      </c>
      <c r="J296" s="117" t="s">
        <v>180</v>
      </c>
      <c r="K296" s="117" t="s">
        <v>67</v>
      </c>
    </row>
    <row r="297" spans="1:11" ht="32.6">
      <c r="A297" s="129" t="s">
        <v>2290</v>
      </c>
      <c r="B297" s="129" t="s">
        <v>1444</v>
      </c>
      <c r="C297" s="127"/>
      <c r="D297" s="127">
        <v>13</v>
      </c>
      <c r="E297" s="127" t="s">
        <v>2114</v>
      </c>
      <c r="F297" s="127" t="s">
        <v>1139</v>
      </c>
      <c r="G297" s="136" t="s">
        <v>2564</v>
      </c>
      <c r="H297" s="136"/>
      <c r="I297" s="127">
        <v>15</v>
      </c>
      <c r="J297" s="127" t="s">
        <v>1443</v>
      </c>
      <c r="K297" s="127" t="s">
        <v>2091</v>
      </c>
    </row>
    <row r="298" spans="1:11">
      <c r="A298" s="119" t="s">
        <v>2291</v>
      </c>
      <c r="B298" s="119" t="s">
        <v>1445</v>
      </c>
      <c r="C298" s="117"/>
      <c r="D298" s="117">
        <v>13</v>
      </c>
      <c r="E298" s="117" t="s">
        <v>2114</v>
      </c>
      <c r="F298" s="117" t="s">
        <v>1139</v>
      </c>
      <c r="G298" s="125" t="s">
        <v>2545</v>
      </c>
      <c r="H298" s="125"/>
      <c r="I298" s="117">
        <v>15</v>
      </c>
      <c r="J298" s="117" t="s">
        <v>1446</v>
      </c>
      <c r="K298" s="117"/>
    </row>
    <row r="299" spans="1:11" ht="32.6">
      <c r="A299" s="129" t="s">
        <v>2292</v>
      </c>
      <c r="B299" s="129" t="s">
        <v>1464</v>
      </c>
      <c r="C299" s="127"/>
      <c r="D299" s="127">
        <v>16</v>
      </c>
      <c r="E299" s="127" t="s">
        <v>2114</v>
      </c>
      <c r="F299" s="127" t="s">
        <v>1139</v>
      </c>
      <c r="G299" s="136" t="s">
        <v>2089</v>
      </c>
      <c r="H299" s="136"/>
      <c r="I299" s="127">
        <v>15</v>
      </c>
      <c r="J299" s="127" t="s">
        <v>1465</v>
      </c>
      <c r="K299" s="127"/>
    </row>
    <row r="300" spans="1:11" ht="32.6">
      <c r="A300" s="119" t="s">
        <v>533</v>
      </c>
      <c r="B300" s="119" t="s">
        <v>534</v>
      </c>
      <c r="C300" s="117"/>
      <c r="D300" s="117">
        <v>20</v>
      </c>
      <c r="E300" s="117" t="s">
        <v>2119</v>
      </c>
      <c r="F300" s="117" t="s">
        <v>10</v>
      </c>
      <c r="G300" s="117" t="s">
        <v>1143</v>
      </c>
      <c r="H300" s="117"/>
      <c r="I300" s="117" t="s">
        <v>2542</v>
      </c>
      <c r="J300" s="117" t="s">
        <v>148</v>
      </c>
      <c r="K300" s="117" t="s">
        <v>1144</v>
      </c>
    </row>
    <row r="301" spans="1:11">
      <c r="A301" s="129" t="s">
        <v>2293</v>
      </c>
      <c r="B301" s="129" t="s">
        <v>1871</v>
      </c>
      <c r="C301" s="127"/>
      <c r="D301" s="127">
        <v>11</v>
      </c>
      <c r="E301" s="127" t="s">
        <v>2114</v>
      </c>
      <c r="F301" s="127" t="s">
        <v>1872</v>
      </c>
      <c r="G301" s="127" t="s">
        <v>1873</v>
      </c>
      <c r="H301" s="127"/>
      <c r="I301" s="127" t="s">
        <v>2532</v>
      </c>
      <c r="J301" s="127"/>
      <c r="K301" s="127" t="s">
        <v>2090</v>
      </c>
    </row>
    <row r="302" spans="1:11">
      <c r="A302" s="211" t="s">
        <v>2294</v>
      </c>
      <c r="B302" s="211" t="s">
        <v>1449</v>
      </c>
      <c r="C302" s="117" t="s">
        <v>1424</v>
      </c>
      <c r="D302" s="117">
        <v>8</v>
      </c>
      <c r="E302" s="117" t="s">
        <v>2132</v>
      </c>
      <c r="F302" s="117" t="s">
        <v>1139</v>
      </c>
      <c r="G302" s="117" t="s">
        <v>2171</v>
      </c>
      <c r="H302" s="117"/>
      <c r="I302" s="117" t="s">
        <v>2533</v>
      </c>
      <c r="J302" s="117" t="s">
        <v>1288</v>
      </c>
      <c r="K302" s="117"/>
    </row>
    <row r="303" spans="1:11">
      <c r="A303" s="212"/>
      <c r="B303" s="212"/>
      <c r="C303" s="117" t="s">
        <v>1256</v>
      </c>
      <c r="D303" s="117">
        <v>8</v>
      </c>
      <c r="E303" s="117" t="s">
        <v>2132</v>
      </c>
      <c r="F303" s="117" t="s">
        <v>1139</v>
      </c>
      <c r="G303" s="117" t="s">
        <v>2172</v>
      </c>
      <c r="H303" s="117"/>
      <c r="I303" s="117" t="s">
        <v>2533</v>
      </c>
      <c r="J303" s="117" t="s">
        <v>1288</v>
      </c>
      <c r="K303" s="117"/>
    </row>
    <row r="304" spans="1:11">
      <c r="A304" s="213"/>
      <c r="B304" s="213"/>
      <c r="C304" s="117" t="s">
        <v>1428</v>
      </c>
      <c r="D304" s="117">
        <v>8</v>
      </c>
      <c r="E304" s="117" t="s">
        <v>2132</v>
      </c>
      <c r="F304" s="117" t="s">
        <v>1139</v>
      </c>
      <c r="G304" s="117" t="s">
        <v>2173</v>
      </c>
      <c r="H304" s="117"/>
      <c r="I304" s="117" t="s">
        <v>2534</v>
      </c>
      <c r="J304" s="117" t="s">
        <v>1288</v>
      </c>
      <c r="K304" s="117"/>
    </row>
    <row r="305" spans="1:11" ht="32.6">
      <c r="A305" s="113" t="s">
        <v>1450</v>
      </c>
      <c r="B305" s="113" t="s">
        <v>237</v>
      </c>
      <c r="C305" s="114" t="s">
        <v>1</v>
      </c>
      <c r="D305" s="114" t="s">
        <v>2</v>
      </c>
      <c r="E305" s="114" t="s">
        <v>2116</v>
      </c>
      <c r="F305" s="114" t="s">
        <v>3</v>
      </c>
      <c r="G305" s="114" t="s">
        <v>4</v>
      </c>
      <c r="H305" s="115" t="s">
        <v>1097</v>
      </c>
      <c r="I305" s="114" t="s">
        <v>2555</v>
      </c>
      <c r="J305" s="114" t="s">
        <v>238</v>
      </c>
      <c r="K305" s="114" t="s">
        <v>7</v>
      </c>
    </row>
    <row r="306" spans="1:11" ht="32.6">
      <c r="A306" s="129" t="s">
        <v>2295</v>
      </c>
      <c r="B306" s="129" t="s">
        <v>1451</v>
      </c>
      <c r="C306" s="127"/>
      <c r="D306" s="127">
        <v>21</v>
      </c>
      <c r="E306" s="127" t="s">
        <v>2114</v>
      </c>
      <c r="F306" s="127" t="s">
        <v>1208</v>
      </c>
      <c r="G306" s="127" t="s">
        <v>2236</v>
      </c>
      <c r="H306" s="127"/>
      <c r="I306" s="127" t="s">
        <v>1261</v>
      </c>
      <c r="J306" s="127" t="s">
        <v>1261</v>
      </c>
      <c r="K306" s="127" t="s">
        <v>1448</v>
      </c>
    </row>
    <row r="307" spans="1:11" ht="48.9">
      <c r="A307" s="113" t="s">
        <v>1452</v>
      </c>
      <c r="B307" s="113" t="s">
        <v>237</v>
      </c>
      <c r="C307" s="114" t="s">
        <v>1</v>
      </c>
      <c r="D307" s="114" t="s">
        <v>2</v>
      </c>
      <c r="E307" s="114" t="s">
        <v>2116</v>
      </c>
      <c r="F307" s="114" t="s">
        <v>3</v>
      </c>
      <c r="G307" s="114" t="s">
        <v>4</v>
      </c>
      <c r="H307" s="115" t="s">
        <v>1097</v>
      </c>
      <c r="I307" s="114" t="s">
        <v>2569</v>
      </c>
      <c r="J307" s="114" t="s">
        <v>238</v>
      </c>
      <c r="K307" s="114" t="s">
        <v>7</v>
      </c>
    </row>
    <row r="308" spans="1:11">
      <c r="A308" s="119" t="s">
        <v>2296</v>
      </c>
      <c r="B308" s="119" t="s">
        <v>1453</v>
      </c>
      <c r="C308" s="117"/>
      <c r="D308" s="117">
        <v>3</v>
      </c>
      <c r="E308" s="117" t="s">
        <v>2114</v>
      </c>
      <c r="F308" s="117" t="s">
        <v>1139</v>
      </c>
      <c r="G308" s="118">
        <v>0.9</v>
      </c>
      <c r="H308" s="121"/>
      <c r="I308" s="117">
        <v>1.6</v>
      </c>
      <c r="J308" s="117" t="s">
        <v>66</v>
      </c>
      <c r="K308" s="117" t="s">
        <v>1454</v>
      </c>
    </row>
    <row r="309" spans="1:11" ht="32.6">
      <c r="A309" s="129" t="s">
        <v>2297</v>
      </c>
      <c r="B309" s="129" t="s">
        <v>1455</v>
      </c>
      <c r="C309" s="127"/>
      <c r="D309" s="127">
        <v>12</v>
      </c>
      <c r="E309" s="127" t="s">
        <v>2114</v>
      </c>
      <c r="F309" s="127" t="s">
        <v>1139</v>
      </c>
      <c r="G309" s="128" t="s">
        <v>2565</v>
      </c>
      <c r="H309" s="131"/>
      <c r="I309" s="127" t="s">
        <v>2566</v>
      </c>
      <c r="J309" s="127" t="s">
        <v>66</v>
      </c>
      <c r="K309" s="127" t="s">
        <v>1869</v>
      </c>
    </row>
    <row r="310" spans="1:11">
      <c r="A310" s="119" t="s">
        <v>562</v>
      </c>
      <c r="B310" s="119" t="s">
        <v>563</v>
      </c>
      <c r="C310" s="117"/>
      <c r="D310" s="117">
        <v>32</v>
      </c>
      <c r="E310" s="117" t="s">
        <v>2114</v>
      </c>
      <c r="F310" s="117" t="s">
        <v>10</v>
      </c>
      <c r="G310" s="117" t="s">
        <v>2567</v>
      </c>
      <c r="H310" s="117"/>
      <c r="I310" s="117" t="s">
        <v>2568</v>
      </c>
      <c r="J310" s="117" t="s">
        <v>66</v>
      </c>
      <c r="K310" s="117"/>
    </row>
    <row r="311" spans="1:11">
      <c r="A311" s="129" t="s">
        <v>2298</v>
      </c>
      <c r="B311" s="129" t="s">
        <v>1456</v>
      </c>
      <c r="C311" s="127"/>
      <c r="D311" s="127">
        <v>26</v>
      </c>
      <c r="E311" s="127" t="s">
        <v>2114</v>
      </c>
      <c r="F311" s="127" t="s">
        <v>1139</v>
      </c>
      <c r="G311" s="127" t="s">
        <v>2237</v>
      </c>
      <c r="H311" s="127"/>
      <c r="I311" s="127" t="s">
        <v>1462</v>
      </c>
      <c r="J311" s="127" t="s">
        <v>66</v>
      </c>
      <c r="K311" s="127" t="s">
        <v>1457</v>
      </c>
    </row>
    <row r="312" spans="1:11" ht="32.6">
      <c r="A312" s="113" t="s">
        <v>1459</v>
      </c>
      <c r="B312" s="113" t="s">
        <v>237</v>
      </c>
      <c r="C312" s="114" t="s">
        <v>1</v>
      </c>
      <c r="D312" s="114" t="s">
        <v>2</v>
      </c>
      <c r="E312" s="114" t="s">
        <v>2116</v>
      </c>
      <c r="F312" s="114" t="s">
        <v>3</v>
      </c>
      <c r="G312" s="114" t="s">
        <v>4</v>
      </c>
      <c r="H312" s="115" t="s">
        <v>1097</v>
      </c>
      <c r="I312" s="114" t="s">
        <v>2548</v>
      </c>
      <c r="J312" s="114" t="s">
        <v>238</v>
      </c>
      <c r="K312" s="114" t="s">
        <v>7</v>
      </c>
    </row>
    <row r="313" spans="1:11">
      <c r="A313" s="119" t="s">
        <v>559</v>
      </c>
      <c r="B313" s="119" t="s">
        <v>128</v>
      </c>
      <c r="C313" s="117"/>
      <c r="D313" s="117">
        <v>20</v>
      </c>
      <c r="E313" s="117" t="s">
        <v>2114</v>
      </c>
      <c r="F313" s="117" t="s">
        <v>2574</v>
      </c>
      <c r="G313" s="125" t="s">
        <v>560</v>
      </c>
      <c r="H313" s="125"/>
      <c r="I313" s="117" t="s">
        <v>561</v>
      </c>
      <c r="J313" s="117" t="s">
        <v>454</v>
      </c>
      <c r="K313" s="117"/>
    </row>
    <row r="314" spans="1:11" ht="32.6">
      <c r="A314" s="113" t="s">
        <v>1460</v>
      </c>
      <c r="B314" s="113" t="s">
        <v>237</v>
      </c>
      <c r="C314" s="114" t="s">
        <v>1</v>
      </c>
      <c r="D314" s="114" t="s">
        <v>2</v>
      </c>
      <c r="E314" s="114" t="s">
        <v>2116</v>
      </c>
      <c r="F314" s="114" t="s">
        <v>3</v>
      </c>
      <c r="G314" s="114" t="s">
        <v>4</v>
      </c>
      <c r="H314" s="115" t="s">
        <v>1097</v>
      </c>
      <c r="I314" s="114" t="s">
        <v>2384</v>
      </c>
      <c r="J314" s="114" t="s">
        <v>238</v>
      </c>
      <c r="K314" s="114" t="s">
        <v>7</v>
      </c>
    </row>
    <row r="315" spans="1:11">
      <c r="A315" s="129" t="s">
        <v>564</v>
      </c>
      <c r="B315" s="129" t="s">
        <v>147</v>
      </c>
      <c r="C315" s="127"/>
      <c r="D315" s="127">
        <v>8</v>
      </c>
      <c r="E315" s="127" t="s">
        <v>2114</v>
      </c>
      <c r="F315" s="127" t="s">
        <v>10</v>
      </c>
      <c r="G315" s="127" t="s">
        <v>565</v>
      </c>
      <c r="H315" s="127"/>
      <c r="I315" s="127">
        <v>0</v>
      </c>
      <c r="J315" s="127" t="s">
        <v>332</v>
      </c>
      <c r="K315" s="127" t="s">
        <v>566</v>
      </c>
    </row>
    <row r="316" spans="1:11">
      <c r="A316" s="119" t="s">
        <v>567</v>
      </c>
      <c r="B316" s="119" t="s">
        <v>568</v>
      </c>
      <c r="C316" s="117"/>
      <c r="D316" s="117">
        <v>15</v>
      </c>
      <c r="E316" s="117" t="s">
        <v>2114</v>
      </c>
      <c r="F316" s="117" t="s">
        <v>52</v>
      </c>
      <c r="G316" s="117" t="s">
        <v>1202</v>
      </c>
      <c r="H316" s="117"/>
      <c r="I316" s="117">
        <v>0</v>
      </c>
      <c r="J316" s="117" t="s">
        <v>56</v>
      </c>
      <c r="K316" s="117" t="s">
        <v>2561</v>
      </c>
    </row>
    <row r="317" spans="1:11">
      <c r="A317" s="129" t="s">
        <v>2299</v>
      </c>
      <c r="B317" s="129" t="s">
        <v>1458</v>
      </c>
      <c r="C317" s="127"/>
      <c r="D317" s="127">
        <v>3</v>
      </c>
      <c r="E317" s="127" t="s">
        <v>2114</v>
      </c>
      <c r="F317" s="127" t="s">
        <v>1221</v>
      </c>
      <c r="G317" s="127" t="s">
        <v>2206</v>
      </c>
      <c r="H317" s="127"/>
      <c r="I317" s="127" t="s">
        <v>1462</v>
      </c>
      <c r="J317" s="127" t="s">
        <v>56</v>
      </c>
      <c r="K317" s="127" t="s">
        <v>1868</v>
      </c>
    </row>
    <row r="318" spans="1:11">
      <c r="A318" s="119" t="s">
        <v>2300</v>
      </c>
      <c r="B318" s="119" t="s">
        <v>1461</v>
      </c>
      <c r="C318" s="117"/>
      <c r="D318" s="117">
        <v>10</v>
      </c>
      <c r="E318" s="117" t="s">
        <v>2114</v>
      </c>
      <c r="F318" s="117" t="s">
        <v>52</v>
      </c>
      <c r="G318" s="117" t="s">
        <v>2562</v>
      </c>
      <c r="H318" s="117"/>
      <c r="I318" s="117" t="s">
        <v>56</v>
      </c>
      <c r="J318" s="117" t="s">
        <v>56</v>
      </c>
      <c r="K318" s="117"/>
    </row>
    <row r="319" spans="1:11" ht="48.9">
      <c r="A319" s="113" t="s">
        <v>550</v>
      </c>
      <c r="B319" s="113" t="s">
        <v>237</v>
      </c>
      <c r="C319" s="114" t="s">
        <v>1</v>
      </c>
      <c r="D319" s="114" t="s">
        <v>2</v>
      </c>
      <c r="E319" s="114" t="s">
        <v>2116</v>
      </c>
      <c r="F319" s="114" t="s">
        <v>3</v>
      </c>
      <c r="G319" s="114" t="s">
        <v>4</v>
      </c>
      <c r="H319" s="115" t="s">
        <v>1097</v>
      </c>
      <c r="I319" s="114" t="s">
        <v>2559</v>
      </c>
      <c r="J319" s="114" t="s">
        <v>238</v>
      </c>
      <c r="K319" s="114" t="s">
        <v>7</v>
      </c>
    </row>
    <row r="320" spans="1:11" ht="32.6">
      <c r="A320" s="129" t="s">
        <v>551</v>
      </c>
      <c r="B320" s="129" t="s">
        <v>552</v>
      </c>
      <c r="C320" s="127"/>
      <c r="D320" s="127">
        <v>8</v>
      </c>
      <c r="E320" s="127" t="s">
        <v>2114</v>
      </c>
      <c r="F320" s="127" t="s">
        <v>10</v>
      </c>
      <c r="G320" s="128" t="s">
        <v>2563</v>
      </c>
      <c r="H320" s="128"/>
      <c r="I320" s="127">
        <v>11</v>
      </c>
      <c r="J320" s="127" t="s">
        <v>30</v>
      </c>
      <c r="K320" s="127" t="s">
        <v>1448</v>
      </c>
    </row>
    <row r="321" spans="1:11">
      <c r="A321" s="119" t="s">
        <v>2301</v>
      </c>
      <c r="B321" s="119" t="s">
        <v>1466</v>
      </c>
      <c r="C321" s="117"/>
      <c r="D321" s="117">
        <v>3</v>
      </c>
      <c r="E321" s="117" t="s">
        <v>2114</v>
      </c>
      <c r="F321" s="117" t="s">
        <v>1139</v>
      </c>
      <c r="G321" s="118" t="s">
        <v>1922</v>
      </c>
      <c r="H321" s="118" t="s">
        <v>1469</v>
      </c>
      <c r="I321" s="117" t="s">
        <v>2467</v>
      </c>
      <c r="J321" s="117" t="s">
        <v>1443</v>
      </c>
      <c r="K321" s="117"/>
    </row>
    <row r="322" spans="1:11">
      <c r="A322" s="129" t="s">
        <v>2302</v>
      </c>
      <c r="B322" s="129" t="s">
        <v>1467</v>
      </c>
      <c r="C322" s="127"/>
      <c r="D322" s="127">
        <v>5</v>
      </c>
      <c r="E322" s="127" t="s">
        <v>2114</v>
      </c>
      <c r="F322" s="127" t="s">
        <v>1221</v>
      </c>
      <c r="G322" s="127" t="s">
        <v>2166</v>
      </c>
      <c r="H322" s="128"/>
      <c r="I322" s="127" t="s">
        <v>2167</v>
      </c>
      <c r="J322" s="127" t="s">
        <v>1235</v>
      </c>
      <c r="K322" s="127" t="s">
        <v>2196</v>
      </c>
    </row>
    <row r="323" spans="1:11">
      <c r="A323" s="119" t="s">
        <v>2303</v>
      </c>
      <c r="B323" s="119" t="s">
        <v>1470</v>
      </c>
      <c r="C323" s="117"/>
      <c r="D323" s="117">
        <v>12</v>
      </c>
      <c r="E323" s="117" t="s">
        <v>2114</v>
      </c>
      <c r="F323" s="117" t="s">
        <v>1139</v>
      </c>
      <c r="G323" s="117" t="s">
        <v>1471</v>
      </c>
      <c r="H323" s="118" t="s">
        <v>1474</v>
      </c>
      <c r="I323" s="117">
        <v>6.875</v>
      </c>
      <c r="J323" s="117" t="s">
        <v>1443</v>
      </c>
      <c r="K323" s="117"/>
    </row>
    <row r="324" spans="1:11">
      <c r="A324" s="129" t="s">
        <v>557</v>
      </c>
      <c r="B324" s="129" t="s">
        <v>558</v>
      </c>
      <c r="C324" s="127"/>
      <c r="D324" s="127">
        <v>3</v>
      </c>
      <c r="E324" s="127" t="s">
        <v>2114</v>
      </c>
      <c r="F324" s="127" t="s">
        <v>32</v>
      </c>
      <c r="G324" s="127" t="s">
        <v>2433</v>
      </c>
      <c r="H324" s="127"/>
      <c r="I324" s="127">
        <v>10</v>
      </c>
      <c r="J324" s="127" t="s">
        <v>180</v>
      </c>
      <c r="K324" s="135" t="s">
        <v>2233</v>
      </c>
    </row>
    <row r="325" spans="1:11" ht="32.6">
      <c r="A325" s="119" t="s">
        <v>1207</v>
      </c>
      <c r="B325" s="119" t="s">
        <v>1206</v>
      </c>
      <c r="C325" s="117"/>
      <c r="D325" s="117">
        <v>9</v>
      </c>
      <c r="E325" s="117" t="s">
        <v>2114</v>
      </c>
      <c r="F325" s="117" t="s">
        <v>1208</v>
      </c>
      <c r="G325" s="117" t="s">
        <v>1209</v>
      </c>
      <c r="H325" s="117"/>
      <c r="I325" s="117" t="s">
        <v>1261</v>
      </c>
      <c r="J325" s="117" t="s">
        <v>1261</v>
      </c>
      <c r="K325" s="122"/>
    </row>
    <row r="326" spans="1:11">
      <c r="A326" s="129" t="s">
        <v>553</v>
      </c>
      <c r="B326" s="129" t="s">
        <v>554</v>
      </c>
      <c r="C326" s="127"/>
      <c r="D326" s="127">
        <v>5</v>
      </c>
      <c r="E326" s="127" t="s">
        <v>2114</v>
      </c>
      <c r="F326" s="127" t="s">
        <v>32</v>
      </c>
      <c r="G326" s="127">
        <v>150</v>
      </c>
      <c r="H326" s="127"/>
      <c r="I326" s="127">
        <v>13</v>
      </c>
      <c r="J326" s="127" t="s">
        <v>148</v>
      </c>
      <c r="K326" s="127" t="s">
        <v>2234</v>
      </c>
    </row>
    <row r="327" spans="1:11">
      <c r="A327" s="119" t="s">
        <v>555</v>
      </c>
      <c r="B327" s="119" t="s">
        <v>556</v>
      </c>
      <c r="C327" s="117"/>
      <c r="D327" s="117">
        <v>28</v>
      </c>
      <c r="E327" s="117" t="s">
        <v>2114</v>
      </c>
      <c r="F327" s="117" t="s">
        <v>32</v>
      </c>
      <c r="G327" s="117">
        <v>385</v>
      </c>
      <c r="H327" s="117"/>
      <c r="I327" s="117">
        <v>22.8</v>
      </c>
      <c r="J327" s="117" t="s">
        <v>148</v>
      </c>
      <c r="K327" s="117" t="s">
        <v>2235</v>
      </c>
    </row>
    <row r="328" spans="1:11">
      <c r="A328" s="129" t="s">
        <v>2304</v>
      </c>
      <c r="B328" s="129" t="s">
        <v>1472</v>
      </c>
      <c r="C328" s="127"/>
      <c r="D328" s="127">
        <v>16</v>
      </c>
      <c r="E328" s="127" t="s">
        <v>2114</v>
      </c>
      <c r="F328" s="127" t="s">
        <v>1208</v>
      </c>
      <c r="G328" s="127" t="s">
        <v>1475</v>
      </c>
      <c r="H328" s="127"/>
      <c r="I328" s="127" t="s">
        <v>2560</v>
      </c>
      <c r="J328" s="127" t="s">
        <v>1261</v>
      </c>
      <c r="K328" s="127" t="s">
        <v>2247</v>
      </c>
    </row>
  </sheetData>
  <mergeCells count="289">
    <mergeCell ref="A1:K1"/>
    <mergeCell ref="A2:K2"/>
    <mergeCell ref="A43:A44"/>
    <mergeCell ref="A45:A46"/>
    <mergeCell ref="A47:A48"/>
    <mergeCell ref="A49:A50"/>
    <mergeCell ref="A51:A55"/>
    <mergeCell ref="A23:A25"/>
    <mergeCell ref="B23:B25"/>
    <mergeCell ref="A4:A6"/>
    <mergeCell ref="A31:A38"/>
    <mergeCell ref="A40:A41"/>
    <mergeCell ref="A15:A16"/>
    <mergeCell ref="B15:B16"/>
    <mergeCell ref="A17:A18"/>
    <mergeCell ref="B17:B18"/>
    <mergeCell ref="A19:A22"/>
    <mergeCell ref="B19:B22"/>
    <mergeCell ref="A7:A8"/>
    <mergeCell ref="B7:B8"/>
    <mergeCell ref="A12:A13"/>
    <mergeCell ref="B12:B13"/>
    <mergeCell ref="A75:A76"/>
    <mergeCell ref="A77:A78"/>
    <mergeCell ref="A81:A82"/>
    <mergeCell ref="A83:A84"/>
    <mergeCell ref="A85:A88"/>
    <mergeCell ref="A57:A58"/>
    <mergeCell ref="A59:A61"/>
    <mergeCell ref="A62:A68"/>
    <mergeCell ref="A69:A71"/>
    <mergeCell ref="A72:A73"/>
    <mergeCell ref="A107:A110"/>
    <mergeCell ref="A113:A114"/>
    <mergeCell ref="A115:A121"/>
    <mergeCell ref="A122:A123"/>
    <mergeCell ref="A124:A125"/>
    <mergeCell ref="A89:A92"/>
    <mergeCell ref="A93:A95"/>
    <mergeCell ref="A98:A99"/>
    <mergeCell ref="A100:A102"/>
    <mergeCell ref="A104:A106"/>
    <mergeCell ref="A142:A143"/>
    <mergeCell ref="A145:A146"/>
    <mergeCell ref="A148:A151"/>
    <mergeCell ref="A152:A153"/>
    <mergeCell ref="A154:A156"/>
    <mergeCell ref="A127:A128"/>
    <mergeCell ref="A129:A130"/>
    <mergeCell ref="A131:A132"/>
    <mergeCell ref="A133:A135"/>
    <mergeCell ref="A136:A141"/>
    <mergeCell ref="A174:A178"/>
    <mergeCell ref="A181:A183"/>
    <mergeCell ref="A185:A186"/>
    <mergeCell ref="A189:A191"/>
    <mergeCell ref="A193:A194"/>
    <mergeCell ref="A157:A159"/>
    <mergeCell ref="A160:A162"/>
    <mergeCell ref="A163:A165"/>
    <mergeCell ref="A167:A169"/>
    <mergeCell ref="A172:A173"/>
    <mergeCell ref="A218:A219"/>
    <mergeCell ref="A220:A221"/>
    <mergeCell ref="A230:A231"/>
    <mergeCell ref="A232:A238"/>
    <mergeCell ref="A239:A241"/>
    <mergeCell ref="A195:A197"/>
    <mergeCell ref="A203:A204"/>
    <mergeCell ref="A207:A209"/>
    <mergeCell ref="A211:A213"/>
    <mergeCell ref="A214:A215"/>
    <mergeCell ref="A289:A290"/>
    <mergeCell ref="A293:A295"/>
    <mergeCell ref="A258:A260"/>
    <mergeCell ref="A262:A263"/>
    <mergeCell ref="A264:A265"/>
    <mergeCell ref="A266:A269"/>
    <mergeCell ref="A271:A273"/>
    <mergeCell ref="A242:A246"/>
    <mergeCell ref="A248:A249"/>
    <mergeCell ref="A251:A252"/>
    <mergeCell ref="A254:A255"/>
    <mergeCell ref="A256:A257"/>
    <mergeCell ref="B81:B82"/>
    <mergeCell ref="B83:B84"/>
    <mergeCell ref="B85:B88"/>
    <mergeCell ref="B89:B92"/>
    <mergeCell ref="B93:B95"/>
    <mergeCell ref="A302:A304"/>
    <mergeCell ref="B4:B6"/>
    <mergeCell ref="B31:B38"/>
    <mergeCell ref="B40:B41"/>
    <mergeCell ref="B43:B44"/>
    <mergeCell ref="B45:B46"/>
    <mergeCell ref="B47:B48"/>
    <mergeCell ref="B49:B50"/>
    <mergeCell ref="B51:B55"/>
    <mergeCell ref="B57:B58"/>
    <mergeCell ref="B59:B61"/>
    <mergeCell ref="B62:B68"/>
    <mergeCell ref="B69:B71"/>
    <mergeCell ref="B72:B73"/>
    <mergeCell ref="B75:B76"/>
    <mergeCell ref="B77:B78"/>
    <mergeCell ref="A276:A279"/>
    <mergeCell ref="A282:A283"/>
    <mergeCell ref="A285:A286"/>
    <mergeCell ref="B115:B121"/>
    <mergeCell ref="B122:B123"/>
    <mergeCell ref="B124:B125"/>
    <mergeCell ref="B127:B128"/>
    <mergeCell ref="B129:B130"/>
    <mergeCell ref="B98:B99"/>
    <mergeCell ref="B100:B102"/>
    <mergeCell ref="B104:B106"/>
    <mergeCell ref="B107:B110"/>
    <mergeCell ref="B113:B114"/>
    <mergeCell ref="B148:B151"/>
    <mergeCell ref="B152:B153"/>
    <mergeCell ref="B154:B156"/>
    <mergeCell ref="B157:B159"/>
    <mergeCell ref="B160:B162"/>
    <mergeCell ref="B131:B132"/>
    <mergeCell ref="B133:B135"/>
    <mergeCell ref="B136:B141"/>
    <mergeCell ref="B142:B143"/>
    <mergeCell ref="B145:B146"/>
    <mergeCell ref="B185:B186"/>
    <mergeCell ref="B189:B191"/>
    <mergeCell ref="B193:B194"/>
    <mergeCell ref="B195:B197"/>
    <mergeCell ref="B203:B204"/>
    <mergeCell ref="B163:B165"/>
    <mergeCell ref="B167:B169"/>
    <mergeCell ref="B172:B173"/>
    <mergeCell ref="B174:B178"/>
    <mergeCell ref="B181:B183"/>
    <mergeCell ref="B258:B260"/>
    <mergeCell ref="B262:B263"/>
    <mergeCell ref="B230:B231"/>
    <mergeCell ref="B232:B238"/>
    <mergeCell ref="B239:B241"/>
    <mergeCell ref="B242:B246"/>
    <mergeCell ref="B248:B249"/>
    <mergeCell ref="B207:B209"/>
    <mergeCell ref="B211:B213"/>
    <mergeCell ref="B214:B215"/>
    <mergeCell ref="B218:B219"/>
    <mergeCell ref="B220:B221"/>
    <mergeCell ref="B285:B286"/>
    <mergeCell ref="B289:B290"/>
    <mergeCell ref="B293:B295"/>
    <mergeCell ref="B302:B304"/>
    <mergeCell ref="D4:D5"/>
    <mergeCell ref="D7:D8"/>
    <mergeCell ref="D12:D13"/>
    <mergeCell ref="D15:D16"/>
    <mergeCell ref="D17:D18"/>
    <mergeCell ref="D19:D20"/>
    <mergeCell ref="D21:D22"/>
    <mergeCell ref="D31:D32"/>
    <mergeCell ref="D33:D34"/>
    <mergeCell ref="D35:D36"/>
    <mergeCell ref="D37:D38"/>
    <mergeCell ref="D40:D41"/>
    <mergeCell ref="B264:B265"/>
    <mergeCell ref="B266:B269"/>
    <mergeCell ref="B271:B273"/>
    <mergeCell ref="B276:B279"/>
    <mergeCell ref="B282:B283"/>
    <mergeCell ref="B251:B252"/>
    <mergeCell ref="B254:B255"/>
    <mergeCell ref="B256:B257"/>
    <mergeCell ref="D60:D61"/>
    <mergeCell ref="D64:D65"/>
    <mergeCell ref="D67:D68"/>
    <mergeCell ref="D69:D70"/>
    <mergeCell ref="D72:D73"/>
    <mergeCell ref="D43:D44"/>
    <mergeCell ref="D47:D48"/>
    <mergeCell ref="D49:D50"/>
    <mergeCell ref="D52:D54"/>
    <mergeCell ref="D57:D58"/>
    <mergeCell ref="D100:D102"/>
    <mergeCell ref="D104:D105"/>
    <mergeCell ref="D107:D108"/>
    <mergeCell ref="D109:D110"/>
    <mergeCell ref="D122:D123"/>
    <mergeCell ref="D77:D78"/>
    <mergeCell ref="D85:D86"/>
    <mergeCell ref="D87:D88"/>
    <mergeCell ref="D89:D92"/>
    <mergeCell ref="D93:D94"/>
    <mergeCell ref="D140:D141"/>
    <mergeCell ref="D142:D143"/>
    <mergeCell ref="D148:D149"/>
    <mergeCell ref="D150:D151"/>
    <mergeCell ref="D152:D153"/>
    <mergeCell ref="D129:D130"/>
    <mergeCell ref="D131:D132"/>
    <mergeCell ref="D133:D134"/>
    <mergeCell ref="D136:D137"/>
    <mergeCell ref="D138:D139"/>
    <mergeCell ref="D251:D252"/>
    <mergeCell ref="D256:D257"/>
    <mergeCell ref="D214:D215"/>
    <mergeCell ref="D218:D219"/>
    <mergeCell ref="D220:D221"/>
    <mergeCell ref="D230:D231"/>
    <mergeCell ref="D233:D234"/>
    <mergeCell ref="D157:D159"/>
    <mergeCell ref="D167:D169"/>
    <mergeCell ref="D174:D178"/>
    <mergeCell ref="D190:D191"/>
    <mergeCell ref="D203:D204"/>
    <mergeCell ref="D282:D283"/>
    <mergeCell ref="D289:D290"/>
    <mergeCell ref="D294:D295"/>
    <mergeCell ref="E7:E8"/>
    <mergeCell ref="E15:E16"/>
    <mergeCell ref="E17:E18"/>
    <mergeCell ref="E19:E20"/>
    <mergeCell ref="E21:E22"/>
    <mergeCell ref="E31:E32"/>
    <mergeCell ref="E33:E34"/>
    <mergeCell ref="E35:E36"/>
    <mergeCell ref="E37:E38"/>
    <mergeCell ref="E40:E41"/>
    <mergeCell ref="E49:E50"/>
    <mergeCell ref="E52:E54"/>
    <mergeCell ref="E57:E58"/>
    <mergeCell ref="D258:D260"/>
    <mergeCell ref="D266:D267"/>
    <mergeCell ref="D272:D273"/>
    <mergeCell ref="D276:D277"/>
    <mergeCell ref="D278:D279"/>
    <mergeCell ref="D236:D237"/>
    <mergeCell ref="D242:D246"/>
    <mergeCell ref="D248:D249"/>
    <mergeCell ref="E77:E78"/>
    <mergeCell ref="E85:E86"/>
    <mergeCell ref="E87:E88"/>
    <mergeCell ref="E89:E90"/>
    <mergeCell ref="E91:E92"/>
    <mergeCell ref="E60:E61"/>
    <mergeCell ref="E64:E65"/>
    <mergeCell ref="E67:E68"/>
    <mergeCell ref="E69:E70"/>
    <mergeCell ref="E72:E73"/>
    <mergeCell ref="E129:E130"/>
    <mergeCell ref="E131:E132"/>
    <mergeCell ref="E133:E134"/>
    <mergeCell ref="E136:E137"/>
    <mergeCell ref="E138:E139"/>
    <mergeCell ref="E93:E94"/>
    <mergeCell ref="E104:E105"/>
    <mergeCell ref="E107:E108"/>
    <mergeCell ref="E109:E110"/>
    <mergeCell ref="E122:E123"/>
    <mergeCell ref="E157:E159"/>
    <mergeCell ref="E168:E169"/>
    <mergeCell ref="E175:E176"/>
    <mergeCell ref="E177:E178"/>
    <mergeCell ref="E190:E191"/>
    <mergeCell ref="E140:E141"/>
    <mergeCell ref="E142:E143"/>
    <mergeCell ref="E148:E149"/>
    <mergeCell ref="E150:E151"/>
    <mergeCell ref="E152:E153"/>
    <mergeCell ref="E233:E234"/>
    <mergeCell ref="E236:E237"/>
    <mergeCell ref="E242:E246"/>
    <mergeCell ref="E249:E250"/>
    <mergeCell ref="E251:E252"/>
    <mergeCell ref="E203:E204"/>
    <mergeCell ref="E214:E215"/>
    <mergeCell ref="E218:E219"/>
    <mergeCell ref="E220:E221"/>
    <mergeCell ref="E230:E231"/>
    <mergeCell ref="E278:E279"/>
    <mergeCell ref="E282:E283"/>
    <mergeCell ref="E289:E290"/>
    <mergeCell ref="E294:E295"/>
    <mergeCell ref="E256:E257"/>
    <mergeCell ref="E258:E260"/>
    <mergeCell ref="E266:E267"/>
    <mergeCell ref="E272:E273"/>
    <mergeCell ref="E276:E277"/>
  </mergeCells>
  <phoneticPr fontId="16" type="noConversion"/>
  <pageMargins left="0.25" right="0.25" top="0.75" bottom="0.75" header="0.3" footer="0.3"/>
  <pageSetup paperSize="9" scale="4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EB981-00F9-4922-93D7-027B32914ADA}">
  <sheetPr codeName="Sheet7"/>
  <dimension ref="A1:J149"/>
  <sheetViews>
    <sheetView topLeftCell="A130" zoomScale="60" zoomScaleNormal="60" workbookViewId="0">
      <selection activeCell="I156" sqref="I156"/>
    </sheetView>
  </sheetViews>
  <sheetFormatPr defaultRowHeight="14.15"/>
  <cols>
    <col min="1" max="1" width="18.765625" style="59" bestFit="1" customWidth="1"/>
    <col min="2" max="2" width="13.53515625" style="59" bestFit="1" customWidth="1"/>
    <col min="3" max="3" width="14.4609375" style="60" customWidth="1"/>
    <col min="4" max="4" width="7.765625" style="60" bestFit="1" customWidth="1"/>
    <col min="5" max="5" width="6" style="60" customWidth="1"/>
    <col min="6" max="6" width="32.84375" style="60" customWidth="1"/>
    <col min="7" max="7" width="9.4609375" style="60" bestFit="1" customWidth="1"/>
    <col min="8" max="8" width="29.07421875" style="60" customWidth="1"/>
    <col min="9" max="9" width="9.23046875" style="60"/>
    <col min="10" max="10" width="32.23046875" style="60" customWidth="1"/>
  </cols>
  <sheetData>
    <row r="1" spans="1:10" ht="45" customHeight="1">
      <c r="A1" s="218" t="s">
        <v>1841</v>
      </c>
      <c r="B1" s="219"/>
      <c r="C1" s="219"/>
      <c r="D1" s="219"/>
      <c r="E1" s="219"/>
      <c r="F1" s="219"/>
      <c r="G1" s="219"/>
      <c r="H1" s="219"/>
      <c r="I1" s="219"/>
      <c r="J1" s="220"/>
    </row>
    <row r="2" spans="1:10" ht="32.6">
      <c r="A2" s="50" t="s">
        <v>255</v>
      </c>
      <c r="B2" s="50" t="s">
        <v>237</v>
      </c>
      <c r="C2" s="17" t="s">
        <v>1</v>
      </c>
      <c r="D2" s="17" t="s">
        <v>2</v>
      </c>
      <c r="E2" s="17" t="s">
        <v>3</v>
      </c>
      <c r="F2" s="17" t="s">
        <v>1530</v>
      </c>
      <c r="G2" s="17" t="s">
        <v>1097</v>
      </c>
      <c r="H2" s="17" t="s">
        <v>256</v>
      </c>
      <c r="I2" s="17" t="s">
        <v>238</v>
      </c>
      <c r="J2" s="17" t="s">
        <v>7</v>
      </c>
    </row>
    <row r="3" spans="1:10" ht="16.3">
      <c r="A3" s="50" t="s">
        <v>1532</v>
      </c>
      <c r="B3" s="50" t="s">
        <v>1533</v>
      </c>
      <c r="C3" s="17" t="s">
        <v>1480</v>
      </c>
      <c r="D3" s="17">
        <v>23</v>
      </c>
      <c r="E3" s="17" t="s">
        <v>52</v>
      </c>
      <c r="F3" s="17" t="s">
        <v>1534</v>
      </c>
      <c r="G3" s="17" t="s">
        <v>1480</v>
      </c>
      <c r="H3" s="17">
        <v>0</v>
      </c>
      <c r="I3" s="17" t="s">
        <v>1480</v>
      </c>
      <c r="J3" s="17" t="s">
        <v>1535</v>
      </c>
    </row>
    <row r="4" spans="1:10" ht="16.3">
      <c r="A4" s="50" t="s">
        <v>1480</v>
      </c>
      <c r="B4" s="50" t="s">
        <v>1480</v>
      </c>
      <c r="C4" s="17" t="s">
        <v>176</v>
      </c>
      <c r="D4" s="17"/>
      <c r="E4" s="17" t="s">
        <v>10</v>
      </c>
      <c r="F4" s="17">
        <v>1.6</v>
      </c>
      <c r="G4" s="17" t="s">
        <v>1480</v>
      </c>
      <c r="H4" s="17">
        <v>1.3</v>
      </c>
      <c r="I4" s="17" t="s">
        <v>259</v>
      </c>
      <c r="J4" s="17" t="s">
        <v>1480</v>
      </c>
    </row>
    <row r="5" spans="1:10" ht="32.6">
      <c r="A5" s="50" t="s">
        <v>1536</v>
      </c>
      <c r="B5" s="50" t="s">
        <v>1537</v>
      </c>
      <c r="C5" s="17" t="s">
        <v>1480</v>
      </c>
      <c r="D5" s="17">
        <v>30</v>
      </c>
      <c r="E5" s="17" t="s">
        <v>32</v>
      </c>
      <c r="F5" s="17" t="s">
        <v>1538</v>
      </c>
      <c r="G5" s="17"/>
      <c r="H5" s="17" t="s">
        <v>781</v>
      </c>
      <c r="I5" s="17" t="s">
        <v>180</v>
      </c>
      <c r="J5" s="17" t="s">
        <v>1539</v>
      </c>
    </row>
    <row r="6" spans="1:10" ht="48.9">
      <c r="A6" s="50" t="s">
        <v>1540</v>
      </c>
      <c r="B6" s="50" t="s">
        <v>1033</v>
      </c>
      <c r="C6" s="17" t="s">
        <v>1480</v>
      </c>
      <c r="D6" s="17">
        <v>30</v>
      </c>
      <c r="E6" s="17" t="s">
        <v>32</v>
      </c>
      <c r="F6" s="17">
        <v>310</v>
      </c>
      <c r="G6" s="17"/>
      <c r="H6" s="17">
        <v>20</v>
      </c>
      <c r="I6" s="17" t="s">
        <v>180</v>
      </c>
      <c r="J6" s="17" t="s">
        <v>1541</v>
      </c>
    </row>
    <row r="7" spans="1:10" ht="32.6">
      <c r="A7" s="50" t="s">
        <v>1542</v>
      </c>
      <c r="B7" s="50" t="s">
        <v>237</v>
      </c>
      <c r="C7" s="17" t="s">
        <v>1</v>
      </c>
      <c r="D7" s="17" t="s">
        <v>2</v>
      </c>
      <c r="E7" s="17" t="s">
        <v>3</v>
      </c>
      <c r="F7" s="17" t="s">
        <v>1530</v>
      </c>
      <c r="G7" s="17" t="s">
        <v>1097</v>
      </c>
      <c r="H7" s="17" t="s">
        <v>272</v>
      </c>
      <c r="I7" s="17" t="s">
        <v>238</v>
      </c>
      <c r="J7" s="17" t="s">
        <v>7</v>
      </c>
    </row>
    <row r="8" spans="1:10" ht="32.6">
      <c r="A8" s="50" t="s">
        <v>1543</v>
      </c>
      <c r="B8" s="50" t="s">
        <v>1544</v>
      </c>
      <c r="C8" s="17" t="s">
        <v>1480</v>
      </c>
      <c r="D8" s="17">
        <v>19</v>
      </c>
      <c r="E8" s="17" t="s">
        <v>1148</v>
      </c>
      <c r="F8" s="17" t="s">
        <v>1545</v>
      </c>
      <c r="G8" s="17" t="s">
        <v>1480</v>
      </c>
      <c r="H8" s="17" t="s">
        <v>1546</v>
      </c>
      <c r="I8" s="17" t="s">
        <v>338</v>
      </c>
      <c r="J8" s="17" t="s">
        <v>1547</v>
      </c>
    </row>
    <row r="9" spans="1:10" ht="16.3">
      <c r="A9" s="50" t="s">
        <v>1548</v>
      </c>
      <c r="B9" s="50" t="s">
        <v>1549</v>
      </c>
      <c r="C9" s="17" t="s">
        <v>1550</v>
      </c>
      <c r="D9" s="17">
        <v>10</v>
      </c>
      <c r="E9" s="17" t="s">
        <v>266</v>
      </c>
      <c r="F9" s="17" t="s">
        <v>1551</v>
      </c>
      <c r="G9" s="17" t="s">
        <v>1480</v>
      </c>
      <c r="H9" s="17" t="s">
        <v>1552</v>
      </c>
      <c r="I9" s="17" t="s">
        <v>259</v>
      </c>
      <c r="J9" s="17" t="s">
        <v>1480</v>
      </c>
    </row>
    <row r="10" spans="1:10" ht="16.3">
      <c r="A10" s="50" t="s">
        <v>1480</v>
      </c>
      <c r="B10" s="50" t="s">
        <v>1480</v>
      </c>
      <c r="C10" s="17" t="s">
        <v>1553</v>
      </c>
      <c r="D10" s="17"/>
      <c r="E10" s="17" t="s">
        <v>266</v>
      </c>
      <c r="F10" s="17" t="s">
        <v>1554</v>
      </c>
      <c r="G10" s="17" t="s">
        <v>1480</v>
      </c>
      <c r="H10" s="17" t="s">
        <v>1552</v>
      </c>
      <c r="I10" s="17" t="s">
        <v>121</v>
      </c>
      <c r="J10" s="17" t="s">
        <v>1480</v>
      </c>
    </row>
    <row r="11" spans="1:10" ht="16.3">
      <c r="A11" s="50" t="s">
        <v>1480</v>
      </c>
      <c r="B11" s="50" t="s">
        <v>1480</v>
      </c>
      <c r="C11" s="17" t="s">
        <v>1555</v>
      </c>
      <c r="D11" s="17">
        <v>10</v>
      </c>
      <c r="E11" s="17" t="s">
        <v>266</v>
      </c>
      <c r="F11" s="17" t="s">
        <v>1556</v>
      </c>
      <c r="G11" s="17" t="s">
        <v>1480</v>
      </c>
      <c r="H11" s="17" t="s">
        <v>1552</v>
      </c>
      <c r="I11" s="17" t="s">
        <v>259</v>
      </c>
      <c r="J11" s="17" t="s">
        <v>1480</v>
      </c>
    </row>
    <row r="12" spans="1:10" ht="16.3">
      <c r="A12" s="50" t="s">
        <v>1480</v>
      </c>
      <c r="B12" s="50" t="s">
        <v>1480</v>
      </c>
      <c r="C12" s="17" t="s">
        <v>1557</v>
      </c>
      <c r="D12" s="17"/>
      <c r="E12" s="17" t="s">
        <v>266</v>
      </c>
      <c r="F12" s="17" t="s">
        <v>1554</v>
      </c>
      <c r="G12" s="17" t="s">
        <v>1480</v>
      </c>
      <c r="H12" s="17" t="s">
        <v>1552</v>
      </c>
      <c r="I12" s="17" t="s">
        <v>121</v>
      </c>
      <c r="J12" s="17" t="s">
        <v>1480</v>
      </c>
    </row>
    <row r="13" spans="1:10" ht="16.3">
      <c r="A13" s="50" t="s">
        <v>1480</v>
      </c>
      <c r="B13" s="50" t="s">
        <v>1480</v>
      </c>
      <c r="C13" s="17" t="s">
        <v>1558</v>
      </c>
      <c r="D13" s="17">
        <v>10</v>
      </c>
      <c r="E13" s="17" t="s">
        <v>266</v>
      </c>
      <c r="F13" s="17" t="s">
        <v>1559</v>
      </c>
      <c r="G13" s="17" t="s">
        <v>1480</v>
      </c>
      <c r="H13" s="18">
        <v>0.5</v>
      </c>
      <c r="I13" s="17" t="s">
        <v>259</v>
      </c>
      <c r="J13" s="17" t="s">
        <v>1480</v>
      </c>
    </row>
    <row r="14" spans="1:10" ht="16.3">
      <c r="A14" s="50" t="s">
        <v>1480</v>
      </c>
      <c r="B14" s="50" t="s">
        <v>1480</v>
      </c>
      <c r="C14" s="17" t="s">
        <v>1560</v>
      </c>
      <c r="D14" s="17"/>
      <c r="E14" s="17" t="s">
        <v>266</v>
      </c>
      <c r="F14" s="17" t="s">
        <v>1561</v>
      </c>
      <c r="G14" s="17" t="s">
        <v>1480</v>
      </c>
      <c r="H14" s="18">
        <v>1</v>
      </c>
      <c r="I14" s="17" t="s">
        <v>121</v>
      </c>
      <c r="J14" s="17" t="s">
        <v>1480</v>
      </c>
    </row>
    <row r="15" spans="1:10" ht="32.6">
      <c r="A15" s="50" t="s">
        <v>1480</v>
      </c>
      <c r="B15" s="50" t="s">
        <v>1480</v>
      </c>
      <c r="C15" s="17" t="s">
        <v>1562</v>
      </c>
      <c r="D15" s="17">
        <v>25</v>
      </c>
      <c r="E15" s="17" t="s">
        <v>266</v>
      </c>
      <c r="F15" s="17" t="s">
        <v>1563</v>
      </c>
      <c r="G15" s="17" t="s">
        <v>1480</v>
      </c>
      <c r="H15" s="17" t="s">
        <v>1564</v>
      </c>
      <c r="I15" s="17" t="s">
        <v>1565</v>
      </c>
      <c r="J15" s="17" t="s">
        <v>1480</v>
      </c>
    </row>
    <row r="16" spans="1:10" ht="32.6">
      <c r="A16" s="50" t="s">
        <v>1480</v>
      </c>
      <c r="B16" s="50" t="s">
        <v>1480</v>
      </c>
      <c r="C16" s="17" t="s">
        <v>1566</v>
      </c>
      <c r="D16" s="17"/>
      <c r="E16" s="17" t="s">
        <v>266</v>
      </c>
      <c r="F16" s="17" t="s">
        <v>1567</v>
      </c>
      <c r="G16" s="17" t="s">
        <v>1480</v>
      </c>
      <c r="H16" s="17" t="s">
        <v>1568</v>
      </c>
      <c r="I16" s="17" t="s">
        <v>148</v>
      </c>
      <c r="J16" s="17" t="s">
        <v>1480</v>
      </c>
    </row>
    <row r="17" spans="1:10" ht="32.6">
      <c r="A17" s="50" t="s">
        <v>271</v>
      </c>
      <c r="B17" s="50" t="s">
        <v>237</v>
      </c>
      <c r="C17" s="17" t="s">
        <v>1</v>
      </c>
      <c r="D17" s="17" t="s">
        <v>2</v>
      </c>
      <c r="E17" s="17" t="s">
        <v>3</v>
      </c>
      <c r="F17" s="17" t="s">
        <v>1530</v>
      </c>
      <c r="G17" s="17" t="s">
        <v>1097</v>
      </c>
      <c r="H17" s="17" t="s">
        <v>272</v>
      </c>
      <c r="I17" s="17" t="s">
        <v>238</v>
      </c>
      <c r="J17" s="17" t="s">
        <v>7</v>
      </c>
    </row>
    <row r="18" spans="1:10" ht="16.3">
      <c r="A18" s="50" t="s">
        <v>1569</v>
      </c>
      <c r="B18" s="50" t="s">
        <v>1570</v>
      </c>
      <c r="C18" s="17" t="s">
        <v>1480</v>
      </c>
      <c r="D18" s="17">
        <v>12</v>
      </c>
      <c r="E18" s="17" t="s">
        <v>10</v>
      </c>
      <c r="F18" s="17" t="s">
        <v>1571</v>
      </c>
      <c r="G18" s="17" t="s">
        <v>1480</v>
      </c>
      <c r="H18" s="17" t="s">
        <v>1572</v>
      </c>
      <c r="I18" s="17" t="s">
        <v>40</v>
      </c>
      <c r="J18" s="17" t="s">
        <v>1480</v>
      </c>
    </row>
    <row r="19" spans="1:10" ht="16.3">
      <c r="A19" s="50" t="s">
        <v>1480</v>
      </c>
      <c r="B19" s="50" t="s">
        <v>1480</v>
      </c>
      <c r="C19" s="17" t="s">
        <v>9</v>
      </c>
      <c r="D19" s="17">
        <v>10</v>
      </c>
      <c r="E19" s="17" t="s">
        <v>10</v>
      </c>
      <c r="F19" s="17">
        <v>1.7</v>
      </c>
      <c r="G19" s="17" t="s">
        <v>1480</v>
      </c>
      <c r="H19" s="17">
        <v>5</v>
      </c>
      <c r="I19" s="17" t="s">
        <v>40</v>
      </c>
      <c r="J19" s="17" t="s">
        <v>1395</v>
      </c>
    </row>
    <row r="20" spans="1:10" ht="16.3">
      <c r="A20" s="50" t="s">
        <v>1573</v>
      </c>
      <c r="B20" s="50" t="s">
        <v>1574</v>
      </c>
      <c r="C20" s="17" t="s">
        <v>1575</v>
      </c>
      <c r="D20" s="17">
        <v>21</v>
      </c>
      <c r="E20" s="17" t="s">
        <v>10</v>
      </c>
      <c r="F20" s="17">
        <v>2.9</v>
      </c>
      <c r="G20" s="17" t="s">
        <v>1480</v>
      </c>
      <c r="H20" s="17" t="s">
        <v>56</v>
      </c>
      <c r="I20" s="17" t="s">
        <v>477</v>
      </c>
      <c r="J20" s="17" t="s">
        <v>1480</v>
      </c>
    </row>
    <row r="21" spans="1:10" ht="16.3">
      <c r="A21" s="50" t="s">
        <v>1480</v>
      </c>
      <c r="B21" s="50" t="s">
        <v>1480</v>
      </c>
      <c r="C21" s="17" t="s">
        <v>1576</v>
      </c>
      <c r="D21" s="17"/>
      <c r="E21" s="17" t="s">
        <v>10</v>
      </c>
      <c r="F21" s="17">
        <v>1.5</v>
      </c>
      <c r="G21" s="17" t="s">
        <v>1480</v>
      </c>
      <c r="H21" s="17">
        <v>3</v>
      </c>
      <c r="I21" s="17" t="s">
        <v>477</v>
      </c>
      <c r="J21" s="17" t="s">
        <v>1480</v>
      </c>
    </row>
    <row r="22" spans="1:10" ht="16.3">
      <c r="A22" s="50" t="s">
        <v>1480</v>
      </c>
      <c r="B22" s="50" t="s">
        <v>1480</v>
      </c>
      <c r="C22" s="17" t="s">
        <v>44</v>
      </c>
      <c r="D22" s="17">
        <v>10</v>
      </c>
      <c r="E22" s="17" t="s">
        <v>10</v>
      </c>
      <c r="F22" s="17">
        <v>1.8</v>
      </c>
      <c r="G22" s="17" t="s">
        <v>1480</v>
      </c>
      <c r="H22" s="17">
        <v>3</v>
      </c>
      <c r="I22" s="17" t="s">
        <v>477</v>
      </c>
      <c r="J22" s="17" t="s">
        <v>1577</v>
      </c>
    </row>
    <row r="23" spans="1:10" ht="32.6">
      <c r="A23" s="50" t="s">
        <v>317</v>
      </c>
      <c r="B23" s="50" t="s">
        <v>237</v>
      </c>
      <c r="C23" s="17" t="s">
        <v>1</v>
      </c>
      <c r="D23" s="17" t="s">
        <v>2</v>
      </c>
      <c r="E23" s="17" t="s">
        <v>3</v>
      </c>
      <c r="F23" s="17" t="s">
        <v>1530</v>
      </c>
      <c r="G23" s="17" t="s">
        <v>1097</v>
      </c>
      <c r="H23" s="17" t="s">
        <v>318</v>
      </c>
      <c r="I23" s="17" t="s">
        <v>238</v>
      </c>
      <c r="J23" s="17" t="s">
        <v>7</v>
      </c>
    </row>
    <row r="24" spans="1:10" ht="16.3">
      <c r="A24" s="50" t="s">
        <v>1578</v>
      </c>
      <c r="B24" s="50" t="s">
        <v>734</v>
      </c>
      <c r="C24" s="17" t="s">
        <v>1480</v>
      </c>
      <c r="D24" s="17">
        <v>16</v>
      </c>
      <c r="E24" s="17" t="s">
        <v>32</v>
      </c>
      <c r="F24" s="17" t="s">
        <v>1579</v>
      </c>
      <c r="G24" s="17" t="s">
        <v>1480</v>
      </c>
      <c r="H24" s="17" t="s">
        <v>143</v>
      </c>
      <c r="I24" s="17" t="s">
        <v>121</v>
      </c>
      <c r="J24" s="17" t="s">
        <v>1480</v>
      </c>
    </row>
    <row r="25" spans="1:10" ht="16.3">
      <c r="A25" s="50" t="s">
        <v>1480</v>
      </c>
      <c r="B25" s="50" t="s">
        <v>1480</v>
      </c>
      <c r="C25" s="17" t="s">
        <v>9</v>
      </c>
      <c r="D25" s="17">
        <v>6</v>
      </c>
      <c r="E25" s="17" t="s">
        <v>10</v>
      </c>
      <c r="F25" s="17">
        <v>1.5</v>
      </c>
      <c r="G25" s="17" t="s">
        <v>1480</v>
      </c>
      <c r="H25" s="17">
        <v>2.5</v>
      </c>
      <c r="I25" s="17" t="s">
        <v>244</v>
      </c>
      <c r="J25" s="17" t="s">
        <v>1480</v>
      </c>
    </row>
    <row r="26" spans="1:10" ht="16.3">
      <c r="A26" s="50" t="s">
        <v>1580</v>
      </c>
      <c r="B26" s="50" t="s">
        <v>1581</v>
      </c>
      <c r="C26" s="17" t="s">
        <v>1480</v>
      </c>
      <c r="D26" s="17">
        <v>10</v>
      </c>
      <c r="E26" s="17" t="s">
        <v>10</v>
      </c>
      <c r="F26" s="17">
        <v>0.85</v>
      </c>
      <c r="G26" s="17" t="s">
        <v>1480</v>
      </c>
      <c r="H26" s="17">
        <v>2</v>
      </c>
      <c r="I26" s="17" t="s">
        <v>244</v>
      </c>
      <c r="J26" s="17" t="s">
        <v>1480</v>
      </c>
    </row>
    <row r="27" spans="1:10" ht="16.3">
      <c r="A27" s="50" t="s">
        <v>1480</v>
      </c>
      <c r="B27" s="50" t="s">
        <v>1480</v>
      </c>
      <c r="C27" s="17" t="s">
        <v>44</v>
      </c>
      <c r="D27" s="17">
        <v>25</v>
      </c>
      <c r="E27" s="17" t="s">
        <v>10</v>
      </c>
      <c r="F27" s="17">
        <v>1.85</v>
      </c>
      <c r="G27" s="17" t="s">
        <v>1480</v>
      </c>
      <c r="H27" s="17">
        <v>4</v>
      </c>
      <c r="I27" s="17" t="s">
        <v>259</v>
      </c>
      <c r="J27" s="17" t="s">
        <v>1582</v>
      </c>
    </row>
    <row r="28" spans="1:10" ht="32.6">
      <c r="A28" s="50" t="s">
        <v>1583</v>
      </c>
      <c r="B28" s="50" t="s">
        <v>1584</v>
      </c>
      <c r="C28" s="17" t="s">
        <v>1585</v>
      </c>
      <c r="D28" s="17" t="s">
        <v>1586</v>
      </c>
      <c r="E28" s="17" t="s">
        <v>29</v>
      </c>
      <c r="F28" s="17" t="s">
        <v>1587</v>
      </c>
      <c r="G28" s="17" t="s">
        <v>1480</v>
      </c>
      <c r="H28" s="17" t="s">
        <v>1588</v>
      </c>
      <c r="I28" s="17" t="s">
        <v>1589</v>
      </c>
      <c r="J28" s="17" t="s">
        <v>1480</v>
      </c>
    </row>
    <row r="29" spans="1:10" ht="32.6">
      <c r="A29" s="50" t="s">
        <v>1480</v>
      </c>
      <c r="B29" s="50" t="s">
        <v>1480</v>
      </c>
      <c r="C29" s="17" t="s">
        <v>1590</v>
      </c>
      <c r="D29" s="17"/>
      <c r="E29" s="17" t="s">
        <v>32</v>
      </c>
      <c r="F29" s="17" t="s">
        <v>1591</v>
      </c>
      <c r="G29" s="17" t="s">
        <v>1480</v>
      </c>
      <c r="H29" s="17">
        <v>0</v>
      </c>
      <c r="I29" s="17" t="s">
        <v>180</v>
      </c>
      <c r="J29" s="17" t="s">
        <v>1480</v>
      </c>
    </row>
    <row r="30" spans="1:10" ht="32.6">
      <c r="A30" s="50" t="s">
        <v>1480</v>
      </c>
      <c r="B30" s="50" t="s">
        <v>1480</v>
      </c>
      <c r="C30" s="17" t="s">
        <v>1592</v>
      </c>
      <c r="D30" s="17">
        <v>10</v>
      </c>
      <c r="E30" s="17" t="s">
        <v>29</v>
      </c>
      <c r="F30" s="17" t="s">
        <v>1593</v>
      </c>
      <c r="G30" s="17" t="s">
        <v>1480</v>
      </c>
      <c r="H30" s="17" t="s">
        <v>1594</v>
      </c>
      <c r="I30" s="17" t="s">
        <v>1589</v>
      </c>
      <c r="J30" s="17" t="s">
        <v>1480</v>
      </c>
    </row>
    <row r="31" spans="1:10" ht="16.3">
      <c r="A31" s="50" t="s">
        <v>1480</v>
      </c>
      <c r="B31" s="50" t="s">
        <v>1480</v>
      </c>
      <c r="C31" s="17" t="s">
        <v>1595</v>
      </c>
      <c r="D31" s="17"/>
      <c r="E31" s="17" t="s">
        <v>32</v>
      </c>
      <c r="F31" s="17" t="s">
        <v>1596</v>
      </c>
      <c r="G31" s="17" t="s">
        <v>1480</v>
      </c>
      <c r="H31" s="17">
        <v>10</v>
      </c>
      <c r="I31" s="17" t="s">
        <v>180</v>
      </c>
      <c r="J31" s="17" t="s">
        <v>1577</v>
      </c>
    </row>
    <row r="32" spans="1:10" ht="32.6">
      <c r="A32" s="50" t="s">
        <v>1597</v>
      </c>
      <c r="B32" s="50" t="s">
        <v>1598</v>
      </c>
      <c r="C32" s="17" t="s">
        <v>1599</v>
      </c>
      <c r="D32" s="17">
        <v>32</v>
      </c>
      <c r="E32" s="17" t="s">
        <v>29</v>
      </c>
      <c r="F32" s="17" t="s">
        <v>1600</v>
      </c>
      <c r="G32" s="17" t="s">
        <v>1480</v>
      </c>
      <c r="H32" s="17">
        <v>2.5</v>
      </c>
      <c r="I32" s="17" t="s">
        <v>1589</v>
      </c>
      <c r="J32" s="17" t="s">
        <v>1480</v>
      </c>
    </row>
    <row r="33" spans="1:10" ht="16.3">
      <c r="A33" s="50" t="s">
        <v>1480</v>
      </c>
      <c r="B33" s="50" t="s">
        <v>1480</v>
      </c>
      <c r="C33" s="17" t="s">
        <v>1601</v>
      </c>
      <c r="D33" s="17"/>
      <c r="E33" s="17" t="s">
        <v>32</v>
      </c>
      <c r="F33" s="17" t="s">
        <v>1602</v>
      </c>
      <c r="G33" s="17" t="s">
        <v>1480</v>
      </c>
      <c r="H33" s="17" t="s">
        <v>1603</v>
      </c>
      <c r="I33" s="17" t="s">
        <v>180</v>
      </c>
      <c r="J33" s="17" t="s">
        <v>1604</v>
      </c>
    </row>
    <row r="34" spans="1:10" ht="32.6">
      <c r="A34" s="50" t="s">
        <v>1480</v>
      </c>
      <c r="B34" s="50" t="s">
        <v>1480</v>
      </c>
      <c r="C34" s="17" t="s">
        <v>1605</v>
      </c>
      <c r="D34" s="17"/>
      <c r="E34" s="17" t="s">
        <v>29</v>
      </c>
      <c r="F34" s="17" t="s">
        <v>1606</v>
      </c>
      <c r="G34" s="17" t="s">
        <v>1480</v>
      </c>
      <c r="H34" s="17">
        <v>4.5</v>
      </c>
      <c r="I34" s="17" t="s">
        <v>1589</v>
      </c>
      <c r="J34" s="17" t="s">
        <v>1480</v>
      </c>
    </row>
    <row r="35" spans="1:10" ht="16.3">
      <c r="A35" s="50" t="s">
        <v>1480</v>
      </c>
      <c r="B35" s="50" t="s">
        <v>1480</v>
      </c>
      <c r="C35" s="17" t="s">
        <v>1607</v>
      </c>
      <c r="D35" s="17"/>
      <c r="E35" s="17" t="s">
        <v>32</v>
      </c>
      <c r="F35" s="17" t="s">
        <v>1608</v>
      </c>
      <c r="G35" s="17" t="s">
        <v>1480</v>
      </c>
      <c r="H35" s="17" t="s">
        <v>1603</v>
      </c>
      <c r="I35" s="17" t="s">
        <v>180</v>
      </c>
      <c r="J35" s="17" t="s">
        <v>1604</v>
      </c>
    </row>
    <row r="36" spans="1:10" ht="32.6">
      <c r="A36" s="50" t="s">
        <v>354</v>
      </c>
      <c r="B36" s="50" t="s">
        <v>237</v>
      </c>
      <c r="C36" s="17" t="s">
        <v>1</v>
      </c>
      <c r="D36" s="17" t="s">
        <v>2</v>
      </c>
      <c r="E36" s="17" t="s">
        <v>3</v>
      </c>
      <c r="F36" s="17" t="s">
        <v>1530</v>
      </c>
      <c r="G36" s="17" t="s">
        <v>1097</v>
      </c>
      <c r="H36" s="17" t="s">
        <v>256</v>
      </c>
      <c r="I36" s="17" t="s">
        <v>238</v>
      </c>
      <c r="J36" s="17" t="s">
        <v>7</v>
      </c>
    </row>
    <row r="37" spans="1:10" ht="16.3">
      <c r="A37" s="50" t="s">
        <v>1609</v>
      </c>
      <c r="B37" s="50" t="s">
        <v>1610</v>
      </c>
      <c r="C37" s="17" t="s">
        <v>42</v>
      </c>
      <c r="D37" s="17">
        <v>12</v>
      </c>
      <c r="E37" s="17" t="s">
        <v>10</v>
      </c>
      <c r="F37" s="17" t="s">
        <v>1611</v>
      </c>
      <c r="G37" s="17" t="s">
        <v>1480</v>
      </c>
      <c r="H37" s="17" t="s">
        <v>1612</v>
      </c>
      <c r="I37" s="17" t="s">
        <v>176</v>
      </c>
      <c r="J37" s="17" t="s">
        <v>1613</v>
      </c>
    </row>
    <row r="38" spans="1:10" ht="16.3">
      <c r="A38" s="50" t="s">
        <v>1480</v>
      </c>
      <c r="B38" s="50" t="s">
        <v>1480</v>
      </c>
      <c r="C38" s="17" t="s">
        <v>1614</v>
      </c>
      <c r="D38" s="17"/>
      <c r="E38" s="17" t="s">
        <v>32</v>
      </c>
      <c r="F38" s="17" t="s">
        <v>1615</v>
      </c>
      <c r="G38" s="17" t="s">
        <v>1480</v>
      </c>
      <c r="H38" s="17" t="s">
        <v>1616</v>
      </c>
      <c r="I38" s="17" t="s">
        <v>121</v>
      </c>
      <c r="J38" s="17" t="s">
        <v>1480</v>
      </c>
    </row>
    <row r="39" spans="1:10" ht="16.3">
      <c r="A39" s="50" t="s">
        <v>1480</v>
      </c>
      <c r="B39" s="50" t="s">
        <v>1480</v>
      </c>
      <c r="C39" s="17" t="s">
        <v>44</v>
      </c>
      <c r="D39" s="17">
        <v>12</v>
      </c>
      <c r="E39" s="17" t="s">
        <v>10</v>
      </c>
      <c r="F39" s="17">
        <v>1</v>
      </c>
      <c r="G39" s="17" t="s">
        <v>1480</v>
      </c>
      <c r="H39" s="17">
        <v>1.2</v>
      </c>
      <c r="I39" s="17" t="s">
        <v>176</v>
      </c>
      <c r="J39" s="17" t="s">
        <v>1613</v>
      </c>
    </row>
    <row r="40" spans="1:10" ht="16.3">
      <c r="A40" s="50" t="s">
        <v>1480</v>
      </c>
      <c r="B40" s="50" t="s">
        <v>1480</v>
      </c>
      <c r="C40" s="17" t="s">
        <v>1617</v>
      </c>
      <c r="D40" s="17"/>
      <c r="E40" s="17" t="s">
        <v>32</v>
      </c>
      <c r="F40" s="17" t="s">
        <v>1615</v>
      </c>
      <c r="G40" s="17" t="s">
        <v>1480</v>
      </c>
      <c r="H40" s="17" t="s">
        <v>1616</v>
      </c>
      <c r="I40" s="17" t="s">
        <v>121</v>
      </c>
      <c r="J40" s="17" t="s">
        <v>1480</v>
      </c>
    </row>
    <row r="41" spans="1:10" ht="16.3">
      <c r="A41" s="50" t="s">
        <v>1618</v>
      </c>
      <c r="B41" s="50" t="s">
        <v>1619</v>
      </c>
      <c r="C41" s="17" t="s">
        <v>1480</v>
      </c>
      <c r="D41" s="17">
        <v>15</v>
      </c>
      <c r="E41" s="17" t="s">
        <v>10</v>
      </c>
      <c r="F41" s="17" t="s">
        <v>1620</v>
      </c>
      <c r="G41" s="17" t="s">
        <v>1480</v>
      </c>
      <c r="H41" s="17" t="s">
        <v>610</v>
      </c>
      <c r="I41" s="17" t="s">
        <v>176</v>
      </c>
      <c r="J41" s="17" t="s">
        <v>1480</v>
      </c>
    </row>
    <row r="42" spans="1:10" ht="16.3">
      <c r="A42" s="50" t="s">
        <v>1480</v>
      </c>
      <c r="B42" s="50" t="s">
        <v>1480</v>
      </c>
      <c r="C42" s="17" t="s">
        <v>9</v>
      </c>
      <c r="D42" s="17">
        <v>10</v>
      </c>
      <c r="E42" s="17" t="s">
        <v>10</v>
      </c>
      <c r="F42" s="17" t="s">
        <v>1621</v>
      </c>
      <c r="G42" s="17" t="s">
        <v>1480</v>
      </c>
      <c r="H42" s="17" t="s">
        <v>1622</v>
      </c>
      <c r="I42" s="17" t="s">
        <v>176</v>
      </c>
      <c r="J42" s="17" t="s">
        <v>1480</v>
      </c>
    </row>
    <row r="43" spans="1:10" ht="16.3">
      <c r="A43" s="50" t="s">
        <v>1623</v>
      </c>
      <c r="B43" s="50" t="s">
        <v>1624</v>
      </c>
      <c r="C43" s="17" t="s">
        <v>184</v>
      </c>
      <c r="D43" s="17">
        <v>2</v>
      </c>
      <c r="E43" s="17" t="s">
        <v>10</v>
      </c>
      <c r="F43" s="17">
        <v>1.1000000000000001</v>
      </c>
      <c r="G43" s="17" t="s">
        <v>1625</v>
      </c>
      <c r="H43" s="17">
        <v>1.2</v>
      </c>
      <c r="I43" s="17" t="s">
        <v>176</v>
      </c>
      <c r="J43" s="17" t="s">
        <v>1480</v>
      </c>
    </row>
    <row r="44" spans="1:10" ht="16.3">
      <c r="A44" s="50" t="s">
        <v>1480</v>
      </c>
      <c r="B44" s="50" t="s">
        <v>1480</v>
      </c>
      <c r="C44" s="17" t="s">
        <v>42</v>
      </c>
      <c r="D44" s="17">
        <v>2</v>
      </c>
      <c r="E44" s="17" t="s">
        <v>10</v>
      </c>
      <c r="F44" s="17" t="s">
        <v>1626</v>
      </c>
      <c r="G44" s="17" t="s">
        <v>1625</v>
      </c>
      <c r="H44" s="17" t="s">
        <v>1627</v>
      </c>
      <c r="I44" s="17" t="s">
        <v>176</v>
      </c>
      <c r="J44" s="17" t="s">
        <v>1480</v>
      </c>
    </row>
    <row r="45" spans="1:10" ht="16.3">
      <c r="A45" s="50" t="s">
        <v>1480</v>
      </c>
      <c r="B45" s="50" t="s">
        <v>1480</v>
      </c>
      <c r="C45" s="17" t="s">
        <v>44</v>
      </c>
      <c r="D45" s="17">
        <v>2</v>
      </c>
      <c r="E45" s="17" t="s">
        <v>10</v>
      </c>
      <c r="F45" s="17" t="s">
        <v>1628</v>
      </c>
      <c r="G45" s="17" t="s">
        <v>1625</v>
      </c>
      <c r="H45" s="17" t="s">
        <v>1627</v>
      </c>
      <c r="I45" s="17" t="s">
        <v>176</v>
      </c>
      <c r="J45" s="17" t="s">
        <v>1480</v>
      </c>
    </row>
    <row r="46" spans="1:10" ht="16.3">
      <c r="A46" s="50" t="s">
        <v>1480</v>
      </c>
      <c r="B46" s="50" t="s">
        <v>1480</v>
      </c>
      <c r="C46" s="17" t="s">
        <v>76</v>
      </c>
      <c r="D46" s="17">
        <v>2</v>
      </c>
      <c r="E46" s="17" t="s">
        <v>10</v>
      </c>
      <c r="F46" s="17" t="s">
        <v>1628</v>
      </c>
      <c r="G46" s="17" t="s">
        <v>1625</v>
      </c>
      <c r="H46" s="17" t="s">
        <v>1627</v>
      </c>
      <c r="I46" s="17" t="s">
        <v>176</v>
      </c>
      <c r="J46" s="17" t="s">
        <v>1480</v>
      </c>
    </row>
    <row r="47" spans="1:10" ht="16.3">
      <c r="A47" s="50" t="s">
        <v>1480</v>
      </c>
      <c r="B47" s="50" t="s">
        <v>1480</v>
      </c>
      <c r="C47" s="17" t="s">
        <v>1629</v>
      </c>
      <c r="D47" s="17">
        <v>2</v>
      </c>
      <c r="E47" s="17" t="s">
        <v>10</v>
      </c>
      <c r="F47" s="17" t="s">
        <v>1630</v>
      </c>
      <c r="G47" s="17" t="s">
        <v>1625</v>
      </c>
      <c r="H47" s="17" t="s">
        <v>1631</v>
      </c>
      <c r="I47" s="17" t="s">
        <v>176</v>
      </c>
      <c r="J47" s="17" t="s">
        <v>1480</v>
      </c>
    </row>
    <row r="48" spans="1:10" ht="16.3">
      <c r="A48" s="50" t="s">
        <v>1480</v>
      </c>
      <c r="B48" s="50" t="s">
        <v>1480</v>
      </c>
      <c r="C48" s="17" t="s">
        <v>1632</v>
      </c>
      <c r="D48" s="17">
        <v>2</v>
      </c>
      <c r="E48" s="17" t="s">
        <v>10</v>
      </c>
      <c r="F48" s="17" t="s">
        <v>1633</v>
      </c>
      <c r="G48" s="17" t="s">
        <v>1625</v>
      </c>
      <c r="H48" s="17" t="s">
        <v>1634</v>
      </c>
      <c r="I48" s="17" t="s">
        <v>176</v>
      </c>
      <c r="J48" s="17" t="s">
        <v>1480</v>
      </c>
    </row>
    <row r="49" spans="1:10" ht="16.3">
      <c r="A49" s="50" t="s">
        <v>1480</v>
      </c>
      <c r="B49" s="50" t="s">
        <v>1480</v>
      </c>
      <c r="C49" s="17" t="s">
        <v>1635</v>
      </c>
      <c r="D49" s="17">
        <v>2</v>
      </c>
      <c r="E49" s="17" t="s">
        <v>10</v>
      </c>
      <c r="F49" s="17" t="s">
        <v>1636</v>
      </c>
      <c r="G49" s="17" t="s">
        <v>1625</v>
      </c>
      <c r="H49" s="17" t="s">
        <v>1637</v>
      </c>
      <c r="I49" s="17" t="s">
        <v>176</v>
      </c>
      <c r="J49" s="17" t="s">
        <v>1638</v>
      </c>
    </row>
    <row r="50" spans="1:10" ht="16.3">
      <c r="A50" s="50" t="s">
        <v>1639</v>
      </c>
      <c r="B50" s="50" t="s">
        <v>1640</v>
      </c>
      <c r="C50" s="17" t="s">
        <v>37</v>
      </c>
      <c r="D50" s="17">
        <v>17</v>
      </c>
      <c r="E50" s="17" t="s">
        <v>10</v>
      </c>
      <c r="F50" s="17">
        <v>1</v>
      </c>
      <c r="G50" s="17" t="s">
        <v>1480</v>
      </c>
      <c r="H50" s="17">
        <v>1</v>
      </c>
      <c r="I50" s="17" t="s">
        <v>66</v>
      </c>
      <c r="J50" s="17" t="s">
        <v>1480</v>
      </c>
    </row>
    <row r="51" spans="1:10" ht="16.3">
      <c r="A51" s="50" t="s">
        <v>1480</v>
      </c>
      <c r="B51" s="50" t="s">
        <v>1480</v>
      </c>
      <c r="C51" s="17" t="s">
        <v>1641</v>
      </c>
      <c r="D51" s="17"/>
      <c r="E51" s="17" t="s">
        <v>32</v>
      </c>
      <c r="F51" s="17">
        <v>190</v>
      </c>
      <c r="G51" s="17" t="s">
        <v>1480</v>
      </c>
      <c r="H51" s="17">
        <v>12</v>
      </c>
      <c r="I51" s="17" t="s">
        <v>180</v>
      </c>
      <c r="J51" s="17" t="s">
        <v>1480</v>
      </c>
    </row>
    <row r="52" spans="1:10" ht="32.6">
      <c r="A52" s="50" t="s">
        <v>368</v>
      </c>
      <c r="B52" s="50" t="s">
        <v>237</v>
      </c>
      <c r="C52" s="17" t="s">
        <v>1</v>
      </c>
      <c r="D52" s="17" t="s">
        <v>2</v>
      </c>
      <c r="E52" s="17" t="s">
        <v>3</v>
      </c>
      <c r="F52" s="17" t="s">
        <v>1530</v>
      </c>
      <c r="G52" s="17" t="s">
        <v>1097</v>
      </c>
      <c r="H52" s="17" t="s">
        <v>272</v>
      </c>
      <c r="I52" s="17" t="s">
        <v>238</v>
      </c>
      <c r="J52" s="17" t="s">
        <v>7</v>
      </c>
    </row>
    <row r="53" spans="1:10" ht="16.3">
      <c r="A53" s="50" t="s">
        <v>1642</v>
      </c>
      <c r="B53" s="50" t="s">
        <v>1643</v>
      </c>
      <c r="C53" s="17" t="s">
        <v>42</v>
      </c>
      <c r="D53" s="17">
        <v>22</v>
      </c>
      <c r="E53" s="17" t="s">
        <v>10</v>
      </c>
      <c r="F53" s="17" t="s">
        <v>1644</v>
      </c>
      <c r="G53" s="17" t="s">
        <v>381</v>
      </c>
      <c r="H53" s="17" t="s">
        <v>610</v>
      </c>
      <c r="I53" s="17" t="s">
        <v>176</v>
      </c>
      <c r="J53" s="17" t="s">
        <v>1480</v>
      </c>
    </row>
    <row r="54" spans="1:10" ht="16.3">
      <c r="A54" s="50" t="s">
        <v>1480</v>
      </c>
      <c r="B54" s="50" t="s">
        <v>1480</v>
      </c>
      <c r="C54" s="17" t="s">
        <v>1645</v>
      </c>
      <c r="D54" s="17"/>
      <c r="E54" s="17" t="s">
        <v>32</v>
      </c>
      <c r="F54" s="17" t="s">
        <v>1646</v>
      </c>
      <c r="G54" s="17" t="s">
        <v>381</v>
      </c>
      <c r="H54" s="17" t="s">
        <v>1552</v>
      </c>
      <c r="I54" s="17" t="s">
        <v>40</v>
      </c>
      <c r="J54" s="17" t="s">
        <v>1480</v>
      </c>
    </row>
    <row r="55" spans="1:10" ht="16.3">
      <c r="A55" s="50" t="s">
        <v>1480</v>
      </c>
      <c r="B55" s="50" t="s">
        <v>1480</v>
      </c>
      <c r="C55" s="17" t="s">
        <v>44</v>
      </c>
      <c r="D55" s="17">
        <v>10</v>
      </c>
      <c r="E55" s="17" t="s">
        <v>10</v>
      </c>
      <c r="F55" s="17" t="s">
        <v>1647</v>
      </c>
      <c r="G55" s="17" t="s">
        <v>381</v>
      </c>
      <c r="H55" s="17" t="s">
        <v>610</v>
      </c>
      <c r="I55" s="17" t="s">
        <v>176</v>
      </c>
      <c r="J55" s="17" t="s">
        <v>1480</v>
      </c>
    </row>
    <row r="56" spans="1:10" ht="16.3">
      <c r="A56" s="50" t="s">
        <v>1480</v>
      </c>
      <c r="B56" s="50" t="s">
        <v>1480</v>
      </c>
      <c r="C56" s="17" t="s">
        <v>1648</v>
      </c>
      <c r="D56" s="17"/>
      <c r="E56" s="17" t="s">
        <v>32</v>
      </c>
      <c r="F56" s="17" t="s">
        <v>1646</v>
      </c>
      <c r="G56" s="17" t="s">
        <v>381</v>
      </c>
      <c r="H56" s="17" t="s">
        <v>1552</v>
      </c>
      <c r="I56" s="17" t="s">
        <v>40</v>
      </c>
      <c r="J56" s="17" t="s">
        <v>1480</v>
      </c>
    </row>
    <row r="57" spans="1:10" ht="16.3">
      <c r="A57" s="50" t="s">
        <v>1480</v>
      </c>
      <c r="B57" s="50" t="s">
        <v>1480</v>
      </c>
      <c r="C57" s="17" t="s">
        <v>76</v>
      </c>
      <c r="D57" s="17">
        <v>10</v>
      </c>
      <c r="E57" s="17" t="s">
        <v>10</v>
      </c>
      <c r="F57" s="17" t="s">
        <v>1649</v>
      </c>
      <c r="G57" s="17" t="s">
        <v>381</v>
      </c>
      <c r="H57" s="17" t="s">
        <v>610</v>
      </c>
      <c r="I57" s="17" t="s">
        <v>176</v>
      </c>
      <c r="J57" s="17" t="s">
        <v>1650</v>
      </c>
    </row>
    <row r="58" spans="1:10" ht="16.3">
      <c r="A58" s="50" t="s">
        <v>1480</v>
      </c>
      <c r="B58" s="50" t="s">
        <v>1480</v>
      </c>
      <c r="C58" s="17" t="s">
        <v>1651</v>
      </c>
      <c r="D58" s="17"/>
      <c r="E58" s="17" t="s">
        <v>32</v>
      </c>
      <c r="F58" s="17" t="s">
        <v>1646</v>
      </c>
      <c r="G58" s="17" t="s">
        <v>381</v>
      </c>
      <c r="H58" s="17" t="s">
        <v>1552</v>
      </c>
      <c r="I58" s="17" t="s">
        <v>40</v>
      </c>
      <c r="J58" s="17" t="s">
        <v>1650</v>
      </c>
    </row>
    <row r="59" spans="1:10" ht="32.6">
      <c r="A59" s="50" t="s">
        <v>1652</v>
      </c>
      <c r="B59" s="50" t="s">
        <v>237</v>
      </c>
      <c r="C59" s="17" t="s">
        <v>1</v>
      </c>
      <c r="D59" s="17" t="s">
        <v>2</v>
      </c>
      <c r="E59" s="17" t="s">
        <v>3</v>
      </c>
      <c r="F59" s="17" t="s">
        <v>1530</v>
      </c>
      <c r="G59" s="17" t="s">
        <v>1097</v>
      </c>
      <c r="H59" s="17" t="s">
        <v>256</v>
      </c>
      <c r="I59" s="17" t="s">
        <v>238</v>
      </c>
      <c r="J59" s="17" t="s">
        <v>7</v>
      </c>
    </row>
    <row r="60" spans="1:10" ht="16.3">
      <c r="A60" s="50" t="s">
        <v>1653</v>
      </c>
      <c r="B60" s="50" t="s">
        <v>1654</v>
      </c>
      <c r="C60" s="17" t="s">
        <v>42</v>
      </c>
      <c r="D60" s="17">
        <v>15</v>
      </c>
      <c r="E60" s="17" t="s">
        <v>10</v>
      </c>
      <c r="F60" s="17" t="s">
        <v>1655</v>
      </c>
      <c r="G60" s="17" t="s">
        <v>1625</v>
      </c>
      <c r="H60" s="17" t="s">
        <v>610</v>
      </c>
      <c r="I60" s="17" t="s">
        <v>176</v>
      </c>
      <c r="J60" s="17" t="s">
        <v>1480</v>
      </c>
    </row>
    <row r="61" spans="1:10" ht="16.3">
      <c r="A61" s="50" t="s">
        <v>1480</v>
      </c>
      <c r="B61" s="50" t="s">
        <v>1480</v>
      </c>
      <c r="C61" s="17" t="s">
        <v>1480</v>
      </c>
      <c r="D61" s="17"/>
      <c r="E61" s="17" t="s">
        <v>32</v>
      </c>
      <c r="F61" s="17" t="s">
        <v>1656</v>
      </c>
      <c r="G61" s="17" t="s">
        <v>1625</v>
      </c>
      <c r="H61" s="17" t="s">
        <v>1657</v>
      </c>
      <c r="I61" s="17" t="s">
        <v>40</v>
      </c>
      <c r="J61" s="17" t="s">
        <v>1480</v>
      </c>
    </row>
    <row r="62" spans="1:10" ht="32.6">
      <c r="A62" s="50" t="s">
        <v>1480</v>
      </c>
      <c r="B62" s="50" t="s">
        <v>1480</v>
      </c>
      <c r="C62" s="17" t="s">
        <v>44</v>
      </c>
      <c r="D62" s="17">
        <v>8</v>
      </c>
      <c r="E62" s="17" t="s">
        <v>10</v>
      </c>
      <c r="F62" s="17">
        <v>1.48</v>
      </c>
      <c r="G62" s="17" t="s">
        <v>1658</v>
      </c>
      <c r="H62" s="17">
        <v>4</v>
      </c>
      <c r="I62" s="17" t="s">
        <v>30</v>
      </c>
      <c r="J62" s="17" t="s">
        <v>1480</v>
      </c>
    </row>
    <row r="63" spans="1:10" ht="32.6">
      <c r="A63" s="50" t="s">
        <v>389</v>
      </c>
      <c r="B63" s="50" t="s">
        <v>237</v>
      </c>
      <c r="C63" s="17" t="s">
        <v>1</v>
      </c>
      <c r="D63" s="17" t="s">
        <v>2</v>
      </c>
      <c r="E63" s="17" t="s">
        <v>3</v>
      </c>
      <c r="F63" s="17" t="s">
        <v>1530</v>
      </c>
      <c r="G63" s="17" t="s">
        <v>1097</v>
      </c>
      <c r="H63" s="17" t="s">
        <v>256</v>
      </c>
      <c r="I63" s="17" t="s">
        <v>238</v>
      </c>
      <c r="J63" s="17" t="s">
        <v>7</v>
      </c>
    </row>
    <row r="64" spans="1:10" ht="16.3">
      <c r="A64" s="50" t="s">
        <v>1853</v>
      </c>
      <c r="B64" s="50" t="s">
        <v>1659</v>
      </c>
      <c r="C64" s="17" t="s">
        <v>125</v>
      </c>
      <c r="D64" s="17">
        <v>21</v>
      </c>
      <c r="E64" s="17" t="s">
        <v>10</v>
      </c>
      <c r="F64" s="17" t="s">
        <v>1660</v>
      </c>
      <c r="G64" s="17" t="s">
        <v>1480</v>
      </c>
      <c r="H64" s="17" t="s">
        <v>1661</v>
      </c>
      <c r="I64" s="17" t="s">
        <v>392</v>
      </c>
      <c r="J64" s="17" t="s">
        <v>67</v>
      </c>
    </row>
    <row r="65" spans="1:10" ht="16.3">
      <c r="A65" s="50" t="s">
        <v>1480</v>
      </c>
      <c r="B65" s="50" t="s">
        <v>1480</v>
      </c>
      <c r="C65" s="17" t="s">
        <v>89</v>
      </c>
      <c r="D65" s="17"/>
      <c r="E65" s="17" t="s">
        <v>10</v>
      </c>
      <c r="F65" s="17" t="s">
        <v>1662</v>
      </c>
      <c r="G65" s="17" t="s">
        <v>1480</v>
      </c>
      <c r="H65" s="17" t="s">
        <v>1663</v>
      </c>
      <c r="I65" s="17" t="s">
        <v>392</v>
      </c>
      <c r="J65" s="17" t="s">
        <v>67</v>
      </c>
    </row>
    <row r="66" spans="1:10" ht="16.3">
      <c r="A66" s="50" t="s">
        <v>1664</v>
      </c>
      <c r="B66" s="50" t="s">
        <v>1665</v>
      </c>
      <c r="C66" s="17" t="s">
        <v>42</v>
      </c>
      <c r="D66" s="17">
        <v>10</v>
      </c>
      <c r="E66" s="17" t="s">
        <v>10</v>
      </c>
      <c r="F66" s="17" t="s">
        <v>1666</v>
      </c>
      <c r="G66" s="17" t="s">
        <v>1480</v>
      </c>
      <c r="H66" s="17" t="s">
        <v>1667</v>
      </c>
      <c r="I66" s="17" t="s">
        <v>392</v>
      </c>
      <c r="J66" s="17" t="s">
        <v>1480</v>
      </c>
    </row>
    <row r="67" spans="1:10" ht="16.3">
      <c r="A67" s="50" t="s">
        <v>1480</v>
      </c>
      <c r="B67" s="50" t="s">
        <v>1480</v>
      </c>
      <c r="C67" s="17" t="s">
        <v>44</v>
      </c>
      <c r="D67" s="17">
        <v>8</v>
      </c>
      <c r="E67" s="17" t="s">
        <v>10</v>
      </c>
      <c r="F67" s="17" t="s">
        <v>1668</v>
      </c>
      <c r="G67" s="17" t="s">
        <v>1480</v>
      </c>
      <c r="H67" s="17" t="s">
        <v>1669</v>
      </c>
      <c r="I67" s="17" t="s">
        <v>392</v>
      </c>
      <c r="J67" s="17" t="s">
        <v>1480</v>
      </c>
    </row>
    <row r="68" spans="1:10" ht="16.3">
      <c r="A68" s="50" t="s">
        <v>1480</v>
      </c>
      <c r="B68" s="50" t="s">
        <v>1480</v>
      </c>
      <c r="C68" s="17" t="s">
        <v>76</v>
      </c>
      <c r="D68" s="17">
        <v>8</v>
      </c>
      <c r="E68" s="17" t="s">
        <v>10</v>
      </c>
      <c r="F68" s="17" t="s">
        <v>1670</v>
      </c>
      <c r="G68" s="17" t="s">
        <v>1480</v>
      </c>
      <c r="H68" s="17" t="s">
        <v>1671</v>
      </c>
      <c r="I68" s="17" t="s">
        <v>392</v>
      </c>
      <c r="J68" s="17" t="s">
        <v>1480</v>
      </c>
    </row>
    <row r="69" spans="1:10" ht="32.6">
      <c r="A69" s="50" t="s">
        <v>1672</v>
      </c>
      <c r="B69" s="50" t="s">
        <v>237</v>
      </c>
      <c r="C69" s="17" t="s">
        <v>1</v>
      </c>
      <c r="D69" s="17" t="s">
        <v>2</v>
      </c>
      <c r="E69" s="17" t="s">
        <v>3</v>
      </c>
      <c r="F69" s="17" t="s">
        <v>1530</v>
      </c>
      <c r="G69" s="17" t="s">
        <v>1097</v>
      </c>
      <c r="H69" s="17" t="s">
        <v>272</v>
      </c>
      <c r="I69" s="17" t="s">
        <v>238</v>
      </c>
      <c r="J69" s="17" t="s">
        <v>7</v>
      </c>
    </row>
    <row r="70" spans="1:10" ht="16.3">
      <c r="A70" s="50" t="s">
        <v>1854</v>
      </c>
      <c r="B70" s="50" t="s">
        <v>1855</v>
      </c>
      <c r="C70" s="17" t="s">
        <v>125</v>
      </c>
      <c r="D70" s="17">
        <v>18</v>
      </c>
      <c r="E70" s="17" t="s">
        <v>10</v>
      </c>
      <c r="F70" s="17">
        <v>1.69</v>
      </c>
      <c r="G70" s="17"/>
      <c r="H70" s="17">
        <v>4</v>
      </c>
      <c r="I70" s="17" t="s">
        <v>176</v>
      </c>
      <c r="J70" s="17"/>
    </row>
    <row r="71" spans="1:10" ht="16.3">
      <c r="A71" s="50"/>
      <c r="B71" s="50"/>
      <c r="C71" s="17" t="s">
        <v>89</v>
      </c>
      <c r="D71" s="17"/>
      <c r="E71" s="17" t="s">
        <v>10</v>
      </c>
      <c r="F71" s="17" t="s">
        <v>1858</v>
      </c>
      <c r="G71" s="17"/>
      <c r="H71" s="17" t="s">
        <v>1859</v>
      </c>
      <c r="I71" s="17" t="s">
        <v>176</v>
      </c>
      <c r="J71" s="17"/>
    </row>
    <row r="72" spans="1:10" ht="16.3">
      <c r="A72" s="50" t="s">
        <v>1673</v>
      </c>
      <c r="B72" s="50" t="s">
        <v>1674</v>
      </c>
      <c r="C72" s="17" t="s">
        <v>1480</v>
      </c>
      <c r="D72" s="17">
        <v>8</v>
      </c>
      <c r="E72" s="17" t="s">
        <v>10</v>
      </c>
      <c r="F72" s="17" t="s">
        <v>1675</v>
      </c>
      <c r="G72" s="17" t="s">
        <v>1480</v>
      </c>
      <c r="H72" s="17" t="s">
        <v>610</v>
      </c>
      <c r="I72" s="17" t="s">
        <v>176</v>
      </c>
      <c r="J72" s="17" t="s">
        <v>1676</v>
      </c>
    </row>
    <row r="73" spans="1:10" ht="32.6">
      <c r="A73" s="50" t="s">
        <v>407</v>
      </c>
      <c r="B73" s="50" t="s">
        <v>237</v>
      </c>
      <c r="C73" s="17" t="s">
        <v>1</v>
      </c>
      <c r="D73" s="17" t="s">
        <v>2</v>
      </c>
      <c r="E73" s="17" t="s">
        <v>3</v>
      </c>
      <c r="F73" s="17" t="s">
        <v>1530</v>
      </c>
      <c r="G73" s="17" t="s">
        <v>1097</v>
      </c>
      <c r="H73" s="17" t="s">
        <v>256</v>
      </c>
      <c r="I73" s="17" t="s">
        <v>238</v>
      </c>
      <c r="J73" s="17" t="s">
        <v>7</v>
      </c>
    </row>
    <row r="74" spans="1:10" ht="32.6">
      <c r="A74" s="50" t="s">
        <v>1677</v>
      </c>
      <c r="B74" s="50" t="s">
        <v>1678</v>
      </c>
      <c r="C74" s="17" t="s">
        <v>1679</v>
      </c>
      <c r="D74" s="17">
        <v>28</v>
      </c>
      <c r="E74" s="17" t="s">
        <v>10</v>
      </c>
      <c r="F74" s="17" t="s">
        <v>1680</v>
      </c>
      <c r="G74" s="17" t="s">
        <v>1480</v>
      </c>
      <c r="H74" s="17" t="s">
        <v>1681</v>
      </c>
      <c r="I74" s="17" t="s">
        <v>367</v>
      </c>
      <c r="J74" s="17" t="s">
        <v>1866</v>
      </c>
    </row>
    <row r="75" spans="1:10" ht="16.3">
      <c r="A75" s="50" t="s">
        <v>1480</v>
      </c>
      <c r="B75" s="50" t="s">
        <v>1480</v>
      </c>
      <c r="C75" s="17" t="s">
        <v>1682</v>
      </c>
      <c r="D75" s="17"/>
      <c r="E75" s="17" t="s">
        <v>10</v>
      </c>
      <c r="F75" s="17" t="s">
        <v>1681</v>
      </c>
      <c r="G75" s="17" t="s">
        <v>1480</v>
      </c>
      <c r="H75" s="17" t="s">
        <v>1681</v>
      </c>
      <c r="I75" s="17" t="s">
        <v>367</v>
      </c>
      <c r="J75" s="17" t="s">
        <v>1480</v>
      </c>
    </row>
    <row r="76" spans="1:10" ht="16.3">
      <c r="A76" s="50" t="s">
        <v>1480</v>
      </c>
      <c r="B76" s="50" t="s">
        <v>1480</v>
      </c>
      <c r="C76" s="17" t="s">
        <v>1683</v>
      </c>
      <c r="D76" s="17"/>
      <c r="E76" s="17" t="s">
        <v>32</v>
      </c>
      <c r="F76" s="17" t="s">
        <v>1684</v>
      </c>
      <c r="G76" s="17" t="s">
        <v>1480</v>
      </c>
      <c r="H76" s="17" t="s">
        <v>1685</v>
      </c>
      <c r="I76" s="17" t="s">
        <v>180</v>
      </c>
      <c r="J76" s="17" t="s">
        <v>1686</v>
      </c>
    </row>
    <row r="77" spans="1:10" ht="16.3">
      <c r="A77" s="50" t="s">
        <v>1480</v>
      </c>
      <c r="B77" s="50" t="s">
        <v>1480</v>
      </c>
      <c r="C77" s="17" t="s">
        <v>1687</v>
      </c>
      <c r="D77" s="17"/>
      <c r="E77" s="17" t="s">
        <v>10</v>
      </c>
      <c r="F77" s="17" t="s">
        <v>1688</v>
      </c>
      <c r="G77" s="17" t="s">
        <v>1480</v>
      </c>
      <c r="H77" s="17" t="s">
        <v>1689</v>
      </c>
      <c r="I77" s="17" t="s">
        <v>367</v>
      </c>
      <c r="J77" s="17" t="s">
        <v>1480</v>
      </c>
    </row>
    <row r="78" spans="1:10" ht="16.3">
      <c r="A78" s="50" t="s">
        <v>1480</v>
      </c>
      <c r="B78" s="50" t="s">
        <v>1480</v>
      </c>
      <c r="C78" s="17" t="s">
        <v>1690</v>
      </c>
      <c r="D78" s="17"/>
      <c r="E78" s="17" t="s">
        <v>32</v>
      </c>
      <c r="F78" s="17" t="s">
        <v>1691</v>
      </c>
      <c r="G78" s="17" t="s">
        <v>1480</v>
      </c>
      <c r="H78" s="17" t="s">
        <v>1692</v>
      </c>
      <c r="I78" s="17" t="s">
        <v>180</v>
      </c>
      <c r="J78" s="17" t="s">
        <v>1686</v>
      </c>
    </row>
    <row r="79" spans="1:10" ht="32.6">
      <c r="A79" s="50" t="s">
        <v>456</v>
      </c>
      <c r="B79" s="50" t="s">
        <v>237</v>
      </c>
      <c r="C79" s="17" t="s">
        <v>1</v>
      </c>
      <c r="D79" s="17" t="s">
        <v>2</v>
      </c>
      <c r="E79" s="17" t="s">
        <v>3</v>
      </c>
      <c r="F79" s="17" t="s">
        <v>1530</v>
      </c>
      <c r="G79" s="17" t="s">
        <v>1097</v>
      </c>
      <c r="H79" s="17" t="s">
        <v>256</v>
      </c>
      <c r="I79" s="17" t="s">
        <v>238</v>
      </c>
      <c r="J79" s="17" t="s">
        <v>7</v>
      </c>
    </row>
    <row r="80" spans="1:10" ht="16.3">
      <c r="A80" s="50" t="s">
        <v>1693</v>
      </c>
      <c r="B80" s="50" t="s">
        <v>1694</v>
      </c>
      <c r="C80" s="17" t="s">
        <v>1480</v>
      </c>
      <c r="D80" s="17">
        <v>14</v>
      </c>
      <c r="E80" s="17" t="s">
        <v>32</v>
      </c>
      <c r="F80" s="17" t="s">
        <v>1695</v>
      </c>
      <c r="G80" s="17" t="s">
        <v>1480</v>
      </c>
      <c r="H80" s="17">
        <v>0</v>
      </c>
      <c r="I80" s="17" t="s">
        <v>148</v>
      </c>
      <c r="J80" s="17" t="s">
        <v>1480</v>
      </c>
    </row>
    <row r="81" spans="1:10" ht="16.3">
      <c r="A81" s="50" t="s">
        <v>1696</v>
      </c>
      <c r="B81" s="50" t="s">
        <v>1697</v>
      </c>
      <c r="C81" s="17" t="s">
        <v>1480</v>
      </c>
      <c r="D81" s="17">
        <v>8</v>
      </c>
      <c r="E81" s="17" t="s">
        <v>32</v>
      </c>
      <c r="F81" s="17">
        <v>50</v>
      </c>
      <c r="G81" s="17" t="s">
        <v>864</v>
      </c>
      <c r="H81" s="17">
        <v>0</v>
      </c>
      <c r="I81" s="17" t="s">
        <v>172</v>
      </c>
      <c r="J81" s="17" t="s">
        <v>1480</v>
      </c>
    </row>
    <row r="82" spans="1:10" ht="16.3">
      <c r="A82" s="50" t="s">
        <v>1480</v>
      </c>
      <c r="B82" s="50" t="s">
        <v>1480</v>
      </c>
      <c r="C82" s="17" t="s">
        <v>9</v>
      </c>
      <c r="D82" s="17">
        <v>10</v>
      </c>
      <c r="E82" s="17" t="s">
        <v>10</v>
      </c>
      <c r="F82" s="17" t="s">
        <v>1361</v>
      </c>
      <c r="G82" s="17" t="s">
        <v>864</v>
      </c>
      <c r="H82" s="17" t="s">
        <v>1698</v>
      </c>
      <c r="I82" s="17" t="s">
        <v>178</v>
      </c>
      <c r="J82" s="17" t="s">
        <v>1480</v>
      </c>
    </row>
    <row r="83" spans="1:10" ht="32.6">
      <c r="A83" s="50" t="s">
        <v>463</v>
      </c>
      <c r="B83" s="50" t="s">
        <v>237</v>
      </c>
      <c r="C83" s="17" t="s">
        <v>1</v>
      </c>
      <c r="D83" s="17" t="s">
        <v>2</v>
      </c>
      <c r="E83" s="17" t="s">
        <v>3</v>
      </c>
      <c r="F83" s="17" t="s">
        <v>1530</v>
      </c>
      <c r="G83" s="17" t="s">
        <v>1097</v>
      </c>
      <c r="H83" s="17" t="s">
        <v>272</v>
      </c>
      <c r="I83" s="17" t="s">
        <v>238</v>
      </c>
      <c r="J83" s="17" t="s">
        <v>7</v>
      </c>
    </row>
    <row r="84" spans="1:10" ht="48.9">
      <c r="A84" s="50" t="s">
        <v>1699</v>
      </c>
      <c r="B84" s="50" t="s">
        <v>1700</v>
      </c>
      <c r="C84" s="17" t="s">
        <v>1480</v>
      </c>
      <c r="D84" s="17">
        <v>16</v>
      </c>
      <c r="E84" s="17" t="s">
        <v>52</v>
      </c>
      <c r="F84" s="17" t="s">
        <v>1701</v>
      </c>
      <c r="G84" s="17" t="s">
        <v>1480</v>
      </c>
      <c r="H84" s="17" t="s">
        <v>56</v>
      </c>
      <c r="I84" s="17" t="s">
        <v>56</v>
      </c>
      <c r="J84" s="17" t="s">
        <v>1480</v>
      </c>
    </row>
    <row r="85" spans="1:10" ht="16.3">
      <c r="A85" s="50" t="s">
        <v>1702</v>
      </c>
      <c r="B85" s="50" t="s">
        <v>1703</v>
      </c>
      <c r="C85" s="17" t="s">
        <v>1480</v>
      </c>
      <c r="D85" s="17">
        <v>8</v>
      </c>
      <c r="E85" s="17" t="s">
        <v>32</v>
      </c>
      <c r="F85" s="17">
        <v>50</v>
      </c>
      <c r="G85" s="17" t="s">
        <v>864</v>
      </c>
      <c r="H85" s="17">
        <v>0</v>
      </c>
      <c r="I85" s="17" t="s">
        <v>172</v>
      </c>
      <c r="J85" s="17" t="s">
        <v>1480</v>
      </c>
    </row>
    <row r="86" spans="1:10" ht="16.3">
      <c r="A86" s="50" t="s">
        <v>1480</v>
      </c>
      <c r="B86" s="50" t="s">
        <v>1480</v>
      </c>
      <c r="C86" s="17" t="s">
        <v>9</v>
      </c>
      <c r="D86" s="17">
        <v>13</v>
      </c>
      <c r="E86" s="17" t="s">
        <v>10</v>
      </c>
      <c r="F86" s="17">
        <v>1.8</v>
      </c>
      <c r="G86" s="17" t="s">
        <v>864</v>
      </c>
      <c r="H86" s="17">
        <v>4</v>
      </c>
      <c r="I86" s="17" t="s">
        <v>178</v>
      </c>
      <c r="J86" s="17" t="s">
        <v>1480</v>
      </c>
    </row>
    <row r="87" spans="1:10" ht="16.3">
      <c r="A87" s="50" t="s">
        <v>1480</v>
      </c>
      <c r="B87" s="50" t="s">
        <v>1480</v>
      </c>
      <c r="C87" s="17" t="s">
        <v>171</v>
      </c>
      <c r="D87" s="17"/>
      <c r="E87" s="17" t="s">
        <v>32</v>
      </c>
      <c r="F87" s="17">
        <v>90</v>
      </c>
      <c r="G87" s="17" t="s">
        <v>864</v>
      </c>
      <c r="H87" s="17">
        <v>10</v>
      </c>
      <c r="I87" s="17" t="s">
        <v>172</v>
      </c>
      <c r="J87" s="17" t="s">
        <v>1480</v>
      </c>
    </row>
    <row r="88" spans="1:10" ht="16.3">
      <c r="A88" s="50" t="s">
        <v>1704</v>
      </c>
      <c r="B88" s="50" t="s">
        <v>1705</v>
      </c>
      <c r="C88" s="17" t="s">
        <v>184</v>
      </c>
      <c r="D88" s="17">
        <v>12</v>
      </c>
      <c r="E88" s="17" t="s">
        <v>10</v>
      </c>
      <c r="F88" s="17">
        <v>1.63</v>
      </c>
      <c r="G88" s="17" t="s">
        <v>1480</v>
      </c>
      <c r="H88" s="17">
        <v>3</v>
      </c>
      <c r="I88" s="17" t="s">
        <v>176</v>
      </c>
      <c r="J88" s="17" t="s">
        <v>1480</v>
      </c>
    </row>
    <row r="89" spans="1:10" ht="16.3">
      <c r="A89" s="50" t="s">
        <v>1480</v>
      </c>
      <c r="B89" s="50" t="s">
        <v>1480</v>
      </c>
      <c r="C89" s="17" t="s">
        <v>44</v>
      </c>
      <c r="D89" s="17">
        <v>7</v>
      </c>
      <c r="E89" s="17" t="s">
        <v>10</v>
      </c>
      <c r="F89" s="17" t="s">
        <v>1706</v>
      </c>
      <c r="G89" s="17" t="s">
        <v>1480</v>
      </c>
      <c r="H89" s="17" t="s">
        <v>1707</v>
      </c>
      <c r="I89" s="17" t="s">
        <v>176</v>
      </c>
      <c r="J89" s="17" t="s">
        <v>1480</v>
      </c>
    </row>
    <row r="90" spans="1:10" ht="16.3">
      <c r="A90" s="50" t="s">
        <v>1480</v>
      </c>
      <c r="B90" s="50" t="s">
        <v>1480</v>
      </c>
      <c r="C90" s="17" t="s">
        <v>9</v>
      </c>
      <c r="D90" s="17">
        <v>7</v>
      </c>
      <c r="E90" s="17" t="s">
        <v>10</v>
      </c>
      <c r="F90" s="17" t="s">
        <v>1708</v>
      </c>
      <c r="G90" s="17" t="s">
        <v>1480</v>
      </c>
      <c r="H90" s="17" t="s">
        <v>1709</v>
      </c>
      <c r="I90" s="17" t="s">
        <v>176</v>
      </c>
      <c r="J90" s="17" t="s">
        <v>1480</v>
      </c>
    </row>
    <row r="91" spans="1:10" ht="32.6">
      <c r="A91" s="50" t="s">
        <v>412</v>
      </c>
      <c r="B91" s="50" t="s">
        <v>237</v>
      </c>
      <c r="C91" s="17" t="s">
        <v>1</v>
      </c>
      <c r="D91" s="17" t="s">
        <v>2</v>
      </c>
      <c r="E91" s="17" t="s">
        <v>3</v>
      </c>
      <c r="F91" s="17" t="s">
        <v>1530</v>
      </c>
      <c r="G91" s="17" t="s">
        <v>1097</v>
      </c>
      <c r="H91" s="17" t="s">
        <v>413</v>
      </c>
      <c r="I91" s="17" t="s">
        <v>238</v>
      </c>
      <c r="J91" s="17" t="s">
        <v>7</v>
      </c>
    </row>
    <row r="92" spans="1:10" ht="32.6">
      <c r="A92" s="50" t="s">
        <v>1710</v>
      </c>
      <c r="B92" s="50" t="s">
        <v>1711</v>
      </c>
      <c r="C92" s="17" t="s">
        <v>125</v>
      </c>
      <c r="D92" s="17">
        <v>18</v>
      </c>
      <c r="E92" s="17" t="s">
        <v>32</v>
      </c>
      <c r="F92" s="17">
        <v>104</v>
      </c>
      <c r="G92" s="17" t="s">
        <v>1480</v>
      </c>
      <c r="H92" s="17">
        <v>5</v>
      </c>
      <c r="I92" s="17" t="s">
        <v>172</v>
      </c>
      <c r="J92" s="17" t="s">
        <v>1712</v>
      </c>
    </row>
    <row r="93" spans="1:10" ht="16.3">
      <c r="A93" s="50" t="s">
        <v>1480</v>
      </c>
      <c r="B93" s="50" t="s">
        <v>1480</v>
      </c>
      <c r="C93" s="17" t="s">
        <v>89</v>
      </c>
      <c r="D93" s="17"/>
      <c r="E93" s="17" t="s">
        <v>32</v>
      </c>
      <c r="F93" s="17">
        <v>137</v>
      </c>
      <c r="G93" s="17" t="s">
        <v>1480</v>
      </c>
      <c r="H93" s="17">
        <v>5</v>
      </c>
      <c r="I93" s="17" t="s">
        <v>172</v>
      </c>
      <c r="J93" s="17" t="s">
        <v>84</v>
      </c>
    </row>
    <row r="94" spans="1:10" ht="32.6">
      <c r="A94" s="50" t="s">
        <v>444</v>
      </c>
      <c r="B94" s="50" t="s">
        <v>237</v>
      </c>
      <c r="C94" s="17" t="s">
        <v>1</v>
      </c>
      <c r="D94" s="17" t="s">
        <v>2</v>
      </c>
      <c r="E94" s="17" t="s">
        <v>3</v>
      </c>
      <c r="F94" s="17" t="s">
        <v>1530</v>
      </c>
      <c r="G94" s="17" t="s">
        <v>1097</v>
      </c>
      <c r="H94" s="17" t="s">
        <v>318</v>
      </c>
      <c r="I94" s="17" t="s">
        <v>238</v>
      </c>
      <c r="J94" s="17" t="s">
        <v>7</v>
      </c>
    </row>
    <row r="95" spans="1:10" ht="32.6">
      <c r="A95" s="50" t="s">
        <v>1713</v>
      </c>
      <c r="B95" s="50" t="s">
        <v>1714</v>
      </c>
      <c r="C95" s="17" t="s">
        <v>1480</v>
      </c>
      <c r="D95" s="17">
        <v>8</v>
      </c>
      <c r="E95" s="17" t="s">
        <v>52</v>
      </c>
      <c r="F95" s="17" t="s">
        <v>1715</v>
      </c>
      <c r="G95" s="17" t="s">
        <v>1480</v>
      </c>
      <c r="H95" s="17" t="s">
        <v>56</v>
      </c>
      <c r="I95" s="17" t="s">
        <v>56</v>
      </c>
      <c r="J95" s="17" t="s">
        <v>1716</v>
      </c>
    </row>
    <row r="96" spans="1:10" ht="32.6">
      <c r="A96" s="50" t="s">
        <v>1480</v>
      </c>
      <c r="B96" s="50" t="s">
        <v>1480</v>
      </c>
      <c r="C96" s="17" t="s">
        <v>1717</v>
      </c>
      <c r="D96" s="17">
        <v>0</v>
      </c>
      <c r="E96" s="17" t="s">
        <v>32</v>
      </c>
      <c r="F96" s="17">
        <v>75</v>
      </c>
      <c r="G96" s="17" t="s">
        <v>1480</v>
      </c>
      <c r="H96" s="17">
        <v>7</v>
      </c>
      <c r="I96" s="17" t="s">
        <v>1480</v>
      </c>
      <c r="J96" s="17" t="s">
        <v>1480</v>
      </c>
    </row>
    <row r="97" spans="1:10" ht="16.3">
      <c r="A97" s="50" t="s">
        <v>1480</v>
      </c>
      <c r="B97" s="50" t="s">
        <v>1480</v>
      </c>
      <c r="C97" s="17" t="s">
        <v>1718</v>
      </c>
      <c r="D97" s="17">
        <v>0</v>
      </c>
      <c r="E97" s="17" t="s">
        <v>32</v>
      </c>
      <c r="F97" s="17">
        <v>117</v>
      </c>
      <c r="G97" s="17" t="s">
        <v>1480</v>
      </c>
      <c r="H97" s="17">
        <v>12</v>
      </c>
      <c r="I97" s="17" t="s">
        <v>1480</v>
      </c>
      <c r="J97" s="17" t="s">
        <v>1395</v>
      </c>
    </row>
    <row r="98" spans="1:10" ht="32.6">
      <c r="A98" s="50" t="s">
        <v>535</v>
      </c>
      <c r="B98" s="50" t="s">
        <v>237</v>
      </c>
      <c r="C98" s="17" t="s">
        <v>1</v>
      </c>
      <c r="D98" s="17" t="s">
        <v>2</v>
      </c>
      <c r="E98" s="17" t="s">
        <v>3</v>
      </c>
      <c r="F98" s="17" t="s">
        <v>1530</v>
      </c>
      <c r="G98" s="17" t="s">
        <v>1097</v>
      </c>
      <c r="H98" s="17" t="s">
        <v>1719</v>
      </c>
      <c r="I98" s="17" t="s">
        <v>238</v>
      </c>
      <c r="J98" s="17" t="s">
        <v>7</v>
      </c>
    </row>
    <row r="99" spans="1:10" ht="32.6">
      <c r="A99" s="50" t="s">
        <v>1720</v>
      </c>
      <c r="B99" s="50" t="s">
        <v>1721</v>
      </c>
      <c r="C99" s="17" t="s">
        <v>1480</v>
      </c>
      <c r="D99" s="17">
        <v>18</v>
      </c>
      <c r="E99" s="17" t="s">
        <v>10</v>
      </c>
      <c r="F99" s="17" t="s">
        <v>1722</v>
      </c>
      <c r="G99" s="17" t="s">
        <v>1480</v>
      </c>
      <c r="H99" s="17" t="s">
        <v>422</v>
      </c>
      <c r="I99" s="17" t="s">
        <v>1723</v>
      </c>
      <c r="J99" s="17" t="s">
        <v>1480</v>
      </c>
    </row>
    <row r="100" spans="1:10" ht="16.3">
      <c r="A100" s="50" t="s">
        <v>1724</v>
      </c>
      <c r="B100" s="50" t="s">
        <v>1725</v>
      </c>
      <c r="C100" s="17" t="s">
        <v>125</v>
      </c>
      <c r="D100" s="17">
        <v>16</v>
      </c>
      <c r="E100" s="17" t="s">
        <v>10</v>
      </c>
      <c r="F100" s="17" t="s">
        <v>1726</v>
      </c>
      <c r="G100" s="17" t="s">
        <v>1480</v>
      </c>
      <c r="H100" s="17" t="s">
        <v>1727</v>
      </c>
      <c r="I100" s="17" t="s">
        <v>426</v>
      </c>
      <c r="J100" s="17" t="s">
        <v>1480</v>
      </c>
    </row>
    <row r="101" spans="1:10" ht="16.3">
      <c r="A101" s="50" t="s">
        <v>1480</v>
      </c>
      <c r="B101" s="50" t="s">
        <v>1480</v>
      </c>
      <c r="C101" s="17" t="s">
        <v>89</v>
      </c>
      <c r="D101" s="17"/>
      <c r="E101" s="17" t="s">
        <v>10</v>
      </c>
      <c r="F101" s="17" t="s">
        <v>1728</v>
      </c>
      <c r="G101" s="17" t="s">
        <v>1480</v>
      </c>
      <c r="H101" s="17" t="s">
        <v>1729</v>
      </c>
      <c r="I101" s="17" t="s">
        <v>426</v>
      </c>
      <c r="J101" s="17" t="s">
        <v>1480</v>
      </c>
    </row>
    <row r="102" spans="1:10" ht="16.3">
      <c r="A102" s="50" t="s">
        <v>1730</v>
      </c>
      <c r="B102" s="50" t="s">
        <v>1731</v>
      </c>
      <c r="C102" s="17" t="s">
        <v>42</v>
      </c>
      <c r="D102" s="17">
        <v>16</v>
      </c>
      <c r="E102" s="17" t="s">
        <v>10</v>
      </c>
      <c r="F102" s="17">
        <v>2.0099999999999998</v>
      </c>
      <c r="G102" s="17" t="s">
        <v>1480</v>
      </c>
      <c r="H102" s="17">
        <v>2.8</v>
      </c>
      <c r="I102" s="17" t="s">
        <v>426</v>
      </c>
      <c r="J102" s="17" t="s">
        <v>1480</v>
      </c>
    </row>
    <row r="103" spans="1:10" ht="16.3">
      <c r="A103" s="50" t="s">
        <v>1480</v>
      </c>
      <c r="B103" s="50" t="s">
        <v>1480</v>
      </c>
      <c r="C103" s="17" t="s">
        <v>44</v>
      </c>
      <c r="D103" s="17">
        <v>8</v>
      </c>
      <c r="E103" s="17" t="s">
        <v>10</v>
      </c>
      <c r="F103" s="17" t="s">
        <v>1732</v>
      </c>
      <c r="G103" s="17" t="s">
        <v>1480</v>
      </c>
      <c r="H103" s="17" t="s">
        <v>610</v>
      </c>
      <c r="I103" s="17" t="s">
        <v>426</v>
      </c>
      <c r="J103" s="17" t="s">
        <v>1480</v>
      </c>
    </row>
    <row r="104" spans="1:10" ht="32.6">
      <c r="A104" s="50" t="s">
        <v>1480</v>
      </c>
      <c r="B104" s="50" t="s">
        <v>1480</v>
      </c>
      <c r="C104" s="17" t="s">
        <v>76</v>
      </c>
      <c r="D104" s="17">
        <v>8</v>
      </c>
      <c r="E104" s="17" t="s">
        <v>10</v>
      </c>
      <c r="F104" s="17">
        <v>2.1</v>
      </c>
      <c r="G104" s="17" t="s">
        <v>1480</v>
      </c>
      <c r="H104" s="17">
        <v>4</v>
      </c>
      <c r="I104" s="17" t="s">
        <v>426</v>
      </c>
      <c r="J104" s="17" t="s">
        <v>1733</v>
      </c>
    </row>
    <row r="105" spans="1:10" ht="16.3">
      <c r="A105" s="50" t="s">
        <v>1734</v>
      </c>
      <c r="B105" s="50" t="s">
        <v>1735</v>
      </c>
      <c r="C105" s="17" t="s">
        <v>152</v>
      </c>
      <c r="D105" s="17">
        <v>31</v>
      </c>
      <c r="E105" s="17" t="s">
        <v>10</v>
      </c>
      <c r="F105" s="17">
        <v>0.8</v>
      </c>
      <c r="G105" s="17" t="s">
        <v>1480</v>
      </c>
      <c r="H105" s="17">
        <v>1</v>
      </c>
      <c r="I105" s="17" t="s">
        <v>454</v>
      </c>
      <c r="J105" s="17" t="s">
        <v>1480</v>
      </c>
    </row>
    <row r="106" spans="1:10" ht="16.3">
      <c r="A106" s="50" t="s">
        <v>1480</v>
      </c>
      <c r="B106" s="50" t="s">
        <v>1480</v>
      </c>
      <c r="C106" s="17" t="s">
        <v>1736</v>
      </c>
      <c r="D106" s="17"/>
      <c r="E106" s="17" t="s">
        <v>10</v>
      </c>
      <c r="F106" s="17">
        <v>0.66</v>
      </c>
      <c r="G106" s="17" t="s">
        <v>1480</v>
      </c>
      <c r="H106" s="17">
        <v>1</v>
      </c>
      <c r="I106" s="17" t="s">
        <v>454</v>
      </c>
      <c r="J106" s="17" t="s">
        <v>1480</v>
      </c>
    </row>
    <row r="107" spans="1:10" ht="16.3">
      <c r="A107" s="50" t="s">
        <v>1480</v>
      </c>
      <c r="B107" s="50" t="s">
        <v>1480</v>
      </c>
      <c r="C107" s="17" t="s">
        <v>1737</v>
      </c>
      <c r="D107" s="17"/>
      <c r="E107" s="17" t="s">
        <v>32</v>
      </c>
      <c r="F107" s="17">
        <v>220</v>
      </c>
      <c r="G107" s="17" t="s">
        <v>1480</v>
      </c>
      <c r="H107" s="18">
        <v>1</v>
      </c>
      <c r="I107" s="17" t="s">
        <v>180</v>
      </c>
      <c r="J107" s="17" t="s">
        <v>1480</v>
      </c>
    </row>
    <row r="108" spans="1:10" ht="16.3">
      <c r="A108" s="50" t="s">
        <v>1480</v>
      </c>
      <c r="B108" s="50" t="s">
        <v>1480</v>
      </c>
      <c r="C108" s="17" t="s">
        <v>1738</v>
      </c>
      <c r="D108" s="17"/>
      <c r="E108" s="17" t="s">
        <v>10</v>
      </c>
      <c r="F108" s="17">
        <v>0.87</v>
      </c>
      <c r="G108" s="17" t="s">
        <v>1480</v>
      </c>
      <c r="H108" s="17">
        <v>1</v>
      </c>
      <c r="I108" s="17" t="s">
        <v>454</v>
      </c>
      <c r="J108" s="17" t="s">
        <v>1480</v>
      </c>
    </row>
    <row r="109" spans="1:10" ht="16.3">
      <c r="A109" s="50" t="s">
        <v>1480</v>
      </c>
      <c r="B109" s="50" t="s">
        <v>1480</v>
      </c>
      <c r="C109" s="17" t="s">
        <v>1739</v>
      </c>
      <c r="D109" s="17"/>
      <c r="E109" s="17" t="s">
        <v>32</v>
      </c>
      <c r="F109" s="17">
        <v>320</v>
      </c>
      <c r="G109" s="17" t="s">
        <v>1480</v>
      </c>
      <c r="H109" s="18">
        <v>1</v>
      </c>
      <c r="I109" s="17" t="s">
        <v>180</v>
      </c>
      <c r="J109" s="17" t="s">
        <v>1480</v>
      </c>
    </row>
    <row r="110" spans="1:10" ht="32.6">
      <c r="A110" s="50" t="s">
        <v>484</v>
      </c>
      <c r="B110" s="50" t="s">
        <v>237</v>
      </c>
      <c r="C110" s="17" t="s">
        <v>1</v>
      </c>
      <c r="D110" s="17" t="s">
        <v>2</v>
      </c>
      <c r="E110" s="17" t="s">
        <v>3</v>
      </c>
      <c r="F110" s="17" t="s">
        <v>1530</v>
      </c>
      <c r="G110" s="17" t="s">
        <v>1480</v>
      </c>
      <c r="H110" s="17" t="s">
        <v>272</v>
      </c>
      <c r="I110" s="17" t="s">
        <v>238</v>
      </c>
      <c r="J110" s="17" t="s">
        <v>7</v>
      </c>
    </row>
    <row r="111" spans="1:10" ht="16.3">
      <c r="A111" s="50" t="s">
        <v>1740</v>
      </c>
      <c r="B111" s="50" t="s">
        <v>1741</v>
      </c>
      <c r="C111" s="17" t="s">
        <v>1480</v>
      </c>
      <c r="D111" s="17">
        <v>6</v>
      </c>
      <c r="E111" s="17" t="s">
        <v>32</v>
      </c>
      <c r="F111" s="17" t="s">
        <v>1742</v>
      </c>
      <c r="G111" s="17" t="s">
        <v>1480</v>
      </c>
      <c r="H111" s="17" t="s">
        <v>1743</v>
      </c>
      <c r="I111" s="17" t="s">
        <v>180</v>
      </c>
      <c r="J111" s="17" t="s">
        <v>1744</v>
      </c>
    </row>
    <row r="112" spans="1:10" ht="16.3">
      <c r="A112" s="50" t="s">
        <v>1745</v>
      </c>
      <c r="B112" s="50" t="s">
        <v>1746</v>
      </c>
      <c r="C112" s="17" t="s">
        <v>385</v>
      </c>
      <c r="D112" s="17" t="s">
        <v>386</v>
      </c>
      <c r="E112" s="17" t="s">
        <v>32</v>
      </c>
      <c r="F112" s="17" t="s">
        <v>1747</v>
      </c>
      <c r="G112" s="17" t="s">
        <v>1480</v>
      </c>
      <c r="H112" s="17" t="s">
        <v>1748</v>
      </c>
      <c r="I112" s="17" t="s">
        <v>148</v>
      </c>
      <c r="J112" s="17" t="s">
        <v>67</v>
      </c>
    </row>
    <row r="113" spans="1:10" ht="16.3">
      <c r="A113" s="50" t="s">
        <v>1480</v>
      </c>
      <c r="B113" s="50" t="s">
        <v>1480</v>
      </c>
      <c r="C113" s="17" t="s">
        <v>76</v>
      </c>
      <c r="D113" s="17">
        <v>20</v>
      </c>
      <c r="E113" s="17" t="s">
        <v>32</v>
      </c>
      <c r="F113" s="17" t="s">
        <v>1749</v>
      </c>
      <c r="G113" s="17" t="s">
        <v>1480</v>
      </c>
      <c r="H113" s="17" t="s">
        <v>1750</v>
      </c>
      <c r="I113" s="17" t="s">
        <v>148</v>
      </c>
      <c r="J113" s="17" t="s">
        <v>67</v>
      </c>
    </row>
    <row r="114" spans="1:10" ht="16.3">
      <c r="A114" s="50" t="s">
        <v>1751</v>
      </c>
      <c r="B114" s="50" t="s">
        <v>1752</v>
      </c>
      <c r="C114" s="17" t="s">
        <v>112</v>
      </c>
      <c r="D114" s="17">
        <v>15</v>
      </c>
      <c r="E114" s="17" t="s">
        <v>10</v>
      </c>
      <c r="F114" s="17">
        <v>0.62</v>
      </c>
      <c r="G114" s="17" t="s">
        <v>1421</v>
      </c>
      <c r="H114" s="17">
        <v>0.5</v>
      </c>
      <c r="I114" s="17" t="s">
        <v>499</v>
      </c>
      <c r="J114" s="17" t="s">
        <v>1480</v>
      </c>
    </row>
    <row r="115" spans="1:10" ht="16.3">
      <c r="A115" s="50" t="s">
        <v>1480</v>
      </c>
      <c r="B115" s="50" t="s">
        <v>1480</v>
      </c>
      <c r="C115" s="17" t="s">
        <v>1753</v>
      </c>
      <c r="D115" s="17"/>
      <c r="E115" s="17" t="s">
        <v>32</v>
      </c>
      <c r="F115" s="17">
        <v>160</v>
      </c>
      <c r="G115" s="17" t="s">
        <v>1421</v>
      </c>
      <c r="H115" s="17">
        <v>7</v>
      </c>
      <c r="I115" s="17" t="s">
        <v>499</v>
      </c>
      <c r="J115" s="17" t="s">
        <v>1480</v>
      </c>
    </row>
    <row r="116" spans="1:10" ht="16.3">
      <c r="A116" s="50" t="s">
        <v>1480</v>
      </c>
      <c r="B116" s="50" t="s">
        <v>1480</v>
      </c>
      <c r="C116" s="17" t="s">
        <v>44</v>
      </c>
      <c r="D116" s="17">
        <v>9</v>
      </c>
      <c r="E116" s="17" t="s">
        <v>10</v>
      </c>
      <c r="F116" s="17" t="s">
        <v>1754</v>
      </c>
      <c r="G116" s="17" t="s">
        <v>1421</v>
      </c>
      <c r="H116" s="17" t="s">
        <v>1755</v>
      </c>
      <c r="I116" s="17" t="s">
        <v>499</v>
      </c>
      <c r="J116" s="17" t="s">
        <v>1480</v>
      </c>
    </row>
    <row r="117" spans="1:10" ht="16.3">
      <c r="A117" s="50" t="s">
        <v>1480</v>
      </c>
      <c r="B117" s="50" t="s">
        <v>1480</v>
      </c>
      <c r="C117" s="17" t="s">
        <v>76</v>
      </c>
      <c r="D117" s="17">
        <v>9</v>
      </c>
      <c r="E117" s="17" t="s">
        <v>10</v>
      </c>
      <c r="F117" s="17" t="s">
        <v>1756</v>
      </c>
      <c r="G117" s="17" t="s">
        <v>1421</v>
      </c>
      <c r="H117" s="17" t="s">
        <v>1755</v>
      </c>
      <c r="I117" s="17" t="s">
        <v>499</v>
      </c>
      <c r="J117" s="17" t="s">
        <v>1757</v>
      </c>
    </row>
    <row r="118" spans="1:10" ht="32.6">
      <c r="A118" s="50" t="s">
        <v>501</v>
      </c>
      <c r="B118" s="50" t="s">
        <v>237</v>
      </c>
      <c r="C118" s="17" t="s">
        <v>1</v>
      </c>
      <c r="D118" s="17" t="s">
        <v>2</v>
      </c>
      <c r="E118" s="17" t="s">
        <v>3</v>
      </c>
      <c r="F118" s="17" t="s">
        <v>1530</v>
      </c>
      <c r="G118" s="17" t="s">
        <v>1097</v>
      </c>
      <c r="H118" s="17" t="s">
        <v>256</v>
      </c>
      <c r="I118" s="17" t="s">
        <v>238</v>
      </c>
      <c r="J118" s="17" t="s">
        <v>7</v>
      </c>
    </row>
    <row r="119" spans="1:10" ht="16.3">
      <c r="A119" s="50" t="s">
        <v>1758</v>
      </c>
      <c r="B119" s="50" t="s">
        <v>1610</v>
      </c>
      <c r="C119" s="17" t="s">
        <v>42</v>
      </c>
      <c r="D119" s="17">
        <v>12</v>
      </c>
      <c r="E119" s="17" t="s">
        <v>10</v>
      </c>
      <c r="F119" s="17" t="s">
        <v>1611</v>
      </c>
      <c r="G119" s="17" t="s">
        <v>1480</v>
      </c>
      <c r="H119" s="17" t="s">
        <v>416</v>
      </c>
      <c r="I119" s="17" t="s">
        <v>392</v>
      </c>
      <c r="J119" s="17" t="s">
        <v>1480</v>
      </c>
    </row>
    <row r="120" spans="1:10" ht="16.3">
      <c r="A120" s="50" t="s">
        <v>1480</v>
      </c>
      <c r="B120" s="50" t="s">
        <v>1480</v>
      </c>
      <c r="C120" s="17" t="s">
        <v>1614</v>
      </c>
      <c r="D120" s="17"/>
      <c r="E120" s="17" t="s">
        <v>32</v>
      </c>
      <c r="F120" s="17" t="s">
        <v>1615</v>
      </c>
      <c r="G120" s="17" t="s">
        <v>1480</v>
      </c>
      <c r="H120" s="17" t="s">
        <v>1616</v>
      </c>
      <c r="I120" s="17" t="s">
        <v>121</v>
      </c>
      <c r="J120" s="17" t="s">
        <v>1480</v>
      </c>
    </row>
    <row r="121" spans="1:10" ht="16.3">
      <c r="A121" s="50" t="s">
        <v>1480</v>
      </c>
      <c r="B121" s="50" t="s">
        <v>1480</v>
      </c>
      <c r="C121" s="17" t="s">
        <v>44</v>
      </c>
      <c r="D121" s="17">
        <v>12</v>
      </c>
      <c r="E121" s="17" t="s">
        <v>10</v>
      </c>
      <c r="F121" s="17">
        <v>1</v>
      </c>
      <c r="G121" s="17" t="s">
        <v>1480</v>
      </c>
      <c r="H121" s="17">
        <v>1.7</v>
      </c>
      <c r="I121" s="17" t="s">
        <v>392</v>
      </c>
      <c r="J121" s="17" t="s">
        <v>1480</v>
      </c>
    </row>
    <row r="122" spans="1:10" ht="16.3">
      <c r="A122" s="50" t="s">
        <v>1480</v>
      </c>
      <c r="B122" s="50" t="s">
        <v>1480</v>
      </c>
      <c r="C122" s="17" t="s">
        <v>1617</v>
      </c>
      <c r="D122" s="17"/>
      <c r="E122" s="17" t="s">
        <v>32</v>
      </c>
      <c r="F122" s="17" t="s">
        <v>1615</v>
      </c>
      <c r="G122" s="17" t="s">
        <v>1480</v>
      </c>
      <c r="H122" s="17" t="s">
        <v>1616</v>
      </c>
      <c r="I122" s="17" t="s">
        <v>121</v>
      </c>
      <c r="J122" s="17" t="s">
        <v>1480</v>
      </c>
    </row>
    <row r="123" spans="1:10" ht="32.6">
      <c r="A123" s="50" t="s">
        <v>1759</v>
      </c>
      <c r="B123" s="50" t="s">
        <v>1760</v>
      </c>
      <c r="C123" s="17" t="s">
        <v>1480</v>
      </c>
      <c r="D123" s="17">
        <v>24</v>
      </c>
      <c r="E123" s="17" t="s">
        <v>10</v>
      </c>
      <c r="F123" s="17" t="s">
        <v>1761</v>
      </c>
      <c r="G123" s="17" t="s">
        <v>1480</v>
      </c>
      <c r="H123" s="17" t="s">
        <v>1762</v>
      </c>
      <c r="I123" s="17" t="s">
        <v>1763</v>
      </c>
      <c r="J123" s="17" t="s">
        <v>1480</v>
      </c>
    </row>
    <row r="124" spans="1:10" ht="32.6">
      <c r="A124" s="50" t="s">
        <v>505</v>
      </c>
      <c r="B124" s="50" t="s">
        <v>237</v>
      </c>
      <c r="C124" s="17" t="s">
        <v>1</v>
      </c>
      <c r="D124" s="17" t="s">
        <v>2</v>
      </c>
      <c r="E124" s="17" t="s">
        <v>3</v>
      </c>
      <c r="F124" s="17" t="s">
        <v>1530</v>
      </c>
      <c r="G124" s="17" t="s">
        <v>1097</v>
      </c>
      <c r="H124" s="17" t="s">
        <v>256</v>
      </c>
      <c r="I124" s="17" t="s">
        <v>238</v>
      </c>
      <c r="J124" s="17" t="s">
        <v>7</v>
      </c>
    </row>
    <row r="125" spans="1:10" ht="16.3">
      <c r="A125" s="50" t="s">
        <v>1764</v>
      </c>
      <c r="B125" s="50" t="s">
        <v>1765</v>
      </c>
      <c r="C125" s="17" t="s">
        <v>9</v>
      </c>
      <c r="D125" s="17" t="s">
        <v>1766</v>
      </c>
      <c r="E125" s="17" t="s">
        <v>10</v>
      </c>
      <c r="F125" s="17">
        <v>1.8</v>
      </c>
      <c r="G125" s="17" t="s">
        <v>1147</v>
      </c>
      <c r="H125" s="17">
        <v>6</v>
      </c>
      <c r="I125" s="17" t="s">
        <v>176</v>
      </c>
      <c r="J125" s="17" t="s">
        <v>1480</v>
      </c>
    </row>
    <row r="126" spans="1:10" ht="16.3">
      <c r="A126" s="50" t="s">
        <v>1480</v>
      </c>
      <c r="B126" s="50" t="s">
        <v>1480</v>
      </c>
      <c r="C126" s="17" t="s">
        <v>1480</v>
      </c>
      <c r="D126" s="17"/>
      <c r="E126" s="17" t="s">
        <v>10</v>
      </c>
      <c r="F126" s="17" t="s">
        <v>1767</v>
      </c>
      <c r="G126" s="17" t="s">
        <v>1147</v>
      </c>
      <c r="H126" s="17" t="s">
        <v>1440</v>
      </c>
      <c r="I126" s="17" t="s">
        <v>176</v>
      </c>
      <c r="J126" s="17" t="s">
        <v>1480</v>
      </c>
    </row>
    <row r="127" spans="1:10" ht="32.6">
      <c r="A127" s="50" t="s">
        <v>512</v>
      </c>
      <c r="B127" s="50" t="s">
        <v>237</v>
      </c>
      <c r="C127" s="17" t="s">
        <v>1</v>
      </c>
      <c r="D127" s="17" t="s">
        <v>2</v>
      </c>
      <c r="E127" s="17" t="s">
        <v>3</v>
      </c>
      <c r="F127" s="17" t="s">
        <v>1530</v>
      </c>
      <c r="G127" s="17" t="s">
        <v>1097</v>
      </c>
      <c r="H127" s="17" t="s">
        <v>513</v>
      </c>
      <c r="I127" s="17" t="s">
        <v>238</v>
      </c>
      <c r="J127" s="17" t="s">
        <v>7</v>
      </c>
    </row>
    <row r="128" spans="1:10" ht="32.6">
      <c r="A128" s="50" t="s">
        <v>1768</v>
      </c>
      <c r="B128" s="50" t="s">
        <v>1769</v>
      </c>
      <c r="C128" s="17" t="s">
        <v>1480</v>
      </c>
      <c r="D128" s="17">
        <v>16</v>
      </c>
      <c r="E128" s="17" t="s">
        <v>10</v>
      </c>
      <c r="F128" s="17" t="s">
        <v>1770</v>
      </c>
      <c r="G128" s="17" t="s">
        <v>1480</v>
      </c>
      <c r="H128" s="17" t="s">
        <v>1771</v>
      </c>
      <c r="I128" s="17" t="s">
        <v>30</v>
      </c>
      <c r="J128" s="17" t="s">
        <v>1772</v>
      </c>
    </row>
    <row r="129" spans="1:10" ht="48.9">
      <c r="A129" s="50" t="s">
        <v>524</v>
      </c>
      <c r="B129" s="50" t="s">
        <v>237</v>
      </c>
      <c r="C129" s="17" t="s">
        <v>1</v>
      </c>
      <c r="D129" s="17" t="s">
        <v>2</v>
      </c>
      <c r="E129" s="17" t="s">
        <v>3</v>
      </c>
      <c r="F129" s="17" t="s">
        <v>1530</v>
      </c>
      <c r="G129" s="17" t="s">
        <v>1097</v>
      </c>
      <c r="H129" s="17" t="s">
        <v>1773</v>
      </c>
      <c r="I129" s="17" t="s">
        <v>238</v>
      </c>
      <c r="J129" s="17" t="s">
        <v>7</v>
      </c>
    </row>
    <row r="130" spans="1:10" ht="32.6">
      <c r="A130" s="50" t="s">
        <v>1774</v>
      </c>
      <c r="B130" s="50" t="s">
        <v>1775</v>
      </c>
      <c r="C130" s="17" t="s">
        <v>1480</v>
      </c>
      <c r="D130" s="17">
        <v>13</v>
      </c>
      <c r="E130" s="17" t="s">
        <v>10</v>
      </c>
      <c r="F130" s="17" t="s">
        <v>1776</v>
      </c>
      <c r="G130" s="17" t="s">
        <v>1480</v>
      </c>
      <c r="H130" s="17">
        <v>3</v>
      </c>
      <c r="I130" s="17" t="s">
        <v>30</v>
      </c>
      <c r="J130" s="17" t="s">
        <v>1777</v>
      </c>
    </row>
    <row r="131" spans="1:10" ht="32.6">
      <c r="A131" s="50" t="s">
        <v>1778</v>
      </c>
      <c r="B131" s="50" t="s">
        <v>1779</v>
      </c>
      <c r="C131" s="17" t="s">
        <v>1480</v>
      </c>
      <c r="D131" s="17">
        <v>13</v>
      </c>
      <c r="E131" s="17" t="s">
        <v>10</v>
      </c>
      <c r="F131" s="17" t="s">
        <v>1780</v>
      </c>
      <c r="G131" s="17" t="s">
        <v>1480</v>
      </c>
      <c r="H131" s="17">
        <v>3</v>
      </c>
      <c r="I131" s="17" t="s">
        <v>518</v>
      </c>
      <c r="J131" s="17" t="s">
        <v>1480</v>
      </c>
    </row>
    <row r="132" spans="1:10" ht="32.6">
      <c r="A132" s="50" t="s">
        <v>1781</v>
      </c>
      <c r="B132" s="50" t="s">
        <v>1782</v>
      </c>
      <c r="C132" s="17" t="s">
        <v>1480</v>
      </c>
      <c r="D132" s="17">
        <v>16</v>
      </c>
      <c r="E132" s="17" t="s">
        <v>10</v>
      </c>
      <c r="F132" s="17" t="s">
        <v>1783</v>
      </c>
      <c r="G132" s="17" t="s">
        <v>1480</v>
      </c>
      <c r="H132" s="17">
        <v>3</v>
      </c>
      <c r="I132" s="17" t="s">
        <v>66</v>
      </c>
      <c r="J132" s="17" t="s">
        <v>1480</v>
      </c>
    </row>
    <row r="133" spans="1:10" ht="16.3">
      <c r="A133" s="50" t="s">
        <v>1784</v>
      </c>
      <c r="B133" s="50" t="s">
        <v>1785</v>
      </c>
      <c r="C133" s="17" t="s">
        <v>42</v>
      </c>
      <c r="D133" s="17">
        <v>8</v>
      </c>
      <c r="E133" s="17" t="s">
        <v>10</v>
      </c>
      <c r="F133" s="17" t="s">
        <v>1786</v>
      </c>
      <c r="G133" s="17" t="s">
        <v>1480</v>
      </c>
      <c r="H133" s="17" t="s">
        <v>1787</v>
      </c>
      <c r="I133" s="17" t="s">
        <v>176</v>
      </c>
      <c r="J133" s="17" t="s">
        <v>1480</v>
      </c>
    </row>
    <row r="134" spans="1:10" ht="16.3">
      <c r="A134" s="50" t="s">
        <v>1480</v>
      </c>
      <c r="B134" s="50" t="s">
        <v>1480</v>
      </c>
      <c r="C134" s="17" t="s">
        <v>44</v>
      </c>
      <c r="D134" s="17">
        <v>8</v>
      </c>
      <c r="E134" s="17" t="s">
        <v>10</v>
      </c>
      <c r="F134" s="17" t="s">
        <v>1788</v>
      </c>
      <c r="G134" s="17" t="s">
        <v>1480</v>
      </c>
      <c r="H134" s="17" t="s">
        <v>1787</v>
      </c>
      <c r="I134" s="17" t="s">
        <v>176</v>
      </c>
      <c r="J134" s="17" t="s">
        <v>1480</v>
      </c>
    </row>
    <row r="135" spans="1:10" ht="16.3">
      <c r="A135" s="50" t="s">
        <v>1480</v>
      </c>
      <c r="B135" s="50" t="s">
        <v>1480</v>
      </c>
      <c r="C135" s="17" t="s">
        <v>76</v>
      </c>
      <c r="D135" s="17">
        <v>8</v>
      </c>
      <c r="E135" s="17" t="s">
        <v>10</v>
      </c>
      <c r="F135" s="17" t="s">
        <v>1789</v>
      </c>
      <c r="G135" s="17" t="s">
        <v>1480</v>
      </c>
      <c r="H135" s="17" t="s">
        <v>1790</v>
      </c>
      <c r="I135" s="17" t="s">
        <v>176</v>
      </c>
      <c r="J135" s="17" t="s">
        <v>1480</v>
      </c>
    </row>
    <row r="136" spans="1:10" ht="32.6">
      <c r="A136" s="50" t="s">
        <v>1791</v>
      </c>
      <c r="B136" s="50" t="s">
        <v>237</v>
      </c>
      <c r="C136" s="17" t="s">
        <v>1</v>
      </c>
      <c r="D136" s="17" t="s">
        <v>2</v>
      </c>
      <c r="E136" s="17" t="s">
        <v>3</v>
      </c>
      <c r="F136" s="17" t="s">
        <v>1530</v>
      </c>
      <c r="G136" s="17" t="s">
        <v>1097</v>
      </c>
      <c r="H136" s="17" t="s">
        <v>513</v>
      </c>
      <c r="I136" s="17" t="s">
        <v>238</v>
      </c>
      <c r="J136" s="17" t="s">
        <v>7</v>
      </c>
    </row>
    <row r="137" spans="1:10" ht="32.6">
      <c r="A137" s="50" t="s">
        <v>1792</v>
      </c>
      <c r="B137" s="50" t="s">
        <v>1793</v>
      </c>
      <c r="C137" s="17" t="s">
        <v>1480</v>
      </c>
      <c r="D137" s="17">
        <v>21</v>
      </c>
      <c r="E137" s="17" t="s">
        <v>52</v>
      </c>
      <c r="F137" s="17" t="s">
        <v>1794</v>
      </c>
      <c r="G137" s="17" t="s">
        <v>1480</v>
      </c>
      <c r="H137" s="17" t="s">
        <v>56</v>
      </c>
      <c r="I137" s="17" t="s">
        <v>56</v>
      </c>
      <c r="J137" s="17" t="s">
        <v>1777</v>
      </c>
    </row>
    <row r="138" spans="1:10" ht="48.9">
      <c r="A138" s="50" t="s">
        <v>1795</v>
      </c>
      <c r="B138" s="50" t="s">
        <v>237</v>
      </c>
      <c r="C138" s="17" t="s">
        <v>1</v>
      </c>
      <c r="D138" s="17" t="s">
        <v>2</v>
      </c>
      <c r="E138" s="17" t="s">
        <v>3</v>
      </c>
      <c r="F138" s="17" t="s">
        <v>1530</v>
      </c>
      <c r="G138" s="17" t="s">
        <v>1097</v>
      </c>
      <c r="H138" s="17" t="s">
        <v>1796</v>
      </c>
      <c r="I138" s="17" t="s">
        <v>238</v>
      </c>
      <c r="J138" s="17" t="s">
        <v>7</v>
      </c>
    </row>
    <row r="139" spans="1:10" ht="16.3">
      <c r="A139" s="50" t="s">
        <v>1797</v>
      </c>
      <c r="B139" s="50" t="s">
        <v>1798</v>
      </c>
      <c r="C139" s="17" t="s">
        <v>1480</v>
      </c>
      <c r="D139" s="17">
        <v>3</v>
      </c>
      <c r="E139" s="17" t="s">
        <v>10</v>
      </c>
      <c r="F139" s="17">
        <v>0.9</v>
      </c>
      <c r="G139" s="17" t="s">
        <v>1480</v>
      </c>
      <c r="H139" s="17">
        <v>0.8</v>
      </c>
      <c r="I139" s="17" t="s">
        <v>66</v>
      </c>
      <c r="J139" s="17" t="s">
        <v>1799</v>
      </c>
    </row>
    <row r="140" spans="1:10" ht="32.6">
      <c r="A140" s="50" t="s">
        <v>1800</v>
      </c>
      <c r="B140" s="50" t="s">
        <v>1801</v>
      </c>
      <c r="C140" s="17" t="s">
        <v>1480</v>
      </c>
      <c r="D140" s="17">
        <v>12</v>
      </c>
      <c r="E140" s="17" t="s">
        <v>10</v>
      </c>
      <c r="F140" s="17">
        <v>1.4</v>
      </c>
      <c r="G140" s="17" t="s">
        <v>1480</v>
      </c>
      <c r="H140" s="17">
        <v>1</v>
      </c>
      <c r="I140" s="17" t="s">
        <v>66</v>
      </c>
      <c r="J140" s="17" t="s">
        <v>1802</v>
      </c>
    </row>
    <row r="141" spans="1:10" ht="32.6">
      <c r="A141" s="50" t="s">
        <v>1803</v>
      </c>
      <c r="B141" s="50" t="s">
        <v>1804</v>
      </c>
      <c r="C141" s="17" t="s">
        <v>1480</v>
      </c>
      <c r="D141" s="17">
        <v>26</v>
      </c>
      <c r="E141" s="17" t="s">
        <v>10</v>
      </c>
      <c r="F141" s="17" t="s">
        <v>1805</v>
      </c>
      <c r="G141" s="17" t="s">
        <v>1480</v>
      </c>
      <c r="H141" s="17" t="s">
        <v>1806</v>
      </c>
      <c r="I141" s="17" t="s">
        <v>66</v>
      </c>
      <c r="J141" s="17" t="s">
        <v>1807</v>
      </c>
    </row>
    <row r="142" spans="1:10" ht="32.6">
      <c r="A142" s="50" t="s">
        <v>1808</v>
      </c>
      <c r="B142" s="50" t="s">
        <v>237</v>
      </c>
      <c r="C142" s="17" t="s">
        <v>1</v>
      </c>
      <c r="D142" s="17" t="s">
        <v>2</v>
      </c>
      <c r="E142" s="17" t="s">
        <v>3</v>
      </c>
      <c r="F142" s="17" t="s">
        <v>1530</v>
      </c>
      <c r="G142" s="17" t="s">
        <v>1097</v>
      </c>
      <c r="H142" s="17" t="s">
        <v>1809</v>
      </c>
      <c r="I142" s="17" t="s">
        <v>238</v>
      </c>
      <c r="J142" s="17" t="s">
        <v>7</v>
      </c>
    </row>
    <row r="143" spans="1:10" ht="16.3">
      <c r="A143" s="50" t="s">
        <v>1810</v>
      </c>
      <c r="B143" s="50" t="s">
        <v>1811</v>
      </c>
      <c r="C143" s="17" t="s">
        <v>1480</v>
      </c>
      <c r="D143" s="17">
        <v>3</v>
      </c>
      <c r="E143" s="17" t="s">
        <v>32</v>
      </c>
      <c r="F143" s="17" t="s">
        <v>1812</v>
      </c>
      <c r="G143" s="17" t="s">
        <v>1480</v>
      </c>
      <c r="H143" s="17" t="s">
        <v>1813</v>
      </c>
      <c r="I143" s="17" t="s">
        <v>56</v>
      </c>
      <c r="J143" s="17" t="s">
        <v>1814</v>
      </c>
    </row>
    <row r="144" spans="1:10" ht="16.3">
      <c r="A144" s="50" t="s">
        <v>1815</v>
      </c>
      <c r="B144" s="50" t="s">
        <v>1816</v>
      </c>
      <c r="C144" s="17" t="s">
        <v>1480</v>
      </c>
      <c r="D144" s="17">
        <v>10</v>
      </c>
      <c r="E144" s="17" t="s">
        <v>52</v>
      </c>
      <c r="F144" s="17" t="s">
        <v>1817</v>
      </c>
      <c r="G144" s="17" t="s">
        <v>1480</v>
      </c>
      <c r="H144" s="17" t="s">
        <v>56</v>
      </c>
      <c r="I144" s="17" t="s">
        <v>56</v>
      </c>
      <c r="J144" s="17" t="s">
        <v>1480</v>
      </c>
    </row>
    <row r="145" spans="1:10" ht="48.9">
      <c r="A145" s="50" t="s">
        <v>550</v>
      </c>
      <c r="B145" s="50" t="s">
        <v>237</v>
      </c>
      <c r="C145" s="17" t="s">
        <v>1</v>
      </c>
      <c r="D145" s="17" t="s">
        <v>2</v>
      </c>
      <c r="E145" s="17" t="s">
        <v>3</v>
      </c>
      <c r="F145" s="17" t="s">
        <v>1530</v>
      </c>
      <c r="G145" s="17" t="s">
        <v>1097</v>
      </c>
      <c r="H145" s="17" t="s">
        <v>1818</v>
      </c>
      <c r="I145" s="17" t="s">
        <v>238</v>
      </c>
      <c r="J145" s="17" t="s">
        <v>7</v>
      </c>
    </row>
    <row r="146" spans="1:10" ht="16.3">
      <c r="A146" s="50" t="s">
        <v>1819</v>
      </c>
      <c r="B146" s="50" t="s">
        <v>1820</v>
      </c>
      <c r="C146" s="17" t="s">
        <v>1480</v>
      </c>
      <c r="D146" s="17">
        <v>3</v>
      </c>
      <c r="E146" s="17" t="s">
        <v>10</v>
      </c>
      <c r="F146" s="17">
        <v>1.1000000000000001</v>
      </c>
      <c r="G146" s="17" t="s">
        <v>1468</v>
      </c>
      <c r="H146" s="17">
        <v>1</v>
      </c>
      <c r="I146" s="17" t="s">
        <v>30</v>
      </c>
      <c r="J146" s="17" t="s">
        <v>1480</v>
      </c>
    </row>
    <row r="147" spans="1:10" ht="16.3">
      <c r="A147" s="50" t="s">
        <v>1821</v>
      </c>
      <c r="B147" s="50" t="s">
        <v>1822</v>
      </c>
      <c r="C147" s="17" t="s">
        <v>1480</v>
      </c>
      <c r="D147" s="17">
        <v>5</v>
      </c>
      <c r="E147" s="17" t="s">
        <v>32</v>
      </c>
      <c r="F147" s="17" t="s">
        <v>1823</v>
      </c>
      <c r="G147" s="17" t="s">
        <v>1480</v>
      </c>
      <c r="H147" s="17" t="s">
        <v>1824</v>
      </c>
      <c r="I147" s="17" t="s">
        <v>121</v>
      </c>
      <c r="J147" s="17" t="s">
        <v>1825</v>
      </c>
    </row>
    <row r="148" spans="1:10" ht="16.3">
      <c r="A148" s="50" t="s">
        <v>1826</v>
      </c>
      <c r="B148" s="50" t="s">
        <v>1827</v>
      </c>
      <c r="C148" s="17" t="s">
        <v>1480</v>
      </c>
      <c r="D148" s="17">
        <v>12</v>
      </c>
      <c r="E148" s="17" t="s">
        <v>10</v>
      </c>
      <c r="F148" s="17" t="s">
        <v>1828</v>
      </c>
      <c r="G148" s="17" t="s">
        <v>1473</v>
      </c>
      <c r="H148" s="17">
        <v>1.25</v>
      </c>
      <c r="I148" s="17" t="s">
        <v>30</v>
      </c>
      <c r="J148" s="17" t="s">
        <v>1480</v>
      </c>
    </row>
    <row r="149" spans="1:10" ht="16.3">
      <c r="A149" s="50" t="s">
        <v>1829</v>
      </c>
      <c r="B149" s="50" t="s">
        <v>1830</v>
      </c>
      <c r="C149" s="17" t="s">
        <v>1480</v>
      </c>
      <c r="D149" s="17">
        <v>16</v>
      </c>
      <c r="E149" s="17" t="s">
        <v>52</v>
      </c>
      <c r="F149" s="17" t="s">
        <v>1831</v>
      </c>
      <c r="G149" s="17" t="s">
        <v>1480</v>
      </c>
      <c r="H149" s="17" t="s">
        <v>225</v>
      </c>
      <c r="I149" s="17" t="s">
        <v>56</v>
      </c>
      <c r="J149" s="17" t="s">
        <v>1865</v>
      </c>
    </row>
  </sheetData>
  <mergeCells count="1">
    <mergeCell ref="A1:J1"/>
  </mergeCells>
  <phoneticPr fontId="18" type="noConversion"/>
  <conditionalFormatting sqref="A1">
    <cfRule type="expression" dxfId="56" priority="13">
      <formula>$E1="类型"</formula>
    </cfRule>
    <cfRule type="expression" dxfId="55" priority="14">
      <formula>$E1="其他"</formula>
    </cfRule>
    <cfRule type="expression" dxfId="54" priority="15">
      <formula>$E1="A"</formula>
    </cfRule>
    <cfRule type="expression" dxfId="53" priority="16">
      <formula>$E1="A'"</formula>
    </cfRule>
    <cfRule type="expression" dxfId="52" priority="17">
      <formula>$E1="B"</formula>
    </cfRule>
    <cfRule type="expression" dxfId="51" priority="18">
      <formula>$E1="M"</formula>
    </cfRule>
  </conditionalFormatting>
  <conditionalFormatting sqref="A53:D58">
    <cfRule type="expression" dxfId="50" priority="8">
      <formula>$E53="类型"</formula>
    </cfRule>
  </conditionalFormatting>
  <conditionalFormatting sqref="A66:D68">
    <cfRule type="expression" dxfId="49" priority="2">
      <formula>$E66="类型"</formula>
    </cfRule>
  </conditionalFormatting>
  <conditionalFormatting sqref="A2:J52 A53:C58 E53:J58 A59:J65 A66:C68 E66:J68 A69:J197">
    <cfRule type="expression" dxfId="48" priority="22">
      <formula>$E2="A"</formula>
    </cfRule>
    <cfRule type="expression" dxfId="47" priority="23">
      <formula>$E2="A'"</formula>
    </cfRule>
    <cfRule type="expression" dxfId="46" priority="24">
      <formula>$E2="B"</formula>
    </cfRule>
    <cfRule type="expression" dxfId="45" priority="25">
      <formula>$E2="M"</formula>
    </cfRule>
  </conditionalFormatting>
  <conditionalFormatting sqref="A2:J52 E53:J58 A59:J65 E66:J68 A69:J197 A53:C58 A66:C68">
    <cfRule type="expression" dxfId="44" priority="21">
      <formula>$E2="其他"</formula>
    </cfRule>
  </conditionalFormatting>
  <conditionalFormatting sqref="A2:J52 E53:J58 A59:J65 E66:J68 A69:J197">
    <cfRule type="expression" dxfId="43" priority="20">
      <formula>$E2="类型"</formula>
    </cfRule>
  </conditionalFormatting>
  <conditionalFormatting sqref="D53:D58">
    <cfRule type="expression" dxfId="42" priority="7">
      <formula>$E53="其他"</formula>
    </cfRule>
    <cfRule type="expression" dxfId="41" priority="9">
      <formula>$E53="A'"</formula>
    </cfRule>
    <cfRule type="expression" dxfId="40" priority="10">
      <formula>$E53="A"</formula>
    </cfRule>
    <cfRule type="expression" dxfId="39" priority="11">
      <formula>$E53="B"</formula>
    </cfRule>
    <cfRule type="expression" dxfId="38" priority="12">
      <formula>$E53="M"</formula>
    </cfRule>
  </conditionalFormatting>
  <conditionalFormatting sqref="D66:D68">
    <cfRule type="expression" dxfId="37" priority="1">
      <formula>$E66="其他"</formula>
    </cfRule>
    <cfRule type="expression" dxfId="36" priority="3">
      <formula>$E66="A'"</formula>
    </cfRule>
    <cfRule type="expression" dxfId="35" priority="4">
      <formula>$E66="A"</formula>
    </cfRule>
    <cfRule type="expression" dxfId="34" priority="5">
      <formula>$E66="B"</formula>
    </cfRule>
    <cfRule type="expression" dxfId="33" priority="6">
      <formula>$E66="M"</formula>
    </cfRule>
  </conditionalFormatting>
  <conditionalFormatting sqref="F2:F197 H2:H197">
    <cfRule type="expression" dxfId="32" priority="19" stopIfTrue="1">
      <formula>$E2="A"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5"/>
  <sheetViews>
    <sheetView topLeftCell="A10" zoomScale="60" zoomScaleNormal="60" workbookViewId="0">
      <selection activeCell="D25" sqref="D25"/>
    </sheetView>
  </sheetViews>
  <sheetFormatPr defaultColWidth="10" defaultRowHeight="14.15"/>
  <cols>
    <col min="1" max="1" width="22.23046875" customWidth="1"/>
    <col min="2" max="2" width="19.53515625" customWidth="1"/>
    <col min="3" max="3" width="34.23046875" customWidth="1"/>
    <col min="4" max="4" width="37.4609375" customWidth="1"/>
    <col min="5" max="5" width="27.23046875" customWidth="1"/>
  </cols>
  <sheetData>
    <row r="1" spans="1:5" ht="16.3">
      <c r="A1" s="8" t="s">
        <v>569</v>
      </c>
      <c r="B1" s="8"/>
      <c r="C1" s="8"/>
      <c r="D1" s="8"/>
      <c r="E1" s="8"/>
    </row>
    <row r="2" spans="1:5" ht="16.3">
      <c r="A2" s="9"/>
      <c r="B2" s="9" t="s">
        <v>1</v>
      </c>
      <c r="C2" s="10" t="s">
        <v>570</v>
      </c>
      <c r="D2" s="10" t="s">
        <v>571</v>
      </c>
      <c r="E2" s="10" t="s">
        <v>7</v>
      </c>
    </row>
    <row r="3" spans="1:5" s="7" customFormat="1" ht="30" customHeight="1">
      <c r="A3" s="11" t="s">
        <v>51</v>
      </c>
      <c r="B3" s="12" t="s">
        <v>572</v>
      </c>
      <c r="C3" s="13">
        <v>1.35</v>
      </c>
      <c r="D3" s="13">
        <v>2</v>
      </c>
      <c r="E3" s="12" t="s">
        <v>573</v>
      </c>
    </row>
    <row r="4" spans="1:5" s="7" customFormat="1" ht="65.150000000000006">
      <c r="A4" s="14"/>
      <c r="B4" s="15" t="s">
        <v>574</v>
      </c>
      <c r="C4" s="16" t="s">
        <v>575</v>
      </c>
      <c r="D4" s="13">
        <v>6</v>
      </c>
      <c r="E4" s="15" t="s">
        <v>576</v>
      </c>
    </row>
    <row r="5" spans="1:5" s="7" customFormat="1" ht="65.150000000000006">
      <c r="A5" s="14"/>
      <c r="B5" s="15" t="s">
        <v>577</v>
      </c>
      <c r="C5" s="16" t="s">
        <v>578</v>
      </c>
      <c r="D5" s="13">
        <v>6</v>
      </c>
      <c r="E5" s="15"/>
    </row>
    <row r="6" spans="1:5" s="7" customFormat="1" ht="65.150000000000006">
      <c r="A6" s="14"/>
      <c r="B6" s="15" t="s">
        <v>579</v>
      </c>
      <c r="C6" s="16" t="s">
        <v>580</v>
      </c>
      <c r="D6" s="13" t="s">
        <v>581</v>
      </c>
      <c r="E6" s="15" t="s">
        <v>573</v>
      </c>
    </row>
    <row r="7" spans="1:5" s="7" customFormat="1" ht="48.9">
      <c r="A7" s="14"/>
      <c r="B7" s="15" t="s">
        <v>582</v>
      </c>
      <c r="C7" s="16" t="s">
        <v>583</v>
      </c>
      <c r="D7" s="16" t="s">
        <v>584</v>
      </c>
      <c r="E7" s="15" t="s">
        <v>576</v>
      </c>
    </row>
    <row r="8" spans="1:5" s="7" customFormat="1" ht="48.9">
      <c r="A8" s="14"/>
      <c r="B8" s="15" t="s">
        <v>585</v>
      </c>
      <c r="C8" s="16" t="s">
        <v>586</v>
      </c>
      <c r="D8" s="16" t="s">
        <v>587</v>
      </c>
      <c r="E8" s="15"/>
    </row>
    <row r="9" spans="1:5" s="7" customFormat="1" ht="16.3">
      <c r="A9" s="9"/>
      <c r="B9" s="9" t="s">
        <v>1</v>
      </c>
      <c r="C9" s="10" t="s">
        <v>570</v>
      </c>
      <c r="D9" s="10" t="s">
        <v>571</v>
      </c>
      <c r="E9" s="10" t="s">
        <v>7</v>
      </c>
    </row>
    <row r="10" spans="1:5" s="7" customFormat="1" ht="42" customHeight="1">
      <c r="A10" s="14" t="s">
        <v>53</v>
      </c>
      <c r="B10" s="15" t="s">
        <v>588</v>
      </c>
      <c r="C10" s="16" t="s">
        <v>589</v>
      </c>
      <c r="D10" s="16" t="s">
        <v>590</v>
      </c>
      <c r="E10" s="15" t="s">
        <v>591</v>
      </c>
    </row>
    <row r="11" spans="1:5" s="7" customFormat="1" ht="48.9">
      <c r="A11" s="14"/>
      <c r="B11" s="15" t="s">
        <v>592</v>
      </c>
      <c r="C11" s="16" t="s">
        <v>593</v>
      </c>
      <c r="D11" s="16" t="s">
        <v>594</v>
      </c>
      <c r="E11" s="15" t="s">
        <v>576</v>
      </c>
    </row>
    <row r="12" spans="1:5" s="7" customFormat="1" ht="41.05" customHeight="1">
      <c r="A12" s="14"/>
      <c r="B12" s="15" t="s">
        <v>574</v>
      </c>
      <c r="C12" s="16" t="s">
        <v>595</v>
      </c>
      <c r="D12" s="16" t="s">
        <v>596</v>
      </c>
      <c r="E12" s="15" t="s">
        <v>591</v>
      </c>
    </row>
    <row r="13" spans="1:5" s="7" customFormat="1" ht="65.150000000000006">
      <c r="A13" s="14"/>
      <c r="B13" s="15" t="s">
        <v>577</v>
      </c>
      <c r="C13" s="16" t="s">
        <v>597</v>
      </c>
      <c r="D13" s="16" t="s">
        <v>598</v>
      </c>
      <c r="E13" s="15" t="s">
        <v>576</v>
      </c>
    </row>
    <row r="14" spans="1:5" s="7" customFormat="1" ht="40.1" customHeight="1">
      <c r="A14" s="14"/>
      <c r="B14" s="15" t="s">
        <v>599</v>
      </c>
      <c r="C14" s="16" t="s">
        <v>600</v>
      </c>
      <c r="D14" s="16" t="s">
        <v>601</v>
      </c>
      <c r="E14" s="15" t="s">
        <v>591</v>
      </c>
    </row>
    <row r="15" spans="1:5" s="7" customFormat="1" ht="48.9">
      <c r="A15" s="14"/>
      <c r="B15" s="15" t="s">
        <v>602</v>
      </c>
      <c r="C15" s="16" t="s">
        <v>603</v>
      </c>
      <c r="D15" s="16" t="s">
        <v>604</v>
      </c>
      <c r="E15" s="15" t="s">
        <v>576</v>
      </c>
    </row>
    <row r="16" spans="1:5" s="7" customFormat="1" ht="38.049999999999997" customHeight="1">
      <c r="A16" s="14"/>
      <c r="B16" s="15" t="s">
        <v>582</v>
      </c>
      <c r="C16" s="16" t="s">
        <v>605</v>
      </c>
      <c r="D16" s="16" t="s">
        <v>606</v>
      </c>
      <c r="E16" s="15" t="s">
        <v>591</v>
      </c>
    </row>
    <row r="17" spans="1:5" s="7" customFormat="1" ht="65.150000000000006">
      <c r="A17" s="14"/>
      <c r="B17" s="15" t="s">
        <v>585</v>
      </c>
      <c r="C17" s="16" t="s">
        <v>607</v>
      </c>
      <c r="D17" s="16" t="s">
        <v>608</v>
      </c>
      <c r="E17" s="15" t="s">
        <v>576</v>
      </c>
    </row>
    <row r="18" spans="1:5" s="7" customFormat="1" ht="16.3">
      <c r="A18" s="9"/>
      <c r="B18" s="9" t="s">
        <v>1</v>
      </c>
      <c r="C18" s="10" t="s">
        <v>570</v>
      </c>
      <c r="D18" s="10" t="s">
        <v>571</v>
      </c>
      <c r="E18" s="10" t="s">
        <v>7</v>
      </c>
    </row>
    <row r="19" spans="1:5" s="7" customFormat="1" ht="16.3">
      <c r="A19" s="14" t="s">
        <v>268</v>
      </c>
      <c r="B19" s="15" t="s">
        <v>579</v>
      </c>
      <c r="C19" s="16" t="s">
        <v>609</v>
      </c>
      <c r="D19" s="16" t="s">
        <v>610</v>
      </c>
      <c r="E19" s="15"/>
    </row>
    <row r="20" spans="1:5" s="7" customFormat="1" ht="16.3">
      <c r="A20" s="14"/>
      <c r="B20" s="15" t="s">
        <v>611</v>
      </c>
      <c r="C20" s="16" t="s">
        <v>612</v>
      </c>
      <c r="D20" s="16" t="s">
        <v>613</v>
      </c>
      <c r="E20" s="15"/>
    </row>
    <row r="21" spans="1:5" s="7" customFormat="1" ht="16.3">
      <c r="A21" s="9"/>
      <c r="B21" s="9" t="s">
        <v>1</v>
      </c>
      <c r="C21" s="10" t="s">
        <v>570</v>
      </c>
      <c r="D21" s="10" t="s">
        <v>571</v>
      </c>
      <c r="E21" s="10" t="s">
        <v>7</v>
      </c>
    </row>
    <row r="22" spans="1:5" ht="48.9">
      <c r="A22" s="14" t="s">
        <v>547</v>
      </c>
      <c r="B22" s="15" t="s">
        <v>588</v>
      </c>
      <c r="C22" s="16" t="s">
        <v>614</v>
      </c>
      <c r="D22" s="16" t="s">
        <v>615</v>
      </c>
      <c r="E22" s="15" t="s">
        <v>616</v>
      </c>
    </row>
    <row r="23" spans="1:5" ht="16.3">
      <c r="A23" s="14"/>
      <c r="B23" s="15" t="s">
        <v>592</v>
      </c>
      <c r="C23" s="16">
        <v>1.65</v>
      </c>
      <c r="D23" s="16">
        <v>2</v>
      </c>
      <c r="E23" s="15"/>
    </row>
    <row r="24" spans="1:5" ht="16.3">
      <c r="A24" s="14"/>
      <c r="B24" s="15" t="s">
        <v>574</v>
      </c>
      <c r="C24" s="16" t="s">
        <v>617</v>
      </c>
      <c r="D24" s="16" t="s">
        <v>618</v>
      </c>
      <c r="E24" s="15" t="s">
        <v>619</v>
      </c>
    </row>
    <row r="25" spans="1:5" ht="16.3">
      <c r="A25" s="14"/>
      <c r="B25" s="15" t="s">
        <v>577</v>
      </c>
      <c r="C25" s="16">
        <v>1.9</v>
      </c>
      <c r="D25" s="16">
        <v>3</v>
      </c>
      <c r="E25" s="15"/>
    </row>
  </sheetData>
  <phoneticPr fontId="18" type="noConversion"/>
  <conditionalFormatting sqref="A2">
    <cfRule type="expression" dxfId="31" priority="37">
      <formula>#REF!="其他"</formula>
    </cfRule>
    <cfRule type="expression" dxfId="30" priority="38">
      <formula>#REF!="A"</formula>
    </cfRule>
    <cfRule type="expression" dxfId="29" priority="39">
      <formula>#REF!="B"</formula>
    </cfRule>
    <cfRule type="expression" dxfId="28" priority="40">
      <formula>#REF!="M"</formula>
    </cfRule>
  </conditionalFormatting>
  <conditionalFormatting sqref="A9:A10">
    <cfRule type="expression" dxfId="27" priority="1">
      <formula>#REF!="其他"</formula>
    </cfRule>
    <cfRule type="expression" dxfId="26" priority="2">
      <formula>#REF!="A"</formula>
    </cfRule>
    <cfRule type="expression" dxfId="25" priority="3">
      <formula>#REF!="B"</formula>
    </cfRule>
    <cfRule type="expression" dxfId="24" priority="4">
      <formula>#REF!="M"</formula>
    </cfRule>
  </conditionalFormatting>
  <conditionalFormatting sqref="A18">
    <cfRule type="expression" dxfId="23" priority="13">
      <formula>#REF!="其他"</formula>
    </cfRule>
    <cfRule type="expression" dxfId="22" priority="14">
      <formula>#REF!="A"</formula>
    </cfRule>
    <cfRule type="expression" dxfId="21" priority="15">
      <formula>#REF!="B"</formula>
    </cfRule>
    <cfRule type="expression" dxfId="20" priority="16">
      <formula>#REF!="M"</formula>
    </cfRule>
  </conditionalFormatting>
  <conditionalFormatting sqref="A21">
    <cfRule type="expression" dxfId="19" priority="25">
      <formula>#REF!="其他"</formula>
    </cfRule>
    <cfRule type="expression" dxfId="18" priority="26">
      <formula>#REF!="A"</formula>
    </cfRule>
    <cfRule type="expression" dxfId="17" priority="27">
      <formula>#REF!="B"</formula>
    </cfRule>
    <cfRule type="expression" dxfId="16" priority="28">
      <formula>#REF!="M"</formula>
    </cfRule>
  </conditionalFormatting>
  <conditionalFormatting sqref="A3:E8">
    <cfRule type="expression" dxfId="15" priority="68">
      <formula>#REF!="其他"</formula>
    </cfRule>
    <cfRule type="expression" dxfId="14" priority="69">
      <formula>#REF!="A"</formula>
    </cfRule>
    <cfRule type="expression" dxfId="13" priority="70">
      <formula>#REF!="B"</formula>
    </cfRule>
    <cfRule type="expression" dxfId="12" priority="71">
      <formula>#REF!="M"</formula>
    </cfRule>
  </conditionalFormatting>
  <conditionalFormatting sqref="A19:E20">
    <cfRule type="expression" dxfId="11" priority="41">
      <formula>#REF!="其他"</formula>
    </cfRule>
    <cfRule type="expression" dxfId="10" priority="42">
      <formula>#REF!="A"</formula>
    </cfRule>
    <cfRule type="expression" dxfId="9" priority="43">
      <formula>#REF!="B"</formula>
    </cfRule>
    <cfRule type="expression" dxfId="8" priority="44">
      <formula>#REF!="M"</formula>
    </cfRule>
  </conditionalFormatting>
  <conditionalFormatting sqref="A22:E25">
    <cfRule type="expression" dxfId="7" priority="50">
      <formula>#REF!="其他"</formula>
    </cfRule>
    <cfRule type="expression" dxfId="6" priority="51">
      <formula>#REF!="A"</formula>
    </cfRule>
    <cfRule type="expression" dxfId="5" priority="52">
      <formula>#REF!="B"</formula>
    </cfRule>
    <cfRule type="expression" dxfId="4" priority="53">
      <formula>#REF!="M"</formula>
    </cfRule>
  </conditionalFormatting>
  <conditionalFormatting sqref="B10:E10 A11:E17">
    <cfRule type="expression" dxfId="3" priority="64">
      <formula>#REF!="其他"</formula>
    </cfRule>
    <cfRule type="expression" dxfId="2" priority="65">
      <formula>#REF!="A"</formula>
    </cfRule>
    <cfRule type="expression" dxfId="1" priority="66">
      <formula>#REF!="B"</formula>
    </cfRule>
    <cfRule type="expression" dxfId="0" priority="67">
      <formula>#REF!="M"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237E-183C-484A-BBB6-CD3BA140A159}">
  <sheetPr codeName="Sheet8">
    <pageSetUpPr fitToPage="1"/>
  </sheetPr>
  <dimension ref="A1:H74"/>
  <sheetViews>
    <sheetView zoomScale="70" zoomScaleNormal="70" workbookViewId="0">
      <selection activeCell="H74" sqref="A1:H74"/>
    </sheetView>
  </sheetViews>
  <sheetFormatPr defaultColWidth="22.23046875" defaultRowHeight="16.3"/>
  <cols>
    <col min="1" max="1" width="18.53515625" style="21" customWidth="1"/>
    <col min="2" max="2" width="41.61328125" style="21" customWidth="1"/>
    <col min="3" max="3" width="13.61328125" style="20" customWidth="1"/>
    <col min="4" max="4" width="10" style="20" customWidth="1"/>
    <col min="5" max="6" width="10" style="21" customWidth="1"/>
    <col min="7" max="7" width="22.765625" style="21" customWidth="1"/>
    <col min="8" max="8" width="31.921875" style="21" customWidth="1"/>
    <col min="9" max="16384" width="22.23046875" style="21"/>
  </cols>
  <sheetData>
    <row r="1" spans="1:8" ht="34.75" customHeight="1">
      <c r="A1" s="221" t="s">
        <v>2573</v>
      </c>
      <c r="B1" s="222"/>
      <c r="C1" s="223"/>
      <c r="D1" s="223"/>
      <c r="E1" s="222"/>
      <c r="F1" s="222"/>
      <c r="G1" s="222"/>
      <c r="H1" s="222"/>
    </row>
    <row r="2" spans="1:8" ht="41.15" customHeight="1">
      <c r="A2" s="224" t="s">
        <v>2345</v>
      </c>
      <c r="B2" s="224"/>
      <c r="C2" s="223"/>
      <c r="D2" s="223"/>
      <c r="E2" s="224"/>
      <c r="F2" s="224"/>
      <c r="G2" s="224"/>
      <c r="H2" s="224"/>
    </row>
    <row r="3" spans="1:8" ht="22.75" customHeight="1">
      <c r="A3" s="224" t="s">
        <v>2346</v>
      </c>
      <c r="B3" s="224"/>
      <c r="C3" s="223"/>
      <c r="D3" s="223"/>
      <c r="E3" s="224"/>
      <c r="F3" s="224"/>
      <c r="G3" s="224"/>
      <c r="H3" s="224"/>
    </row>
    <row r="4" spans="1:8" ht="32.049999999999997" customHeight="1">
      <c r="A4" s="22" t="s">
        <v>2572</v>
      </c>
      <c r="B4" s="63" t="s">
        <v>672</v>
      </c>
      <c r="C4" s="63" t="s">
        <v>2</v>
      </c>
      <c r="D4" s="63" t="s">
        <v>2134</v>
      </c>
      <c r="E4" s="63" t="s">
        <v>3</v>
      </c>
      <c r="F4" s="63" t="s">
        <v>673</v>
      </c>
      <c r="G4" s="63" t="s">
        <v>674</v>
      </c>
      <c r="H4" s="63" t="s">
        <v>7</v>
      </c>
    </row>
    <row r="5" spans="1:8">
      <c r="A5" s="104" t="s">
        <v>119</v>
      </c>
      <c r="B5" s="105">
        <v>152</v>
      </c>
      <c r="C5" s="105">
        <v>7</v>
      </c>
      <c r="D5" s="105" t="s">
        <v>2137</v>
      </c>
      <c r="E5" s="105" t="s">
        <v>121</v>
      </c>
      <c r="F5" s="105"/>
      <c r="G5" s="105">
        <v>3</v>
      </c>
      <c r="H5" s="105"/>
    </row>
    <row r="6" spans="1:8">
      <c r="A6" s="106" t="s">
        <v>675</v>
      </c>
      <c r="B6" s="107">
        <v>114</v>
      </c>
      <c r="C6" s="107">
        <v>5</v>
      </c>
      <c r="D6" s="105" t="s">
        <v>2137</v>
      </c>
      <c r="E6" s="107" t="s">
        <v>121</v>
      </c>
      <c r="F6" s="107"/>
      <c r="G6" s="107">
        <v>2</v>
      </c>
      <c r="H6" s="107"/>
    </row>
    <row r="7" spans="1:8">
      <c r="A7" s="106" t="s">
        <v>676</v>
      </c>
      <c r="B7" s="107">
        <v>211</v>
      </c>
      <c r="C7" s="107">
        <v>12</v>
      </c>
      <c r="D7" s="105" t="s">
        <v>2137</v>
      </c>
      <c r="E7" s="107" t="s">
        <v>121</v>
      </c>
      <c r="F7" s="107"/>
      <c r="G7" s="107">
        <v>5.5</v>
      </c>
      <c r="H7" s="107"/>
    </row>
    <row r="8" spans="1:8" ht="32.6">
      <c r="A8" s="106" t="s">
        <v>677</v>
      </c>
      <c r="B8" s="107" t="s">
        <v>678</v>
      </c>
      <c r="C8" s="107">
        <v>17</v>
      </c>
      <c r="D8" s="105" t="s">
        <v>2137</v>
      </c>
      <c r="E8" s="107" t="s">
        <v>121</v>
      </c>
      <c r="F8" s="107" t="s">
        <v>679</v>
      </c>
      <c r="G8" s="107" t="s">
        <v>680</v>
      </c>
      <c r="H8" s="107" t="s">
        <v>681</v>
      </c>
    </row>
    <row r="9" spans="1:8" ht="32.6">
      <c r="A9" s="106" t="s">
        <v>682</v>
      </c>
      <c r="B9" s="107" t="s">
        <v>683</v>
      </c>
      <c r="C9" s="107">
        <v>24</v>
      </c>
      <c r="D9" s="105" t="s">
        <v>2137</v>
      </c>
      <c r="E9" s="107" t="s">
        <v>121</v>
      </c>
      <c r="F9" s="107" t="s">
        <v>679</v>
      </c>
      <c r="G9" s="107" t="s">
        <v>684</v>
      </c>
      <c r="H9" s="107" t="s">
        <v>681</v>
      </c>
    </row>
    <row r="10" spans="1:8" ht="32.6">
      <c r="A10" s="106" t="s">
        <v>685</v>
      </c>
      <c r="B10" s="107" t="s">
        <v>1879</v>
      </c>
      <c r="C10" s="107">
        <v>14</v>
      </c>
      <c r="D10" s="105" t="s">
        <v>2137</v>
      </c>
      <c r="E10" s="107" t="s">
        <v>121</v>
      </c>
      <c r="F10" s="107"/>
      <c r="G10" s="107" t="s">
        <v>686</v>
      </c>
      <c r="H10" s="107" t="s">
        <v>687</v>
      </c>
    </row>
    <row r="11" spans="1:8" ht="32.6">
      <c r="A11" s="106" t="s">
        <v>688</v>
      </c>
      <c r="B11" s="107" t="s">
        <v>689</v>
      </c>
      <c r="C11" s="107">
        <v>12</v>
      </c>
      <c r="D11" s="105" t="s">
        <v>2137</v>
      </c>
      <c r="E11" s="107" t="s">
        <v>121</v>
      </c>
      <c r="F11" s="107" t="s">
        <v>690</v>
      </c>
      <c r="G11" s="107" t="s">
        <v>691</v>
      </c>
      <c r="H11" s="107" t="s">
        <v>692</v>
      </c>
    </row>
    <row r="12" spans="1:8" ht="32.6">
      <c r="A12" s="106" t="s">
        <v>693</v>
      </c>
      <c r="B12" s="107" t="s">
        <v>694</v>
      </c>
      <c r="C12" s="107">
        <v>23</v>
      </c>
      <c r="D12" s="105" t="s">
        <v>2137</v>
      </c>
      <c r="E12" s="107" t="s">
        <v>121</v>
      </c>
      <c r="F12" s="107" t="s">
        <v>690</v>
      </c>
      <c r="G12" s="107" t="s">
        <v>695</v>
      </c>
      <c r="H12" s="107" t="s">
        <v>692</v>
      </c>
    </row>
    <row r="13" spans="1:8">
      <c r="A13" s="106" t="s">
        <v>696</v>
      </c>
      <c r="B13" s="107">
        <v>148</v>
      </c>
      <c r="C13" s="107">
        <v>9</v>
      </c>
      <c r="D13" s="105" t="s">
        <v>2137</v>
      </c>
      <c r="E13" s="107" t="s">
        <v>121</v>
      </c>
      <c r="F13" s="107"/>
      <c r="G13" s="107">
        <v>5</v>
      </c>
      <c r="H13" s="107"/>
    </row>
    <row r="14" spans="1:8">
      <c r="A14" s="106" t="s">
        <v>697</v>
      </c>
      <c r="B14" s="107" t="s">
        <v>1880</v>
      </c>
      <c r="C14" s="107" t="s">
        <v>698</v>
      </c>
      <c r="D14" s="105" t="s">
        <v>2137</v>
      </c>
      <c r="E14" s="107" t="s">
        <v>121</v>
      </c>
      <c r="F14" s="107"/>
      <c r="G14" s="107" t="s">
        <v>699</v>
      </c>
      <c r="H14" s="107" t="s">
        <v>700</v>
      </c>
    </row>
    <row r="15" spans="1:8" ht="32.6">
      <c r="A15" s="106" t="s">
        <v>701</v>
      </c>
      <c r="B15" s="107" t="s">
        <v>702</v>
      </c>
      <c r="C15" s="107">
        <v>14</v>
      </c>
      <c r="D15" s="105" t="s">
        <v>2137</v>
      </c>
      <c r="E15" s="107" t="s">
        <v>121</v>
      </c>
      <c r="F15" s="107"/>
      <c r="G15" s="107" t="s">
        <v>703</v>
      </c>
      <c r="H15" s="107"/>
    </row>
    <row r="16" spans="1:8" ht="32.6">
      <c r="A16" s="106" t="s">
        <v>704</v>
      </c>
      <c r="B16" s="107" t="s">
        <v>705</v>
      </c>
      <c r="C16" s="107">
        <v>38</v>
      </c>
      <c r="D16" s="105" t="s">
        <v>2137</v>
      </c>
      <c r="E16" s="107" t="s">
        <v>121</v>
      </c>
      <c r="F16" s="107"/>
      <c r="G16" s="107" t="s">
        <v>706</v>
      </c>
      <c r="H16" s="107" t="s">
        <v>1129</v>
      </c>
    </row>
    <row r="17" spans="1:8" ht="32.6">
      <c r="A17" s="106" t="s">
        <v>707</v>
      </c>
      <c r="B17" s="107" t="s">
        <v>1881</v>
      </c>
      <c r="C17" s="107">
        <v>22</v>
      </c>
      <c r="D17" s="107" t="s">
        <v>2135</v>
      </c>
      <c r="E17" s="107" t="s">
        <v>121</v>
      </c>
      <c r="F17" s="107"/>
      <c r="G17" s="107" t="s">
        <v>708</v>
      </c>
      <c r="H17" s="107" t="s">
        <v>2213</v>
      </c>
    </row>
    <row r="18" spans="1:8" ht="32.6">
      <c r="A18" s="106" t="s">
        <v>709</v>
      </c>
      <c r="B18" s="107" t="s">
        <v>710</v>
      </c>
      <c r="C18" s="107" t="s">
        <v>711</v>
      </c>
      <c r="D18" s="107" t="s">
        <v>2135</v>
      </c>
      <c r="E18" s="107" t="s">
        <v>121</v>
      </c>
      <c r="F18" s="107" t="s">
        <v>712</v>
      </c>
      <c r="G18" s="107" t="s">
        <v>713</v>
      </c>
      <c r="H18" s="107"/>
    </row>
    <row r="19" spans="1:8" ht="32.6">
      <c r="A19" s="106" t="s">
        <v>714</v>
      </c>
      <c r="B19" s="107" t="s">
        <v>1882</v>
      </c>
      <c r="C19" s="107" t="s">
        <v>715</v>
      </c>
      <c r="D19" s="107" t="s">
        <v>2191</v>
      </c>
      <c r="E19" s="107" t="s">
        <v>121</v>
      </c>
      <c r="F19" s="107" t="s">
        <v>712</v>
      </c>
      <c r="G19" s="107" t="s">
        <v>1883</v>
      </c>
      <c r="H19" s="107" t="s">
        <v>1884</v>
      </c>
    </row>
    <row r="20" spans="1:8" ht="32.6">
      <c r="A20" s="106" t="s">
        <v>716</v>
      </c>
      <c r="B20" s="107" t="s">
        <v>717</v>
      </c>
      <c r="C20" s="107" t="s">
        <v>718</v>
      </c>
      <c r="D20" s="107" t="s">
        <v>2137</v>
      </c>
      <c r="E20" s="107" t="s">
        <v>121</v>
      </c>
      <c r="F20" s="107" t="s">
        <v>679</v>
      </c>
      <c r="G20" s="107" t="s">
        <v>719</v>
      </c>
      <c r="H20" s="107" t="s">
        <v>1885</v>
      </c>
    </row>
    <row r="21" spans="1:8" ht="152.15" customHeight="1">
      <c r="A21" s="106"/>
      <c r="B21" s="225" t="s">
        <v>2332</v>
      </c>
      <c r="C21" s="226"/>
      <c r="D21" s="226"/>
      <c r="E21" s="226"/>
      <c r="F21" s="226"/>
      <c r="G21" s="226"/>
      <c r="H21" s="227"/>
    </row>
    <row r="22" spans="1:8" ht="32.6">
      <c r="A22" s="140" t="s">
        <v>720</v>
      </c>
      <c r="B22" s="141" t="s">
        <v>721</v>
      </c>
      <c r="C22" s="141">
        <v>32</v>
      </c>
      <c r="D22" s="141" t="s">
        <v>2137</v>
      </c>
      <c r="E22" s="141" t="s">
        <v>121</v>
      </c>
      <c r="F22" s="141" t="s">
        <v>690</v>
      </c>
      <c r="G22" s="141" t="s">
        <v>722</v>
      </c>
      <c r="H22" s="141" t="s">
        <v>723</v>
      </c>
    </row>
    <row r="23" spans="1:8" ht="32.6">
      <c r="A23" s="140" t="s">
        <v>724</v>
      </c>
      <c r="B23" s="141" t="s">
        <v>2409</v>
      </c>
      <c r="C23" s="141">
        <v>27</v>
      </c>
      <c r="D23" s="141" t="s">
        <v>2137</v>
      </c>
      <c r="E23" s="141" t="s">
        <v>121</v>
      </c>
      <c r="F23" s="141"/>
      <c r="G23" s="141" t="s">
        <v>725</v>
      </c>
      <c r="H23" s="141"/>
    </row>
    <row r="24" spans="1:8" ht="32.6">
      <c r="A24" s="42" t="s">
        <v>726</v>
      </c>
      <c r="B24" s="69" t="s">
        <v>1886</v>
      </c>
      <c r="C24" s="69">
        <v>12</v>
      </c>
      <c r="D24" s="69" t="s">
        <v>2137</v>
      </c>
      <c r="E24" s="69" t="s">
        <v>121</v>
      </c>
      <c r="F24" s="69" t="s">
        <v>727</v>
      </c>
      <c r="G24" s="73" t="s">
        <v>728</v>
      </c>
      <c r="H24" s="69"/>
    </row>
    <row r="25" spans="1:8" ht="36.9" customHeight="1">
      <c r="A25" s="23" t="s">
        <v>2333</v>
      </c>
      <c r="B25" s="73" t="s">
        <v>2154</v>
      </c>
      <c r="C25" s="73">
        <v>19</v>
      </c>
      <c r="D25" s="73" t="s">
        <v>2137</v>
      </c>
      <c r="E25" s="73" t="s">
        <v>121</v>
      </c>
      <c r="F25" s="73" t="s">
        <v>727</v>
      </c>
      <c r="G25" s="73" t="s">
        <v>1887</v>
      </c>
      <c r="H25" s="73"/>
    </row>
    <row r="26" spans="1:8">
      <c r="A26" s="43" t="s">
        <v>123</v>
      </c>
      <c r="B26" s="74" t="s">
        <v>729</v>
      </c>
      <c r="C26" s="74">
        <v>18</v>
      </c>
      <c r="D26" s="74" t="s">
        <v>2137</v>
      </c>
      <c r="E26" s="74" t="s">
        <v>121</v>
      </c>
      <c r="F26" s="74" t="s">
        <v>727</v>
      </c>
      <c r="G26" s="74" t="s">
        <v>730</v>
      </c>
      <c r="H26" s="74"/>
    </row>
    <row r="27" spans="1:8">
      <c r="A27" s="23" t="s">
        <v>731</v>
      </c>
      <c r="B27" s="73" t="s">
        <v>732</v>
      </c>
      <c r="C27" s="73">
        <v>24</v>
      </c>
      <c r="D27" s="73" t="s">
        <v>2137</v>
      </c>
      <c r="E27" s="73" t="s">
        <v>121</v>
      </c>
      <c r="F27" s="73" t="s">
        <v>727</v>
      </c>
      <c r="G27" s="73" t="s">
        <v>733</v>
      </c>
      <c r="H27" s="73"/>
    </row>
    <row r="28" spans="1:8">
      <c r="A28" s="23" t="s">
        <v>734</v>
      </c>
      <c r="B28" s="73" t="s">
        <v>1888</v>
      </c>
      <c r="C28" s="73">
        <v>30</v>
      </c>
      <c r="D28" s="73" t="s">
        <v>2137</v>
      </c>
      <c r="E28" s="73" t="s">
        <v>121</v>
      </c>
      <c r="F28" s="73" t="s">
        <v>727</v>
      </c>
      <c r="G28" s="73" t="s">
        <v>735</v>
      </c>
      <c r="H28" s="73"/>
    </row>
    <row r="29" spans="1:8">
      <c r="A29" s="23" t="s">
        <v>736</v>
      </c>
      <c r="B29" s="73" t="s">
        <v>737</v>
      </c>
      <c r="C29" s="73">
        <v>18</v>
      </c>
      <c r="D29" s="73" t="s">
        <v>2137</v>
      </c>
      <c r="E29" s="73" t="s">
        <v>121</v>
      </c>
      <c r="F29" s="73"/>
      <c r="G29" s="73" t="s">
        <v>699</v>
      </c>
      <c r="H29" s="73" t="s">
        <v>738</v>
      </c>
    </row>
    <row r="30" spans="1:8" ht="32.6">
      <c r="A30" s="23" t="s">
        <v>739</v>
      </c>
      <c r="B30" s="73" t="s">
        <v>740</v>
      </c>
      <c r="C30" s="73">
        <v>24</v>
      </c>
      <c r="D30" s="73" t="s">
        <v>2137</v>
      </c>
      <c r="E30" s="73" t="s">
        <v>121</v>
      </c>
      <c r="F30" s="73"/>
      <c r="G30" s="73" t="s">
        <v>684</v>
      </c>
      <c r="H30" s="73" t="s">
        <v>741</v>
      </c>
    </row>
    <row r="31" spans="1:8" ht="32.6">
      <c r="A31" s="23" t="s">
        <v>742</v>
      </c>
      <c r="B31" s="73" t="s">
        <v>1889</v>
      </c>
      <c r="C31" s="73">
        <v>39</v>
      </c>
      <c r="D31" s="73" t="s">
        <v>2137</v>
      </c>
      <c r="E31" s="73" t="s">
        <v>121</v>
      </c>
      <c r="F31" s="73"/>
      <c r="G31" s="73" t="s">
        <v>743</v>
      </c>
      <c r="H31" s="73" t="s">
        <v>741</v>
      </c>
    </row>
    <row r="32" spans="1:8" ht="32.6">
      <c r="A32" s="23" t="s">
        <v>744</v>
      </c>
      <c r="B32" s="73">
        <v>360</v>
      </c>
      <c r="C32" s="73">
        <v>47</v>
      </c>
      <c r="D32" s="73" t="s">
        <v>2390</v>
      </c>
      <c r="E32" s="73" t="s">
        <v>121</v>
      </c>
      <c r="F32" s="73" t="s">
        <v>745</v>
      </c>
      <c r="G32" s="73">
        <v>13.634499999999999</v>
      </c>
      <c r="H32" s="73" t="s">
        <v>746</v>
      </c>
    </row>
    <row r="33" spans="1:8" ht="32.6">
      <c r="A33" s="23" t="s">
        <v>747</v>
      </c>
      <c r="B33" s="73" t="s">
        <v>748</v>
      </c>
      <c r="C33" s="73">
        <v>57</v>
      </c>
      <c r="D33" s="73" t="s">
        <v>2390</v>
      </c>
      <c r="E33" s="73" t="s">
        <v>121</v>
      </c>
      <c r="F33" s="73" t="s">
        <v>749</v>
      </c>
      <c r="G33" s="73">
        <v>13.634499999999999</v>
      </c>
      <c r="H33" s="73" t="s">
        <v>746</v>
      </c>
    </row>
    <row r="34" spans="1:8">
      <c r="A34" s="23" t="s">
        <v>2334</v>
      </c>
      <c r="B34" s="73" t="s">
        <v>1890</v>
      </c>
      <c r="C34" s="73">
        <v>47</v>
      </c>
      <c r="D34" s="73" t="s">
        <v>2390</v>
      </c>
      <c r="E34" s="73" t="s">
        <v>121</v>
      </c>
      <c r="F34" s="73" t="s">
        <v>745</v>
      </c>
      <c r="G34" s="73" t="s">
        <v>1891</v>
      </c>
      <c r="H34" s="73" t="s">
        <v>1892</v>
      </c>
    </row>
    <row r="35" spans="1:8">
      <c r="A35" s="23" t="s">
        <v>750</v>
      </c>
      <c r="B35" s="73" t="s">
        <v>751</v>
      </c>
      <c r="C35" s="73">
        <v>4</v>
      </c>
      <c r="D35" s="73" t="s">
        <v>2137</v>
      </c>
      <c r="E35" s="73" t="s">
        <v>121</v>
      </c>
      <c r="F35" s="73" t="s">
        <v>752</v>
      </c>
      <c r="G35" s="73">
        <v>3</v>
      </c>
      <c r="H35" s="73"/>
    </row>
    <row r="36" spans="1:8">
      <c r="A36" s="23" t="s">
        <v>124</v>
      </c>
      <c r="B36" s="73" t="s">
        <v>753</v>
      </c>
      <c r="C36" s="73">
        <v>12</v>
      </c>
      <c r="D36" s="73" t="s">
        <v>2137</v>
      </c>
      <c r="E36" s="73" t="s">
        <v>121</v>
      </c>
      <c r="F36" s="73" t="s">
        <v>752</v>
      </c>
      <c r="G36" s="73">
        <v>10.175000000000001</v>
      </c>
      <c r="H36" s="73"/>
    </row>
    <row r="37" spans="1:8" ht="32.6">
      <c r="A37" s="23" t="s">
        <v>754</v>
      </c>
      <c r="B37" s="73" t="s">
        <v>2408</v>
      </c>
      <c r="C37" s="73">
        <v>17</v>
      </c>
      <c r="D37" s="73" t="s">
        <v>2137</v>
      </c>
      <c r="E37" s="73" t="s">
        <v>121</v>
      </c>
      <c r="F37" s="73" t="s">
        <v>752</v>
      </c>
      <c r="G37" s="73" t="s">
        <v>755</v>
      </c>
      <c r="H37" s="73" t="s">
        <v>1893</v>
      </c>
    </row>
    <row r="38" spans="1:8" ht="32.6">
      <c r="A38" s="23" t="s">
        <v>756</v>
      </c>
      <c r="B38" s="75" t="s">
        <v>757</v>
      </c>
      <c r="C38" s="73">
        <v>22</v>
      </c>
      <c r="D38" s="73" t="s">
        <v>2137</v>
      </c>
      <c r="E38" s="73" t="s">
        <v>121</v>
      </c>
      <c r="F38" s="73" t="s">
        <v>758</v>
      </c>
      <c r="G38" s="73" t="s">
        <v>759</v>
      </c>
      <c r="H38" s="73" t="s">
        <v>760</v>
      </c>
    </row>
    <row r="39" spans="1:8">
      <c r="A39" s="24" t="s">
        <v>761</v>
      </c>
      <c r="B39" s="54">
        <v>146</v>
      </c>
      <c r="C39" s="54">
        <v>13</v>
      </c>
      <c r="D39" s="54" t="s">
        <v>2137</v>
      </c>
      <c r="E39" s="54" t="s">
        <v>121</v>
      </c>
      <c r="F39" s="54"/>
      <c r="G39" s="54">
        <v>3</v>
      </c>
      <c r="H39" s="54" t="s">
        <v>762</v>
      </c>
    </row>
    <row r="40" spans="1:8">
      <c r="A40" s="24" t="s">
        <v>763</v>
      </c>
      <c r="B40" s="54">
        <v>111</v>
      </c>
      <c r="C40" s="54">
        <v>7</v>
      </c>
      <c r="D40" s="54" t="s">
        <v>2137</v>
      </c>
      <c r="E40" s="54" t="s">
        <v>121</v>
      </c>
      <c r="F40" s="54" t="s">
        <v>764</v>
      </c>
      <c r="G40" s="54">
        <v>2</v>
      </c>
      <c r="H40" s="54" t="s">
        <v>762</v>
      </c>
    </row>
    <row r="41" spans="1:8" ht="32.6">
      <c r="A41" s="24" t="s">
        <v>765</v>
      </c>
      <c r="B41" s="54" t="s">
        <v>766</v>
      </c>
      <c r="C41" s="54">
        <v>21</v>
      </c>
      <c r="D41" s="54" t="s">
        <v>2137</v>
      </c>
      <c r="E41" s="54" t="s">
        <v>121</v>
      </c>
      <c r="F41" s="54" t="s">
        <v>764</v>
      </c>
      <c r="G41" s="54" t="s">
        <v>680</v>
      </c>
      <c r="H41" s="54" t="s">
        <v>762</v>
      </c>
    </row>
    <row r="42" spans="1:8" ht="48.9">
      <c r="A42" s="24" t="s">
        <v>767</v>
      </c>
      <c r="B42" s="54" t="s">
        <v>768</v>
      </c>
      <c r="C42" s="54">
        <v>20</v>
      </c>
      <c r="D42" s="54" t="s">
        <v>2137</v>
      </c>
      <c r="E42" s="54" t="s">
        <v>769</v>
      </c>
      <c r="F42" s="54" t="s">
        <v>764</v>
      </c>
      <c r="G42" s="54">
        <v>0</v>
      </c>
      <c r="H42" s="54" t="s">
        <v>770</v>
      </c>
    </row>
    <row r="43" spans="1:8" ht="32.6">
      <c r="A43" s="25" t="s">
        <v>771</v>
      </c>
      <c r="B43" s="76" t="s">
        <v>1894</v>
      </c>
      <c r="C43" s="76">
        <v>16</v>
      </c>
      <c r="D43" s="76" t="s">
        <v>2137</v>
      </c>
      <c r="E43" s="76" t="s">
        <v>148</v>
      </c>
      <c r="F43" s="76" t="s">
        <v>1895</v>
      </c>
      <c r="G43" s="76" t="s">
        <v>772</v>
      </c>
      <c r="H43" s="76"/>
    </row>
    <row r="44" spans="1:8" ht="48.9">
      <c r="A44" s="25" t="s">
        <v>773</v>
      </c>
      <c r="B44" s="76" t="s">
        <v>1896</v>
      </c>
      <c r="C44" s="76">
        <v>28</v>
      </c>
      <c r="D44" s="76" t="s">
        <v>2137</v>
      </c>
      <c r="E44" s="76" t="s">
        <v>148</v>
      </c>
      <c r="F44" s="76" t="s">
        <v>1895</v>
      </c>
      <c r="G44" s="76" t="s">
        <v>1897</v>
      </c>
      <c r="H44" s="76" t="s">
        <v>2228</v>
      </c>
    </row>
    <row r="45" spans="1:8" ht="32.6">
      <c r="A45" s="25" t="s">
        <v>774</v>
      </c>
      <c r="B45" s="76" t="s">
        <v>775</v>
      </c>
      <c r="C45" s="76" t="s">
        <v>776</v>
      </c>
      <c r="D45" s="76" t="s">
        <v>2137</v>
      </c>
      <c r="E45" s="76" t="s">
        <v>148</v>
      </c>
      <c r="F45" s="76" t="s">
        <v>1895</v>
      </c>
      <c r="G45" s="76" t="s">
        <v>777</v>
      </c>
      <c r="H45" s="76" t="s">
        <v>778</v>
      </c>
    </row>
    <row r="46" spans="1:8">
      <c r="A46" s="25" t="s">
        <v>779</v>
      </c>
      <c r="B46" s="76" t="s">
        <v>780</v>
      </c>
      <c r="C46" s="76">
        <v>23</v>
      </c>
      <c r="D46" s="76" t="s">
        <v>2137</v>
      </c>
      <c r="E46" s="76" t="s">
        <v>148</v>
      </c>
      <c r="F46" s="76" t="s">
        <v>1898</v>
      </c>
      <c r="G46" s="76" t="s">
        <v>781</v>
      </c>
      <c r="H46" s="76" t="s">
        <v>782</v>
      </c>
    </row>
    <row r="47" spans="1:8">
      <c r="A47" s="26" t="s">
        <v>783</v>
      </c>
      <c r="B47" s="77" t="s">
        <v>784</v>
      </c>
      <c r="C47" s="62">
        <v>12</v>
      </c>
      <c r="D47" s="62" t="s">
        <v>2137</v>
      </c>
      <c r="E47" s="62" t="s">
        <v>121</v>
      </c>
      <c r="F47" s="62" t="s">
        <v>785</v>
      </c>
      <c r="G47" s="62">
        <v>5.5</v>
      </c>
      <c r="H47" s="62"/>
    </row>
    <row r="48" spans="1:8" ht="32.6">
      <c r="A48" s="26" t="s">
        <v>380</v>
      </c>
      <c r="B48" s="77" t="s">
        <v>1899</v>
      </c>
      <c r="C48" s="62">
        <v>17</v>
      </c>
      <c r="D48" s="62" t="s">
        <v>2137</v>
      </c>
      <c r="E48" s="62" t="s">
        <v>121</v>
      </c>
      <c r="F48" s="62" t="s">
        <v>1900</v>
      </c>
      <c r="G48" s="62" t="s">
        <v>1901</v>
      </c>
      <c r="H48" s="62"/>
    </row>
    <row r="49" spans="1:8" ht="48.9">
      <c r="A49" s="142" t="s">
        <v>786</v>
      </c>
      <c r="B49" s="143" t="s">
        <v>787</v>
      </c>
      <c r="C49" s="143">
        <v>21</v>
      </c>
      <c r="D49" s="143" t="s">
        <v>2137</v>
      </c>
      <c r="E49" s="143" t="s">
        <v>121</v>
      </c>
      <c r="F49" s="143" t="s">
        <v>788</v>
      </c>
      <c r="G49" s="143" t="s">
        <v>789</v>
      </c>
      <c r="H49" s="143"/>
    </row>
    <row r="50" spans="1:8">
      <c r="A50" s="142" t="s">
        <v>790</v>
      </c>
      <c r="B50" s="143" t="s">
        <v>791</v>
      </c>
      <c r="C50" s="143" t="s">
        <v>792</v>
      </c>
      <c r="D50" s="143" t="s">
        <v>2137</v>
      </c>
      <c r="E50" s="143" t="s">
        <v>121</v>
      </c>
      <c r="F50" s="143" t="s">
        <v>788</v>
      </c>
      <c r="G50" s="143" t="s">
        <v>699</v>
      </c>
      <c r="H50" s="143" t="s">
        <v>1884</v>
      </c>
    </row>
    <row r="51" spans="1:8">
      <c r="A51" s="142" t="s">
        <v>793</v>
      </c>
      <c r="B51" s="143" t="s">
        <v>2410</v>
      </c>
      <c r="C51" s="143">
        <v>34</v>
      </c>
      <c r="D51" s="143" t="s">
        <v>2137</v>
      </c>
      <c r="E51" s="143" t="s">
        <v>121</v>
      </c>
      <c r="F51" s="143" t="s">
        <v>788</v>
      </c>
      <c r="G51" s="143" t="s">
        <v>794</v>
      </c>
      <c r="H51" s="143"/>
    </row>
    <row r="52" spans="1:8" ht="32.6">
      <c r="A52" s="45" t="s">
        <v>795</v>
      </c>
      <c r="B52" s="72" t="s">
        <v>796</v>
      </c>
      <c r="C52" s="72">
        <v>12</v>
      </c>
      <c r="D52" s="72" t="s">
        <v>2137</v>
      </c>
      <c r="E52" s="72" t="s">
        <v>121</v>
      </c>
      <c r="F52" s="72" t="s">
        <v>136</v>
      </c>
      <c r="G52" s="72" t="s">
        <v>797</v>
      </c>
      <c r="H52" s="72"/>
    </row>
    <row r="53" spans="1:8" ht="32.6">
      <c r="A53" s="45" t="s">
        <v>798</v>
      </c>
      <c r="B53" s="72" t="s">
        <v>799</v>
      </c>
      <c r="C53" s="72">
        <v>18</v>
      </c>
      <c r="D53" s="72" t="s">
        <v>2137</v>
      </c>
      <c r="E53" s="72" t="s">
        <v>121</v>
      </c>
      <c r="F53" s="72" t="s">
        <v>136</v>
      </c>
      <c r="G53" s="72" t="s">
        <v>800</v>
      </c>
      <c r="H53" s="72"/>
    </row>
    <row r="54" spans="1:8" ht="32.6">
      <c r="A54" s="45" t="s">
        <v>2335</v>
      </c>
      <c r="B54" s="72" t="s">
        <v>1902</v>
      </c>
      <c r="C54" s="72">
        <v>18</v>
      </c>
      <c r="D54" s="72" t="s">
        <v>2137</v>
      </c>
      <c r="E54" s="72" t="s">
        <v>121</v>
      </c>
      <c r="F54" s="72" t="s">
        <v>136</v>
      </c>
      <c r="G54" s="72" t="s">
        <v>1903</v>
      </c>
      <c r="H54" s="72" t="s">
        <v>1904</v>
      </c>
    </row>
    <row r="55" spans="1:8">
      <c r="A55" s="45" t="s">
        <v>801</v>
      </c>
      <c r="B55" s="72" t="s">
        <v>802</v>
      </c>
      <c r="C55" s="72">
        <v>18</v>
      </c>
      <c r="D55" s="72" t="s">
        <v>2137</v>
      </c>
      <c r="E55" s="72" t="s">
        <v>2092</v>
      </c>
      <c r="F55" s="72" t="s">
        <v>136</v>
      </c>
      <c r="G55" s="72" t="s">
        <v>803</v>
      </c>
      <c r="H55" s="72"/>
    </row>
    <row r="56" spans="1:8" ht="32.6">
      <c r="A56" s="45" t="s">
        <v>2336</v>
      </c>
      <c r="B56" s="72" t="s">
        <v>2157</v>
      </c>
      <c r="C56" s="72">
        <v>18</v>
      </c>
      <c r="D56" s="72" t="s">
        <v>2137</v>
      </c>
      <c r="E56" s="72" t="s">
        <v>2092</v>
      </c>
      <c r="F56" s="72" t="s">
        <v>136</v>
      </c>
      <c r="G56" s="72" t="s">
        <v>1905</v>
      </c>
      <c r="H56" s="72"/>
    </row>
    <row r="57" spans="1:8" ht="32.6">
      <c r="A57" s="45" t="s">
        <v>804</v>
      </c>
      <c r="B57" s="72" t="s">
        <v>805</v>
      </c>
      <c r="C57" s="72" t="s">
        <v>806</v>
      </c>
      <c r="D57" s="72" t="s">
        <v>2137</v>
      </c>
      <c r="E57" s="72" t="s">
        <v>2093</v>
      </c>
      <c r="F57" s="72" t="s">
        <v>136</v>
      </c>
      <c r="G57" s="72" t="s">
        <v>807</v>
      </c>
      <c r="H57" s="72" t="s">
        <v>1906</v>
      </c>
    </row>
    <row r="58" spans="1:8" ht="32.6">
      <c r="A58" s="45" t="s">
        <v>808</v>
      </c>
      <c r="B58" s="72" t="s">
        <v>809</v>
      </c>
      <c r="C58" s="72" t="s">
        <v>810</v>
      </c>
      <c r="D58" s="72" t="s">
        <v>2137</v>
      </c>
      <c r="E58" s="72" t="s">
        <v>2093</v>
      </c>
      <c r="F58" s="72" t="s">
        <v>136</v>
      </c>
      <c r="G58" s="72" t="s">
        <v>807</v>
      </c>
      <c r="H58" s="72" t="s">
        <v>1906</v>
      </c>
    </row>
    <row r="59" spans="1:8" ht="32.6">
      <c r="A59" s="57" t="s">
        <v>2337</v>
      </c>
      <c r="B59" s="78" t="s">
        <v>2155</v>
      </c>
      <c r="C59" s="78">
        <v>10</v>
      </c>
      <c r="D59" s="78" t="s">
        <v>2137</v>
      </c>
      <c r="E59" s="78" t="s">
        <v>1235</v>
      </c>
      <c r="F59" s="78" t="s">
        <v>1907</v>
      </c>
      <c r="G59" s="78" t="s">
        <v>1908</v>
      </c>
      <c r="H59" s="78"/>
    </row>
    <row r="60" spans="1:8" ht="32.6">
      <c r="A60" s="57" t="s">
        <v>2338</v>
      </c>
      <c r="B60" s="78" t="s">
        <v>2156</v>
      </c>
      <c r="C60" s="78">
        <v>23</v>
      </c>
      <c r="D60" s="78" t="s">
        <v>2137</v>
      </c>
      <c r="E60" s="78" t="s">
        <v>1235</v>
      </c>
      <c r="F60" s="78" t="s">
        <v>1907</v>
      </c>
      <c r="G60" s="78" t="s">
        <v>1909</v>
      </c>
      <c r="H60" s="78"/>
    </row>
    <row r="61" spans="1:8" ht="32.6">
      <c r="A61" s="57" t="s">
        <v>2339</v>
      </c>
      <c r="B61" s="78" t="s">
        <v>1910</v>
      </c>
      <c r="C61" s="78">
        <v>26</v>
      </c>
      <c r="D61" s="78" t="s">
        <v>2137</v>
      </c>
      <c r="E61" s="78" t="s">
        <v>1235</v>
      </c>
      <c r="F61" s="78" t="s">
        <v>1907</v>
      </c>
      <c r="G61" s="78" t="s">
        <v>1911</v>
      </c>
      <c r="H61" s="78" t="s">
        <v>1134</v>
      </c>
    </row>
    <row r="62" spans="1:8" ht="32.6">
      <c r="A62" s="57" t="s">
        <v>2340</v>
      </c>
      <c r="B62" s="78" t="s">
        <v>1912</v>
      </c>
      <c r="C62" s="78">
        <v>20</v>
      </c>
      <c r="D62" s="78" t="s">
        <v>2137</v>
      </c>
      <c r="E62" s="78" t="s">
        <v>1329</v>
      </c>
      <c r="F62" s="78" t="s">
        <v>1907</v>
      </c>
      <c r="G62" s="78" t="s">
        <v>1913</v>
      </c>
      <c r="H62" s="78" t="s">
        <v>2112</v>
      </c>
    </row>
    <row r="63" spans="1:8" ht="32.6">
      <c r="A63" s="27" t="s">
        <v>418</v>
      </c>
      <c r="B63" s="79" t="s">
        <v>2407</v>
      </c>
      <c r="C63" s="79">
        <v>12</v>
      </c>
      <c r="D63" s="79" t="s">
        <v>2137</v>
      </c>
      <c r="E63" s="79" t="s">
        <v>121</v>
      </c>
      <c r="F63" s="79"/>
      <c r="G63" s="79" t="s">
        <v>811</v>
      </c>
      <c r="H63" s="79"/>
    </row>
    <row r="64" spans="1:8" ht="32.6">
      <c r="A64" s="27" t="s">
        <v>537</v>
      </c>
      <c r="B64" s="79" t="s">
        <v>2406</v>
      </c>
      <c r="C64" s="79">
        <v>16</v>
      </c>
      <c r="D64" s="79" t="s">
        <v>2137</v>
      </c>
      <c r="E64" s="79" t="s">
        <v>121</v>
      </c>
      <c r="F64" s="79"/>
      <c r="G64" s="79" t="s">
        <v>812</v>
      </c>
      <c r="H64" s="79"/>
    </row>
    <row r="65" spans="1:8" ht="32.6">
      <c r="A65" s="28" t="s">
        <v>813</v>
      </c>
      <c r="B65" s="48" t="s">
        <v>814</v>
      </c>
      <c r="C65" s="48" t="s">
        <v>815</v>
      </c>
      <c r="D65" s="48" t="s">
        <v>2147</v>
      </c>
      <c r="E65" s="48" t="s">
        <v>121</v>
      </c>
      <c r="F65" s="48" t="s">
        <v>816</v>
      </c>
      <c r="G65" s="48" t="s">
        <v>817</v>
      </c>
      <c r="H65" s="47" t="s">
        <v>818</v>
      </c>
    </row>
    <row r="66" spans="1:8">
      <c r="A66" s="28" t="s">
        <v>819</v>
      </c>
      <c r="B66" s="48" t="s">
        <v>820</v>
      </c>
      <c r="C66" s="48">
        <v>9</v>
      </c>
      <c r="D66" s="48" t="s">
        <v>2137</v>
      </c>
      <c r="E66" s="48" t="s">
        <v>121</v>
      </c>
      <c r="F66" s="48" t="s">
        <v>816</v>
      </c>
      <c r="G66" s="48">
        <v>7</v>
      </c>
      <c r="H66" s="47" t="s">
        <v>821</v>
      </c>
    </row>
    <row r="67" spans="1:8">
      <c r="A67" s="44" t="s">
        <v>2341</v>
      </c>
      <c r="B67" s="49" t="s">
        <v>2153</v>
      </c>
      <c r="C67" s="49">
        <v>15</v>
      </c>
      <c r="D67" s="49" t="s">
        <v>2137</v>
      </c>
      <c r="E67" s="49" t="s">
        <v>121</v>
      </c>
      <c r="F67" s="49" t="s">
        <v>816</v>
      </c>
      <c r="G67" s="49" t="s">
        <v>2158</v>
      </c>
      <c r="H67" s="49" t="s">
        <v>2195</v>
      </c>
    </row>
    <row r="68" spans="1:8" ht="32.6">
      <c r="A68" s="22" t="s">
        <v>822</v>
      </c>
      <c r="B68" s="63" t="s">
        <v>823</v>
      </c>
      <c r="C68" s="63">
        <v>12</v>
      </c>
      <c r="D68" s="63" t="s">
        <v>2137</v>
      </c>
      <c r="E68" s="63" t="s">
        <v>121</v>
      </c>
      <c r="F68" s="63" t="s">
        <v>824</v>
      </c>
      <c r="G68" s="63" t="s">
        <v>825</v>
      </c>
      <c r="H68" s="63"/>
    </row>
    <row r="69" spans="1:8" ht="32.6">
      <c r="A69" s="22" t="s">
        <v>826</v>
      </c>
      <c r="B69" s="63" t="s">
        <v>827</v>
      </c>
      <c r="C69" s="63">
        <v>21</v>
      </c>
      <c r="D69" s="63" t="s">
        <v>2137</v>
      </c>
      <c r="E69" s="63" t="s">
        <v>121</v>
      </c>
      <c r="F69" s="63" t="s">
        <v>824</v>
      </c>
      <c r="G69" s="63" t="s">
        <v>828</v>
      </c>
      <c r="H69" s="63"/>
    </row>
    <row r="70" spans="1:8" ht="32.6">
      <c r="A70" s="22" t="s">
        <v>2342</v>
      </c>
      <c r="B70" s="63" t="s">
        <v>2159</v>
      </c>
      <c r="C70" s="63">
        <v>14</v>
      </c>
      <c r="D70" s="63" t="s">
        <v>2137</v>
      </c>
      <c r="E70" s="63" t="s">
        <v>121</v>
      </c>
      <c r="F70" s="63" t="s">
        <v>2039</v>
      </c>
      <c r="G70" s="63" t="s">
        <v>825</v>
      </c>
      <c r="H70" s="63"/>
    </row>
    <row r="71" spans="1:8">
      <c r="A71" s="22" t="s">
        <v>1914</v>
      </c>
      <c r="B71" s="144" t="s">
        <v>829</v>
      </c>
      <c r="C71" s="63">
        <v>29</v>
      </c>
      <c r="D71" s="63" t="s">
        <v>2137</v>
      </c>
      <c r="E71" s="63" t="s">
        <v>121</v>
      </c>
      <c r="F71" s="63" t="s">
        <v>824</v>
      </c>
      <c r="G71" s="63" t="s">
        <v>830</v>
      </c>
      <c r="H71" s="63" t="s">
        <v>1134</v>
      </c>
    </row>
    <row r="72" spans="1:8">
      <c r="A72" s="22" t="s">
        <v>831</v>
      </c>
      <c r="B72" s="63" t="s">
        <v>832</v>
      </c>
      <c r="C72" s="63">
        <v>17</v>
      </c>
      <c r="D72" s="63" t="s">
        <v>2137</v>
      </c>
      <c r="E72" s="63" t="s">
        <v>121</v>
      </c>
      <c r="F72" s="63" t="s">
        <v>824</v>
      </c>
      <c r="G72" s="63" t="s">
        <v>833</v>
      </c>
      <c r="H72" s="63"/>
    </row>
    <row r="73" spans="1:8" ht="65.150000000000006">
      <c r="A73" s="145" t="s">
        <v>2343</v>
      </c>
      <c r="B73" s="146" t="s">
        <v>1915</v>
      </c>
      <c r="C73" s="146">
        <v>41</v>
      </c>
      <c r="D73" s="146" t="s">
        <v>2137</v>
      </c>
      <c r="E73" s="146" t="s">
        <v>1235</v>
      </c>
      <c r="F73" s="146"/>
      <c r="G73" s="146" t="s">
        <v>1916</v>
      </c>
      <c r="H73" s="146"/>
    </row>
    <row r="74" spans="1:8">
      <c r="A74" s="145" t="s">
        <v>2344</v>
      </c>
      <c r="B74" s="146" t="s">
        <v>2411</v>
      </c>
      <c r="C74" s="146">
        <v>29</v>
      </c>
      <c r="D74" s="146" t="s">
        <v>2137</v>
      </c>
      <c r="E74" s="146" t="s">
        <v>1235</v>
      </c>
      <c r="F74" s="146"/>
      <c r="G74" s="146">
        <v>5</v>
      </c>
      <c r="H74" s="146"/>
    </row>
  </sheetData>
  <mergeCells count="4">
    <mergeCell ref="A1:H1"/>
    <mergeCell ref="A2:H2"/>
    <mergeCell ref="A3:H3"/>
    <mergeCell ref="B21:H21"/>
  </mergeCells>
  <phoneticPr fontId="18" type="noConversion"/>
  <pageMargins left="0.7" right="0.7" top="0.75" bottom="0.75" header="0.3" footer="0.3"/>
  <pageSetup paperSize="9" scale="5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34D26-9C5E-4B38-B826-9CA0FFD6CCA4}">
  <sheetPr codeName="Sheet9">
    <pageSetUpPr autoPageBreaks="0" fitToPage="1"/>
  </sheetPr>
  <dimension ref="A1:H91"/>
  <sheetViews>
    <sheetView topLeftCell="A80" zoomScale="60" zoomScaleNormal="60" workbookViewId="0">
      <selection sqref="A1:H91"/>
    </sheetView>
  </sheetViews>
  <sheetFormatPr defaultColWidth="22.23046875" defaultRowHeight="16.3"/>
  <cols>
    <col min="1" max="1" width="19.15234375" style="21" customWidth="1"/>
    <col min="2" max="2" width="39.23046875" style="21" customWidth="1"/>
    <col min="3" max="3" width="10.61328125" style="20" customWidth="1"/>
    <col min="4" max="4" width="9.07421875" style="20" customWidth="1"/>
    <col min="5" max="6" width="10" style="21" customWidth="1"/>
    <col min="7" max="7" width="28" style="21" customWidth="1"/>
    <col min="8" max="8" width="34.23046875" style="21" customWidth="1"/>
    <col min="9" max="16384" width="22.23046875" style="21"/>
  </cols>
  <sheetData>
    <row r="1" spans="1:8" ht="41.6" customHeight="1">
      <c r="A1" s="228" t="s">
        <v>2402</v>
      </c>
      <c r="B1" s="229"/>
      <c r="C1" s="230"/>
      <c r="D1" s="230"/>
      <c r="E1" s="231"/>
      <c r="F1" s="231"/>
      <c r="G1" s="231"/>
      <c r="H1" s="231"/>
    </row>
    <row r="2" spans="1:8" ht="43.3" customHeight="1">
      <c r="A2" s="232" t="s">
        <v>2345</v>
      </c>
      <c r="B2" s="232"/>
      <c r="C2" s="233"/>
      <c r="D2" s="233"/>
      <c r="E2" s="232"/>
      <c r="F2" s="232"/>
      <c r="G2" s="232"/>
      <c r="H2" s="232"/>
    </row>
    <row r="3" spans="1:8" ht="37.299999999999997" customHeight="1">
      <c r="A3" s="232" t="s">
        <v>2374</v>
      </c>
      <c r="B3" s="232"/>
      <c r="C3" s="233"/>
      <c r="D3" s="233"/>
      <c r="E3" s="232"/>
      <c r="F3" s="232"/>
      <c r="G3" s="232"/>
      <c r="H3" s="232"/>
    </row>
    <row r="4" spans="1:8" ht="24" customHeight="1">
      <c r="A4" s="93" t="s">
        <v>2571</v>
      </c>
      <c r="B4" s="94" t="s">
        <v>672</v>
      </c>
      <c r="C4" s="94" t="s">
        <v>2</v>
      </c>
      <c r="D4" s="94" t="s">
        <v>2134</v>
      </c>
      <c r="E4" s="94" t="s">
        <v>3</v>
      </c>
      <c r="F4" s="94" t="s">
        <v>673</v>
      </c>
      <c r="G4" s="94" t="s">
        <v>674</v>
      </c>
      <c r="H4" s="94" t="s">
        <v>7</v>
      </c>
    </row>
    <row r="5" spans="1:8" ht="32.6">
      <c r="A5" s="30" t="s">
        <v>834</v>
      </c>
      <c r="B5" s="91" t="s">
        <v>835</v>
      </c>
      <c r="C5" s="91">
        <v>40</v>
      </c>
      <c r="D5" s="91" t="s">
        <v>2137</v>
      </c>
      <c r="E5" s="91" t="s">
        <v>180</v>
      </c>
      <c r="F5" s="91"/>
      <c r="G5" s="91" t="s">
        <v>836</v>
      </c>
      <c r="H5" s="91" t="s">
        <v>1395</v>
      </c>
    </row>
    <row r="6" spans="1:8" ht="32.6">
      <c r="A6" s="30" t="s">
        <v>2349</v>
      </c>
      <c r="B6" s="91" t="s">
        <v>1929</v>
      </c>
      <c r="C6" s="91">
        <v>18</v>
      </c>
      <c r="D6" s="91" t="s">
        <v>2137</v>
      </c>
      <c r="E6" s="91" t="s">
        <v>180</v>
      </c>
      <c r="F6" s="91"/>
      <c r="G6" s="91" t="s">
        <v>1930</v>
      </c>
      <c r="H6" s="91" t="s">
        <v>1395</v>
      </c>
    </row>
    <row r="7" spans="1:8" ht="32.6">
      <c r="A7" s="30" t="s">
        <v>837</v>
      </c>
      <c r="B7" s="91" t="s">
        <v>838</v>
      </c>
      <c r="C7" s="91">
        <v>41</v>
      </c>
      <c r="D7" s="91" t="s">
        <v>2137</v>
      </c>
      <c r="E7" s="91" t="s">
        <v>180</v>
      </c>
      <c r="F7" s="91"/>
      <c r="G7" s="91" t="s">
        <v>839</v>
      </c>
      <c r="H7" s="91"/>
    </row>
    <row r="8" spans="1:8" ht="32.6">
      <c r="A8" s="31" t="s">
        <v>185</v>
      </c>
      <c r="B8" s="58" t="s">
        <v>840</v>
      </c>
      <c r="C8" s="58">
        <v>3</v>
      </c>
      <c r="D8" s="58" t="s">
        <v>2137</v>
      </c>
      <c r="E8" s="58" t="s">
        <v>180</v>
      </c>
      <c r="F8" s="58" t="s">
        <v>2388</v>
      </c>
      <c r="G8" s="58" t="s">
        <v>2400</v>
      </c>
      <c r="H8" s="58"/>
    </row>
    <row r="9" spans="1:8" ht="32.6">
      <c r="A9" s="31" t="s">
        <v>842</v>
      </c>
      <c r="B9" s="58" t="s">
        <v>843</v>
      </c>
      <c r="C9" s="58">
        <v>23</v>
      </c>
      <c r="D9" s="58" t="s">
        <v>2192</v>
      </c>
      <c r="E9" s="58" t="s">
        <v>180</v>
      </c>
      <c r="F9" s="58" t="s">
        <v>2388</v>
      </c>
      <c r="G9" s="58" t="s">
        <v>2401</v>
      </c>
      <c r="H9" s="58" t="s">
        <v>2389</v>
      </c>
    </row>
    <row r="10" spans="1:8" ht="32.6">
      <c r="A10" s="31" t="s">
        <v>844</v>
      </c>
      <c r="B10" s="58" t="s">
        <v>845</v>
      </c>
      <c r="C10" s="58">
        <v>21</v>
      </c>
      <c r="D10" s="58" t="s">
        <v>2192</v>
      </c>
      <c r="E10" s="58" t="s">
        <v>180</v>
      </c>
      <c r="F10" s="58" t="s">
        <v>2388</v>
      </c>
      <c r="G10" s="58" t="s">
        <v>846</v>
      </c>
      <c r="H10" s="58" t="s">
        <v>1931</v>
      </c>
    </row>
    <row r="11" spans="1:8" ht="32.6">
      <c r="A11" s="31" t="s">
        <v>2350</v>
      </c>
      <c r="B11" s="58" t="s">
        <v>1932</v>
      </c>
      <c r="C11" s="58">
        <v>23</v>
      </c>
      <c r="D11" s="58" t="s">
        <v>2192</v>
      </c>
      <c r="E11" s="58" t="s">
        <v>180</v>
      </c>
      <c r="F11" s="58" t="s">
        <v>185</v>
      </c>
      <c r="G11" s="58" t="s">
        <v>1933</v>
      </c>
      <c r="H11" s="58"/>
    </row>
    <row r="12" spans="1:8">
      <c r="A12" s="31" t="s">
        <v>847</v>
      </c>
      <c r="B12" s="58">
        <v>56</v>
      </c>
      <c r="C12" s="58">
        <v>17</v>
      </c>
      <c r="D12" s="58" t="s">
        <v>2192</v>
      </c>
      <c r="E12" s="58" t="s">
        <v>180</v>
      </c>
      <c r="F12" s="58" t="s">
        <v>841</v>
      </c>
      <c r="G12" s="58">
        <v>5</v>
      </c>
      <c r="H12" s="58" t="s">
        <v>848</v>
      </c>
    </row>
    <row r="13" spans="1:8">
      <c r="A13" s="46" t="s">
        <v>2351</v>
      </c>
      <c r="B13" s="95" t="s">
        <v>2387</v>
      </c>
      <c r="C13" s="95">
        <v>48</v>
      </c>
      <c r="D13" s="95" t="s">
        <v>2193</v>
      </c>
      <c r="E13" s="95" t="s">
        <v>180</v>
      </c>
      <c r="F13" s="95" t="s">
        <v>2194</v>
      </c>
      <c r="G13" s="95" t="s">
        <v>1934</v>
      </c>
      <c r="H13" s="95"/>
    </row>
    <row r="14" spans="1:8">
      <c r="A14" s="147" t="s">
        <v>2352</v>
      </c>
      <c r="B14" s="148" t="s">
        <v>1935</v>
      </c>
      <c r="C14" s="148">
        <v>40</v>
      </c>
      <c r="D14" s="148" t="s">
        <v>2137</v>
      </c>
      <c r="E14" s="148" t="s">
        <v>180</v>
      </c>
      <c r="F14" s="148"/>
      <c r="G14" s="148" t="s">
        <v>1936</v>
      </c>
      <c r="H14" s="148" t="s">
        <v>1937</v>
      </c>
    </row>
    <row r="15" spans="1:8" ht="48.9">
      <c r="A15" s="32" t="s">
        <v>850</v>
      </c>
      <c r="B15" s="65" t="s">
        <v>1938</v>
      </c>
      <c r="C15" s="65">
        <v>26</v>
      </c>
      <c r="D15" s="65" t="s">
        <v>2147</v>
      </c>
      <c r="E15" s="65" t="s">
        <v>180</v>
      </c>
      <c r="F15" s="65"/>
      <c r="G15" s="65" t="s">
        <v>851</v>
      </c>
      <c r="H15" s="65" t="s">
        <v>1939</v>
      </c>
    </row>
    <row r="16" spans="1:8" ht="32.6">
      <c r="A16" s="33" t="s">
        <v>852</v>
      </c>
      <c r="B16" s="70" t="s">
        <v>853</v>
      </c>
      <c r="C16" s="70" t="s">
        <v>854</v>
      </c>
      <c r="D16" s="70" t="s">
        <v>2137</v>
      </c>
      <c r="E16" s="70" t="s">
        <v>148</v>
      </c>
      <c r="F16" s="70" t="s">
        <v>1940</v>
      </c>
      <c r="G16" s="70" t="s">
        <v>856</v>
      </c>
      <c r="H16" s="70" t="s">
        <v>857</v>
      </c>
    </row>
    <row r="17" spans="1:8" ht="32.6">
      <c r="A17" s="33" t="s">
        <v>858</v>
      </c>
      <c r="B17" s="70" t="s">
        <v>1941</v>
      </c>
      <c r="C17" s="70">
        <v>20</v>
      </c>
      <c r="D17" s="70" t="s">
        <v>2193</v>
      </c>
      <c r="E17" s="70" t="s">
        <v>40</v>
      </c>
      <c r="F17" s="70" t="s">
        <v>855</v>
      </c>
      <c r="G17" s="70" t="s">
        <v>859</v>
      </c>
      <c r="H17" s="70" t="s">
        <v>1942</v>
      </c>
    </row>
    <row r="18" spans="1:8" ht="32.6">
      <c r="A18" s="33" t="s">
        <v>860</v>
      </c>
      <c r="B18" s="70" t="s">
        <v>1943</v>
      </c>
      <c r="C18" s="70">
        <v>18</v>
      </c>
      <c r="D18" s="70" t="s">
        <v>2193</v>
      </c>
      <c r="E18" s="70" t="s">
        <v>40</v>
      </c>
      <c r="F18" s="70" t="s">
        <v>855</v>
      </c>
      <c r="G18" s="70" t="s">
        <v>861</v>
      </c>
      <c r="H18" s="70" t="s">
        <v>1944</v>
      </c>
    </row>
    <row r="19" spans="1:8">
      <c r="A19" s="33" t="s">
        <v>2353</v>
      </c>
      <c r="B19" s="70" t="s">
        <v>2200</v>
      </c>
      <c r="C19" s="70">
        <v>14</v>
      </c>
      <c r="D19" s="70" t="s">
        <v>2150</v>
      </c>
      <c r="E19" s="70" t="s">
        <v>66</v>
      </c>
      <c r="F19" s="70" t="s">
        <v>855</v>
      </c>
      <c r="G19" s="70" t="s">
        <v>1945</v>
      </c>
      <c r="H19" s="70"/>
    </row>
    <row r="20" spans="1:8" ht="32.6">
      <c r="A20" s="33" t="s">
        <v>2354</v>
      </c>
      <c r="B20" s="70" t="s">
        <v>2393</v>
      </c>
      <c r="C20" s="70">
        <v>23</v>
      </c>
      <c r="D20" s="70" t="s">
        <v>2137</v>
      </c>
      <c r="E20" s="70" t="s">
        <v>180</v>
      </c>
      <c r="F20" s="70" t="s">
        <v>855</v>
      </c>
      <c r="G20" s="70" t="s">
        <v>1946</v>
      </c>
      <c r="H20" s="70"/>
    </row>
    <row r="21" spans="1:8" ht="32.6">
      <c r="A21" s="34" t="s">
        <v>862</v>
      </c>
      <c r="B21" s="68" t="s">
        <v>863</v>
      </c>
      <c r="C21" s="68">
        <v>18</v>
      </c>
      <c r="D21" s="68" t="s">
        <v>2137</v>
      </c>
      <c r="E21" s="68" t="s">
        <v>172</v>
      </c>
      <c r="F21" s="96" t="s">
        <v>864</v>
      </c>
      <c r="G21" s="64" t="s">
        <v>772</v>
      </c>
      <c r="H21" s="64" t="s">
        <v>865</v>
      </c>
    </row>
    <row r="22" spans="1:8" ht="32.6">
      <c r="A22" s="34" t="s">
        <v>2355</v>
      </c>
      <c r="B22" s="68" t="s">
        <v>2165</v>
      </c>
      <c r="C22" s="68">
        <v>29</v>
      </c>
      <c r="D22" s="68" t="s">
        <v>2137</v>
      </c>
      <c r="E22" s="68" t="s">
        <v>172</v>
      </c>
      <c r="F22" s="96" t="s">
        <v>864</v>
      </c>
      <c r="G22" s="64" t="s">
        <v>1947</v>
      </c>
      <c r="H22" s="56" t="s">
        <v>2162</v>
      </c>
    </row>
    <row r="23" spans="1:8">
      <c r="A23" s="34" t="s">
        <v>866</v>
      </c>
      <c r="B23" s="68">
        <v>246</v>
      </c>
      <c r="C23" s="68">
        <v>19</v>
      </c>
      <c r="D23" s="68" t="s">
        <v>2137</v>
      </c>
      <c r="E23" s="68" t="s">
        <v>172</v>
      </c>
      <c r="F23" s="68" t="s">
        <v>864</v>
      </c>
      <c r="G23" s="56">
        <v>5</v>
      </c>
      <c r="H23" s="56"/>
    </row>
    <row r="24" spans="1:8">
      <c r="A24" s="34" t="s">
        <v>867</v>
      </c>
      <c r="B24" s="68">
        <v>205</v>
      </c>
      <c r="C24" s="68">
        <v>12</v>
      </c>
      <c r="D24" s="68" t="s">
        <v>2137</v>
      </c>
      <c r="E24" s="68" t="s">
        <v>172</v>
      </c>
      <c r="F24" s="68" t="s">
        <v>864</v>
      </c>
      <c r="G24" s="56">
        <v>5</v>
      </c>
      <c r="H24" s="56"/>
    </row>
    <row r="25" spans="1:8" ht="48.9">
      <c r="A25" s="34" t="s">
        <v>2356</v>
      </c>
      <c r="B25" s="68" t="s">
        <v>2442</v>
      </c>
      <c r="C25" s="68">
        <v>26</v>
      </c>
      <c r="D25" s="68" t="s">
        <v>2137</v>
      </c>
      <c r="E25" s="68" t="s">
        <v>172</v>
      </c>
      <c r="F25" s="68" t="s">
        <v>864</v>
      </c>
      <c r="G25" s="64" t="s">
        <v>1876</v>
      </c>
      <c r="H25" s="56" t="s">
        <v>67</v>
      </c>
    </row>
    <row r="26" spans="1:8">
      <c r="A26" s="35" t="s">
        <v>868</v>
      </c>
      <c r="B26" s="52" t="s">
        <v>1948</v>
      </c>
      <c r="C26" s="52">
        <v>25</v>
      </c>
      <c r="D26" s="52" t="s">
        <v>2135</v>
      </c>
      <c r="E26" s="52" t="s">
        <v>172</v>
      </c>
      <c r="F26" s="52" t="s">
        <v>864</v>
      </c>
      <c r="G26" s="97" t="s">
        <v>869</v>
      </c>
      <c r="H26" s="98" t="s">
        <v>1949</v>
      </c>
    </row>
    <row r="27" spans="1:8" ht="32.6">
      <c r="A27" s="35" t="s">
        <v>870</v>
      </c>
      <c r="B27" s="52" t="s">
        <v>2441</v>
      </c>
      <c r="C27" s="52">
        <v>36</v>
      </c>
      <c r="D27" s="52"/>
      <c r="E27" s="52" t="s">
        <v>172</v>
      </c>
      <c r="F27" s="52" t="s">
        <v>864</v>
      </c>
      <c r="G27" s="98" t="s">
        <v>871</v>
      </c>
      <c r="H27" s="98" t="s">
        <v>872</v>
      </c>
    </row>
    <row r="28" spans="1:8">
      <c r="A28" s="35" t="s">
        <v>873</v>
      </c>
      <c r="B28" s="52" t="s">
        <v>874</v>
      </c>
      <c r="C28" s="52">
        <v>22</v>
      </c>
      <c r="D28" s="52" t="s">
        <v>2135</v>
      </c>
      <c r="E28" s="52" t="s">
        <v>172</v>
      </c>
      <c r="F28" s="52" t="s">
        <v>864</v>
      </c>
      <c r="G28" s="98" t="s">
        <v>875</v>
      </c>
      <c r="H28" s="98" t="s">
        <v>1950</v>
      </c>
    </row>
    <row r="29" spans="1:8" ht="32.6">
      <c r="A29" s="35" t="s">
        <v>876</v>
      </c>
      <c r="B29" s="52" t="s">
        <v>1951</v>
      </c>
      <c r="C29" s="52">
        <v>35</v>
      </c>
      <c r="D29" s="52" t="s">
        <v>2145</v>
      </c>
      <c r="E29" s="52" t="s">
        <v>172</v>
      </c>
      <c r="F29" s="52" t="s">
        <v>864</v>
      </c>
      <c r="G29" s="98" t="s">
        <v>877</v>
      </c>
      <c r="H29" s="98" t="s">
        <v>1952</v>
      </c>
    </row>
    <row r="30" spans="1:8" ht="32.6">
      <c r="A30" s="26" t="s">
        <v>878</v>
      </c>
      <c r="B30" s="77" t="s">
        <v>879</v>
      </c>
      <c r="C30" s="62">
        <v>29</v>
      </c>
      <c r="D30" s="62" t="s">
        <v>2135</v>
      </c>
      <c r="E30" s="62" t="s">
        <v>172</v>
      </c>
      <c r="F30" s="62" t="s">
        <v>864</v>
      </c>
      <c r="G30" s="62" t="s">
        <v>880</v>
      </c>
      <c r="H30" s="26"/>
    </row>
    <row r="31" spans="1:8" ht="32.6">
      <c r="A31" s="149" t="s">
        <v>881</v>
      </c>
      <c r="B31" s="150" t="s">
        <v>2375</v>
      </c>
      <c r="C31" s="151">
        <v>28</v>
      </c>
      <c r="D31" s="151" t="s">
        <v>2137</v>
      </c>
      <c r="E31" s="151" t="s">
        <v>172</v>
      </c>
      <c r="F31" s="151" t="s">
        <v>864</v>
      </c>
      <c r="G31" s="151" t="s">
        <v>772</v>
      </c>
      <c r="H31" s="151" t="s">
        <v>882</v>
      </c>
    </row>
    <row r="32" spans="1:8" ht="32.6">
      <c r="A32" s="152" t="s">
        <v>2357</v>
      </c>
      <c r="B32" s="153" t="s">
        <v>1953</v>
      </c>
      <c r="C32" s="154">
        <v>12</v>
      </c>
      <c r="D32" s="154" t="s">
        <v>2137</v>
      </c>
      <c r="E32" s="154" t="s">
        <v>180</v>
      </c>
      <c r="F32" s="154" t="s">
        <v>1954</v>
      </c>
      <c r="G32" s="154" t="s">
        <v>833</v>
      </c>
      <c r="H32" s="154"/>
    </row>
    <row r="33" spans="1:8" ht="32.6">
      <c r="A33" s="152" t="s">
        <v>2358</v>
      </c>
      <c r="B33" s="153" t="s">
        <v>2376</v>
      </c>
      <c r="C33" s="154">
        <v>24</v>
      </c>
      <c r="D33" s="154" t="s">
        <v>2137</v>
      </c>
      <c r="E33" s="154" t="s">
        <v>180</v>
      </c>
      <c r="F33" s="154" t="s">
        <v>1954</v>
      </c>
      <c r="G33" s="153" t="s">
        <v>1955</v>
      </c>
      <c r="H33" s="154"/>
    </row>
    <row r="34" spans="1:8">
      <c r="A34" s="152" t="s">
        <v>2359</v>
      </c>
      <c r="B34" s="153" t="s">
        <v>1956</v>
      </c>
      <c r="C34" s="154">
        <v>10</v>
      </c>
      <c r="D34" s="154" t="s">
        <v>2137</v>
      </c>
      <c r="E34" s="154" t="s">
        <v>180</v>
      </c>
      <c r="F34" s="154" t="s">
        <v>1954</v>
      </c>
      <c r="G34" s="154" t="s">
        <v>1957</v>
      </c>
      <c r="H34" s="154" t="s">
        <v>1958</v>
      </c>
    </row>
    <row r="35" spans="1:8">
      <c r="A35" s="152" t="s">
        <v>2360</v>
      </c>
      <c r="B35" s="153" t="s">
        <v>2394</v>
      </c>
      <c r="C35" s="154">
        <v>12</v>
      </c>
      <c r="D35" s="154" t="s">
        <v>2137</v>
      </c>
      <c r="E35" s="154" t="s">
        <v>180</v>
      </c>
      <c r="F35" s="154" t="s">
        <v>2040</v>
      </c>
      <c r="G35" s="154"/>
      <c r="H35" s="154"/>
    </row>
    <row r="36" spans="1:8">
      <c r="A36" s="152" t="s">
        <v>2361</v>
      </c>
      <c r="B36" s="153" t="s">
        <v>1959</v>
      </c>
      <c r="C36" s="154">
        <v>3</v>
      </c>
      <c r="D36" s="154" t="s">
        <v>2137</v>
      </c>
      <c r="E36" s="154" t="s">
        <v>66</v>
      </c>
      <c r="F36" s="154" t="s">
        <v>2041</v>
      </c>
      <c r="G36" s="154" t="s">
        <v>1813</v>
      </c>
      <c r="H36" s="154" t="s">
        <v>1958</v>
      </c>
    </row>
    <row r="37" spans="1:8" ht="32.6">
      <c r="A37" s="152" t="s">
        <v>2362</v>
      </c>
      <c r="B37" s="153" t="s">
        <v>2440</v>
      </c>
      <c r="C37" s="154">
        <v>24</v>
      </c>
      <c r="D37" s="154" t="s">
        <v>2137</v>
      </c>
      <c r="E37" s="154" t="s">
        <v>40</v>
      </c>
      <c r="F37" s="154" t="s">
        <v>381</v>
      </c>
      <c r="G37" s="154" t="s">
        <v>1960</v>
      </c>
      <c r="H37" s="154" t="s">
        <v>2395</v>
      </c>
    </row>
    <row r="38" spans="1:8">
      <c r="A38" s="157" t="s">
        <v>883</v>
      </c>
      <c r="B38" s="158">
        <v>225</v>
      </c>
      <c r="C38" s="158">
        <v>10</v>
      </c>
      <c r="D38" s="158" t="s">
        <v>2137</v>
      </c>
      <c r="E38" s="158" t="s">
        <v>148</v>
      </c>
      <c r="F38" s="158"/>
      <c r="G38" s="158">
        <v>7</v>
      </c>
      <c r="H38" s="158"/>
    </row>
    <row r="39" spans="1:8" ht="32.6">
      <c r="A39" s="157" t="s">
        <v>884</v>
      </c>
      <c r="B39" s="158" t="s">
        <v>885</v>
      </c>
      <c r="C39" s="158">
        <v>16</v>
      </c>
      <c r="D39" s="158" t="s">
        <v>2137</v>
      </c>
      <c r="E39" s="158" t="s">
        <v>148</v>
      </c>
      <c r="F39" s="158" t="s">
        <v>886</v>
      </c>
      <c r="G39" s="158" t="s">
        <v>846</v>
      </c>
      <c r="H39" s="158"/>
    </row>
    <row r="40" spans="1:8" ht="32.6">
      <c r="A40" s="157" t="s">
        <v>887</v>
      </c>
      <c r="B40" s="158" t="s">
        <v>888</v>
      </c>
      <c r="C40" s="158">
        <v>11</v>
      </c>
      <c r="D40" s="158" t="s">
        <v>2137</v>
      </c>
      <c r="E40" s="158" t="s">
        <v>148</v>
      </c>
      <c r="F40" s="158"/>
      <c r="G40" s="158" t="s">
        <v>772</v>
      </c>
      <c r="H40" s="158"/>
    </row>
    <row r="41" spans="1:8" ht="32.6">
      <c r="A41" s="157" t="s">
        <v>889</v>
      </c>
      <c r="B41" s="158" t="s">
        <v>890</v>
      </c>
      <c r="C41" s="158">
        <v>30</v>
      </c>
      <c r="D41" s="158" t="s">
        <v>2137</v>
      </c>
      <c r="E41" s="158" t="s">
        <v>148</v>
      </c>
      <c r="F41" s="158" t="s">
        <v>886</v>
      </c>
      <c r="G41" s="158" t="s">
        <v>891</v>
      </c>
      <c r="H41" s="158" t="s">
        <v>1395</v>
      </c>
    </row>
    <row r="42" spans="1:8" ht="32.6">
      <c r="A42" s="157" t="s">
        <v>892</v>
      </c>
      <c r="B42" s="158" t="s">
        <v>893</v>
      </c>
      <c r="C42" s="158">
        <v>16</v>
      </c>
      <c r="D42" s="158" t="s">
        <v>2137</v>
      </c>
      <c r="E42" s="158" t="s">
        <v>148</v>
      </c>
      <c r="F42" s="158" t="s">
        <v>886</v>
      </c>
      <c r="G42" s="158" t="s">
        <v>894</v>
      </c>
      <c r="H42" s="158"/>
    </row>
    <row r="43" spans="1:8" ht="48.9">
      <c r="A43" s="157" t="s">
        <v>895</v>
      </c>
      <c r="B43" s="158" t="s">
        <v>1961</v>
      </c>
      <c r="C43" s="158">
        <v>26</v>
      </c>
      <c r="D43" s="158" t="s">
        <v>2137</v>
      </c>
      <c r="E43" s="158" t="s">
        <v>148</v>
      </c>
      <c r="F43" s="158"/>
      <c r="G43" s="158" t="s">
        <v>1876</v>
      </c>
      <c r="H43" s="159" t="s">
        <v>1962</v>
      </c>
    </row>
    <row r="44" spans="1:8">
      <c r="A44" s="157" t="s">
        <v>896</v>
      </c>
      <c r="B44" s="158" t="s">
        <v>1963</v>
      </c>
      <c r="C44" s="158">
        <v>34</v>
      </c>
      <c r="D44" s="158" t="s">
        <v>2137</v>
      </c>
      <c r="E44" s="158" t="s">
        <v>148</v>
      </c>
      <c r="F44" s="158" t="s">
        <v>886</v>
      </c>
      <c r="G44" s="158" t="s">
        <v>830</v>
      </c>
      <c r="H44" s="158"/>
    </row>
    <row r="45" spans="1:8">
      <c r="A45" s="157" t="s">
        <v>897</v>
      </c>
      <c r="B45" s="158" t="s">
        <v>898</v>
      </c>
      <c r="C45" s="158" t="s">
        <v>899</v>
      </c>
      <c r="D45" s="158" t="s">
        <v>2137</v>
      </c>
      <c r="E45" s="158" t="s">
        <v>148</v>
      </c>
      <c r="F45" s="158" t="s">
        <v>886</v>
      </c>
      <c r="G45" s="158" t="s">
        <v>900</v>
      </c>
      <c r="H45" s="158" t="s">
        <v>1958</v>
      </c>
    </row>
    <row r="46" spans="1:8" ht="32.6">
      <c r="A46" s="157" t="s">
        <v>901</v>
      </c>
      <c r="B46" s="158" t="s">
        <v>902</v>
      </c>
      <c r="C46" s="158">
        <v>19</v>
      </c>
      <c r="D46" s="158" t="s">
        <v>2137</v>
      </c>
      <c r="E46" s="158" t="s">
        <v>148</v>
      </c>
      <c r="F46" s="158" t="s">
        <v>886</v>
      </c>
      <c r="G46" s="158" t="s">
        <v>903</v>
      </c>
      <c r="H46" s="158"/>
    </row>
    <row r="47" spans="1:8">
      <c r="A47" s="157" t="s">
        <v>904</v>
      </c>
      <c r="B47" s="158" t="s">
        <v>2444</v>
      </c>
      <c r="C47" s="158">
        <v>26</v>
      </c>
      <c r="D47" s="158" t="s">
        <v>2137</v>
      </c>
      <c r="E47" s="158" t="s">
        <v>148</v>
      </c>
      <c r="F47" s="158" t="s">
        <v>886</v>
      </c>
      <c r="G47" s="158" t="s">
        <v>905</v>
      </c>
      <c r="H47" s="158" t="s">
        <v>1577</v>
      </c>
    </row>
    <row r="48" spans="1:8" ht="32.6">
      <c r="A48" s="155" t="s">
        <v>2363</v>
      </c>
      <c r="B48" s="156" t="s">
        <v>1964</v>
      </c>
      <c r="C48" s="156">
        <v>11</v>
      </c>
      <c r="D48" s="156" t="s">
        <v>2137</v>
      </c>
      <c r="E48" s="156" t="s">
        <v>148</v>
      </c>
      <c r="F48" s="156" t="s">
        <v>1965</v>
      </c>
      <c r="G48" s="156" t="s">
        <v>1966</v>
      </c>
      <c r="H48" s="156"/>
    </row>
    <row r="49" spans="1:8" ht="32.6">
      <c r="A49" s="155" t="s">
        <v>2364</v>
      </c>
      <c r="B49" s="156" t="s">
        <v>2163</v>
      </c>
      <c r="C49" s="156">
        <v>27</v>
      </c>
      <c r="D49" s="156" t="s">
        <v>2137</v>
      </c>
      <c r="E49" s="156" t="s">
        <v>148</v>
      </c>
      <c r="F49" s="156" t="s">
        <v>1965</v>
      </c>
      <c r="G49" s="156" t="s">
        <v>2185</v>
      </c>
      <c r="H49" s="156"/>
    </row>
    <row r="50" spans="1:8" ht="32.6">
      <c r="A50" s="155" t="s">
        <v>2365</v>
      </c>
      <c r="B50" s="156" t="s">
        <v>1967</v>
      </c>
      <c r="C50" s="156">
        <v>31</v>
      </c>
      <c r="D50" s="156" t="s">
        <v>2137</v>
      </c>
      <c r="E50" s="156" t="s">
        <v>148</v>
      </c>
      <c r="F50" s="156" t="s">
        <v>1965</v>
      </c>
      <c r="G50" s="156" t="s">
        <v>1968</v>
      </c>
      <c r="H50" s="156" t="s">
        <v>1969</v>
      </c>
    </row>
    <row r="51" spans="1:8" ht="32.6">
      <c r="A51" s="37" t="s">
        <v>906</v>
      </c>
      <c r="B51" s="61" t="s">
        <v>907</v>
      </c>
      <c r="C51" s="61">
        <v>18</v>
      </c>
      <c r="D51" s="61" t="s">
        <v>2137</v>
      </c>
      <c r="E51" s="61" t="s">
        <v>148</v>
      </c>
      <c r="F51" s="61" t="s">
        <v>908</v>
      </c>
      <c r="G51" s="61" t="s">
        <v>909</v>
      </c>
      <c r="H51" s="61" t="s">
        <v>910</v>
      </c>
    </row>
    <row r="52" spans="1:8" ht="32.6">
      <c r="A52" s="37" t="s">
        <v>911</v>
      </c>
      <c r="B52" s="61" t="s">
        <v>912</v>
      </c>
      <c r="C52" s="61">
        <v>21</v>
      </c>
      <c r="D52" s="61" t="s">
        <v>2137</v>
      </c>
      <c r="E52" s="61" t="s">
        <v>148</v>
      </c>
      <c r="F52" s="61" t="s">
        <v>908</v>
      </c>
      <c r="G52" s="61" t="s">
        <v>913</v>
      </c>
      <c r="H52" s="61" t="s">
        <v>334</v>
      </c>
    </row>
    <row r="53" spans="1:8" ht="32.6">
      <c r="A53" s="37" t="s">
        <v>914</v>
      </c>
      <c r="B53" s="61" t="s">
        <v>915</v>
      </c>
      <c r="C53" s="61">
        <v>30</v>
      </c>
      <c r="D53" s="61" t="s">
        <v>2137</v>
      </c>
      <c r="E53" s="61" t="s">
        <v>148</v>
      </c>
      <c r="F53" s="61" t="s">
        <v>908</v>
      </c>
      <c r="G53" s="61" t="s">
        <v>916</v>
      </c>
      <c r="H53" s="61" t="s">
        <v>334</v>
      </c>
    </row>
    <row r="54" spans="1:8" ht="32.6">
      <c r="A54" s="37" t="s">
        <v>917</v>
      </c>
      <c r="B54" s="61" t="s">
        <v>2443</v>
      </c>
      <c r="C54" s="61">
        <v>20</v>
      </c>
      <c r="D54" s="61" t="s">
        <v>2137</v>
      </c>
      <c r="E54" s="61" t="s">
        <v>148</v>
      </c>
      <c r="F54" s="61" t="s">
        <v>918</v>
      </c>
      <c r="G54" s="61" t="s">
        <v>919</v>
      </c>
      <c r="H54" s="61" t="s">
        <v>1970</v>
      </c>
    </row>
    <row r="55" spans="1:8" ht="32.6">
      <c r="A55" s="160" t="s">
        <v>920</v>
      </c>
      <c r="B55" s="161" t="s">
        <v>921</v>
      </c>
      <c r="C55" s="161">
        <v>10</v>
      </c>
      <c r="D55" s="161" t="s">
        <v>2137</v>
      </c>
      <c r="E55" s="161" t="s">
        <v>176</v>
      </c>
      <c r="F55" s="161" t="s">
        <v>922</v>
      </c>
      <c r="G55" s="161" t="s">
        <v>684</v>
      </c>
      <c r="H55" s="161"/>
    </row>
    <row r="56" spans="1:8">
      <c r="A56" s="160" t="s">
        <v>923</v>
      </c>
      <c r="B56" s="161" t="s">
        <v>924</v>
      </c>
      <c r="C56" s="161">
        <v>21</v>
      </c>
      <c r="D56" s="161" t="s">
        <v>2137</v>
      </c>
      <c r="E56" s="161" t="s">
        <v>176</v>
      </c>
      <c r="F56" s="161" t="s">
        <v>922</v>
      </c>
      <c r="G56" s="161" t="s">
        <v>925</v>
      </c>
      <c r="H56" s="161"/>
    </row>
    <row r="57" spans="1:8">
      <c r="A57" s="160" t="s">
        <v>926</v>
      </c>
      <c r="B57" s="161" t="s">
        <v>927</v>
      </c>
      <c r="C57" s="161">
        <v>7</v>
      </c>
      <c r="D57" s="161" t="s">
        <v>2137</v>
      </c>
      <c r="E57" s="161" t="s">
        <v>40</v>
      </c>
      <c r="F57" s="161" t="s">
        <v>922</v>
      </c>
      <c r="G57" s="161" t="s">
        <v>928</v>
      </c>
      <c r="H57" s="162"/>
    </row>
    <row r="58" spans="1:8">
      <c r="A58" s="160" t="s">
        <v>929</v>
      </c>
      <c r="B58" s="161">
        <v>245</v>
      </c>
      <c r="C58" s="161">
        <v>15</v>
      </c>
      <c r="D58" s="161" t="s">
        <v>2137</v>
      </c>
      <c r="E58" s="161" t="s">
        <v>40</v>
      </c>
      <c r="F58" s="161" t="s">
        <v>922</v>
      </c>
      <c r="G58" s="161">
        <v>14.4</v>
      </c>
      <c r="H58" s="161"/>
    </row>
    <row r="59" spans="1:8" ht="32.6">
      <c r="A59" s="160" t="s">
        <v>2366</v>
      </c>
      <c r="B59" s="161" t="s">
        <v>2161</v>
      </c>
      <c r="C59" s="161">
        <v>17</v>
      </c>
      <c r="D59" s="161" t="s">
        <v>2137</v>
      </c>
      <c r="E59" s="161" t="s">
        <v>40</v>
      </c>
      <c r="F59" s="161" t="s">
        <v>2113</v>
      </c>
      <c r="G59" s="161" t="s">
        <v>2184</v>
      </c>
      <c r="H59" s="161" t="s">
        <v>1111</v>
      </c>
    </row>
    <row r="60" spans="1:8" ht="65.150000000000006">
      <c r="A60" s="169" t="s">
        <v>930</v>
      </c>
      <c r="B60" s="170" t="s">
        <v>1971</v>
      </c>
      <c r="C60" s="171">
        <v>14</v>
      </c>
      <c r="D60" s="171" t="s">
        <v>2137</v>
      </c>
      <c r="E60" s="171" t="s">
        <v>40</v>
      </c>
      <c r="F60" s="171"/>
      <c r="G60" s="171" t="s">
        <v>900</v>
      </c>
      <c r="H60" s="170" t="s">
        <v>2397</v>
      </c>
    </row>
    <row r="61" spans="1:8" ht="32.6">
      <c r="A61" s="169" t="s">
        <v>931</v>
      </c>
      <c r="B61" s="171">
        <v>236</v>
      </c>
      <c r="C61" s="171">
        <v>12</v>
      </c>
      <c r="D61" s="171" t="s">
        <v>2137</v>
      </c>
      <c r="E61" s="171" t="s">
        <v>148</v>
      </c>
      <c r="F61" s="171"/>
      <c r="G61" s="171">
        <v>10.175000000000001</v>
      </c>
      <c r="H61" s="170" t="s">
        <v>932</v>
      </c>
    </row>
    <row r="62" spans="1:8" ht="32.6">
      <c r="A62" s="169" t="s">
        <v>2367</v>
      </c>
      <c r="B62" s="171" t="s">
        <v>2160</v>
      </c>
      <c r="C62" s="171">
        <v>18</v>
      </c>
      <c r="D62" s="171" t="s">
        <v>2137</v>
      </c>
      <c r="E62" s="171" t="s">
        <v>148</v>
      </c>
      <c r="F62" s="171"/>
      <c r="G62" s="171" t="s">
        <v>2199</v>
      </c>
      <c r="H62" s="170" t="s">
        <v>2396</v>
      </c>
    </row>
    <row r="63" spans="1:8" ht="32.6">
      <c r="A63" s="169" t="s">
        <v>933</v>
      </c>
      <c r="B63" s="171" t="s">
        <v>934</v>
      </c>
      <c r="C63" s="171">
        <v>13</v>
      </c>
      <c r="D63" s="171" t="s">
        <v>2137</v>
      </c>
      <c r="E63" s="171" t="s">
        <v>148</v>
      </c>
      <c r="F63" s="171"/>
      <c r="G63" s="171" t="s">
        <v>935</v>
      </c>
      <c r="H63" s="170" t="s">
        <v>936</v>
      </c>
    </row>
    <row r="64" spans="1:8" ht="32.6">
      <c r="A64" s="108" t="s">
        <v>937</v>
      </c>
      <c r="B64" s="109" t="s">
        <v>938</v>
      </c>
      <c r="C64" s="109">
        <v>19</v>
      </c>
      <c r="D64" s="109" t="s">
        <v>2137</v>
      </c>
      <c r="E64" s="109" t="s">
        <v>40</v>
      </c>
      <c r="F64" s="109"/>
      <c r="G64" s="109" t="s">
        <v>900</v>
      </c>
      <c r="H64" s="109" t="s">
        <v>2404</v>
      </c>
    </row>
    <row r="65" spans="1:8" ht="32.6">
      <c r="A65" s="108" t="s">
        <v>2368</v>
      </c>
      <c r="B65" s="109" t="s">
        <v>1972</v>
      </c>
      <c r="C65" s="109">
        <v>28</v>
      </c>
      <c r="D65" s="109" t="s">
        <v>2137</v>
      </c>
      <c r="E65" s="109" t="s">
        <v>40</v>
      </c>
      <c r="F65" s="109"/>
      <c r="G65" s="109" t="s">
        <v>1973</v>
      </c>
      <c r="H65" s="109" t="s">
        <v>1974</v>
      </c>
    </row>
    <row r="66" spans="1:8" ht="65.150000000000006">
      <c r="A66" s="166" t="s">
        <v>939</v>
      </c>
      <c r="B66" s="167" t="s">
        <v>1975</v>
      </c>
      <c r="C66" s="168">
        <v>48</v>
      </c>
      <c r="D66" s="168" t="s">
        <v>2193</v>
      </c>
      <c r="E66" s="168" t="s">
        <v>40</v>
      </c>
      <c r="F66" s="168"/>
      <c r="G66" s="168" t="s">
        <v>940</v>
      </c>
      <c r="H66" s="168" t="s">
        <v>2405</v>
      </c>
    </row>
    <row r="67" spans="1:8" ht="32.6">
      <c r="A67" s="163" t="s">
        <v>2369</v>
      </c>
      <c r="B67" s="164" t="s">
        <v>2178</v>
      </c>
      <c r="C67" s="165">
        <v>48</v>
      </c>
      <c r="D67" s="165" t="s">
        <v>2137</v>
      </c>
      <c r="E67" s="165" t="s">
        <v>40</v>
      </c>
      <c r="F67" s="165"/>
      <c r="G67" s="165" t="s">
        <v>2177</v>
      </c>
      <c r="H67" s="165" t="s">
        <v>1976</v>
      </c>
    </row>
    <row r="68" spans="1:8" ht="32.6">
      <c r="A68" s="172" t="s">
        <v>941</v>
      </c>
      <c r="B68" s="173" t="s">
        <v>1977</v>
      </c>
      <c r="C68" s="174">
        <v>16</v>
      </c>
      <c r="D68" s="174" t="s">
        <v>2137</v>
      </c>
      <c r="E68" s="174" t="s">
        <v>148</v>
      </c>
      <c r="F68" s="174" t="s">
        <v>941</v>
      </c>
      <c r="G68" s="174" t="s">
        <v>2403</v>
      </c>
      <c r="H68" s="173" t="s">
        <v>1978</v>
      </c>
    </row>
    <row r="69" spans="1:8">
      <c r="A69" s="172" t="s">
        <v>942</v>
      </c>
      <c r="B69" s="173" t="s">
        <v>1979</v>
      </c>
      <c r="C69" s="174" t="s">
        <v>943</v>
      </c>
      <c r="D69" s="174" t="s">
        <v>2137</v>
      </c>
      <c r="E69" s="174" t="s">
        <v>148</v>
      </c>
      <c r="F69" s="174" t="s">
        <v>941</v>
      </c>
      <c r="G69" s="174" t="s">
        <v>944</v>
      </c>
      <c r="H69" s="173" t="s">
        <v>1980</v>
      </c>
    </row>
    <row r="70" spans="1:8">
      <c r="A70" s="172" t="s">
        <v>2370</v>
      </c>
      <c r="B70" s="173" t="s">
        <v>1981</v>
      </c>
      <c r="C70" s="174" t="s">
        <v>715</v>
      </c>
      <c r="D70" s="174" t="s">
        <v>2137</v>
      </c>
      <c r="E70" s="174" t="s">
        <v>148</v>
      </c>
      <c r="F70" s="174" t="s">
        <v>941</v>
      </c>
      <c r="G70" s="174" t="s">
        <v>1743</v>
      </c>
      <c r="H70" s="173" t="s">
        <v>1982</v>
      </c>
    </row>
    <row r="71" spans="1:8" ht="32.6">
      <c r="A71" s="172" t="s">
        <v>945</v>
      </c>
      <c r="B71" s="173" t="s">
        <v>1983</v>
      </c>
      <c r="C71" s="174">
        <v>24</v>
      </c>
      <c r="D71" s="174" t="s">
        <v>2137</v>
      </c>
      <c r="E71" s="174" t="s">
        <v>148</v>
      </c>
      <c r="F71" s="174" t="s">
        <v>941</v>
      </c>
      <c r="G71" s="174" t="s">
        <v>946</v>
      </c>
      <c r="H71" s="173" t="s">
        <v>1984</v>
      </c>
    </row>
    <row r="72" spans="1:8" ht="48.9">
      <c r="A72" s="172" t="s">
        <v>947</v>
      </c>
      <c r="B72" s="173" t="s">
        <v>1985</v>
      </c>
      <c r="C72" s="174">
        <v>21</v>
      </c>
      <c r="D72" s="174" t="s">
        <v>2137</v>
      </c>
      <c r="E72" s="174" t="s">
        <v>40</v>
      </c>
      <c r="F72" s="174" t="s">
        <v>1986</v>
      </c>
      <c r="G72" s="174">
        <v>0</v>
      </c>
      <c r="H72" s="173" t="s">
        <v>1987</v>
      </c>
    </row>
    <row r="73" spans="1:8" ht="32.6">
      <c r="A73" s="172" t="s">
        <v>948</v>
      </c>
      <c r="B73" s="174" t="s">
        <v>949</v>
      </c>
      <c r="C73" s="174">
        <v>32</v>
      </c>
      <c r="D73" s="174" t="s">
        <v>2137</v>
      </c>
      <c r="E73" s="174" t="s">
        <v>56</v>
      </c>
      <c r="F73" s="174" t="s">
        <v>941</v>
      </c>
      <c r="G73" s="174" t="s">
        <v>56</v>
      </c>
      <c r="H73" s="173" t="s">
        <v>1988</v>
      </c>
    </row>
    <row r="74" spans="1:8" ht="32.6" customHeight="1">
      <c r="A74" s="172" t="s">
        <v>950</v>
      </c>
      <c r="B74" s="234" t="s">
        <v>1989</v>
      </c>
      <c r="C74" s="234"/>
      <c r="D74" s="234"/>
      <c r="E74" s="234"/>
      <c r="F74" s="234"/>
      <c r="G74" s="175" t="s">
        <v>56</v>
      </c>
      <c r="H74" s="173" t="s">
        <v>1990</v>
      </c>
    </row>
    <row r="75" spans="1:8" ht="32.6">
      <c r="A75" s="176" t="s">
        <v>951</v>
      </c>
      <c r="B75" s="177" t="s">
        <v>952</v>
      </c>
      <c r="C75" s="177" t="s">
        <v>854</v>
      </c>
      <c r="D75" s="177" t="s">
        <v>2137</v>
      </c>
      <c r="E75" s="177" t="s">
        <v>148</v>
      </c>
      <c r="F75" s="177" t="s">
        <v>1090</v>
      </c>
      <c r="G75" s="177" t="s">
        <v>856</v>
      </c>
      <c r="H75" s="177" t="s">
        <v>954</v>
      </c>
    </row>
    <row r="76" spans="1:8" ht="32.6">
      <c r="A76" s="176" t="s">
        <v>955</v>
      </c>
      <c r="B76" s="177" t="s">
        <v>956</v>
      </c>
      <c r="C76" s="177" t="s">
        <v>957</v>
      </c>
      <c r="D76" s="177" t="s">
        <v>2137</v>
      </c>
      <c r="E76" s="177" t="s">
        <v>148</v>
      </c>
      <c r="F76" s="177" t="s">
        <v>1090</v>
      </c>
      <c r="G76" s="177" t="s">
        <v>856</v>
      </c>
      <c r="H76" s="177" t="s">
        <v>958</v>
      </c>
    </row>
    <row r="77" spans="1:8" ht="48.9">
      <c r="A77" s="178" t="s">
        <v>959</v>
      </c>
      <c r="B77" s="179" t="s">
        <v>960</v>
      </c>
      <c r="C77" s="179">
        <v>30</v>
      </c>
      <c r="D77" s="179" t="s">
        <v>2137</v>
      </c>
      <c r="E77" s="179" t="s">
        <v>148</v>
      </c>
      <c r="F77" s="179" t="s">
        <v>1991</v>
      </c>
      <c r="G77" s="179">
        <v>12.025</v>
      </c>
      <c r="H77" s="179" t="s">
        <v>2398</v>
      </c>
    </row>
    <row r="78" spans="1:8" ht="48.9">
      <c r="A78" s="178" t="s">
        <v>961</v>
      </c>
      <c r="B78" s="179" t="s">
        <v>962</v>
      </c>
      <c r="C78" s="179">
        <v>45</v>
      </c>
      <c r="D78" s="179" t="s">
        <v>2137</v>
      </c>
      <c r="E78" s="179" t="s">
        <v>148</v>
      </c>
      <c r="F78" s="179" t="s">
        <v>1991</v>
      </c>
      <c r="G78" s="179">
        <v>16.8</v>
      </c>
      <c r="H78" s="179" t="s">
        <v>2398</v>
      </c>
    </row>
    <row r="79" spans="1:8" ht="32.6">
      <c r="A79" s="23" t="s">
        <v>963</v>
      </c>
      <c r="B79" s="73" t="s">
        <v>964</v>
      </c>
      <c r="C79" s="73" t="s">
        <v>854</v>
      </c>
      <c r="D79" s="73" t="s">
        <v>2137</v>
      </c>
      <c r="E79" s="73" t="s">
        <v>121</v>
      </c>
      <c r="F79" s="73" t="s">
        <v>1090</v>
      </c>
      <c r="G79" s="73" t="s">
        <v>856</v>
      </c>
      <c r="H79" s="73" t="s">
        <v>954</v>
      </c>
    </row>
    <row r="80" spans="1:8" ht="32.6">
      <c r="A80" s="23" t="s">
        <v>965</v>
      </c>
      <c r="B80" s="73" t="s">
        <v>966</v>
      </c>
      <c r="C80" s="73" t="s">
        <v>957</v>
      </c>
      <c r="D80" s="73" t="s">
        <v>2137</v>
      </c>
      <c r="E80" s="73" t="s">
        <v>121</v>
      </c>
      <c r="F80" s="73" t="s">
        <v>1090</v>
      </c>
      <c r="G80" s="73" t="s">
        <v>856</v>
      </c>
      <c r="H80" s="73" t="s">
        <v>958</v>
      </c>
    </row>
    <row r="81" spans="1:8" ht="32.6">
      <c r="A81" s="28" t="s">
        <v>967</v>
      </c>
      <c r="B81" s="47" t="s">
        <v>1992</v>
      </c>
      <c r="C81" s="48" t="s">
        <v>968</v>
      </c>
      <c r="D81" s="48" t="s">
        <v>2137</v>
      </c>
      <c r="E81" s="48" t="s">
        <v>40</v>
      </c>
      <c r="F81" s="48" t="s">
        <v>1090</v>
      </c>
      <c r="G81" s="48" t="s">
        <v>856</v>
      </c>
      <c r="H81" s="48" t="s">
        <v>1993</v>
      </c>
    </row>
    <row r="82" spans="1:8" ht="32.6">
      <c r="A82" s="28" t="s">
        <v>970</v>
      </c>
      <c r="B82" s="47" t="s">
        <v>1994</v>
      </c>
      <c r="C82" s="48" t="s">
        <v>971</v>
      </c>
      <c r="D82" s="48" t="s">
        <v>2137</v>
      </c>
      <c r="E82" s="48" t="s">
        <v>40</v>
      </c>
      <c r="F82" s="48" t="s">
        <v>1090</v>
      </c>
      <c r="G82" s="48" t="s">
        <v>856</v>
      </c>
      <c r="H82" s="48" t="s">
        <v>1995</v>
      </c>
    </row>
    <row r="83" spans="1:8" ht="32.6">
      <c r="A83" s="26" t="s">
        <v>973</v>
      </c>
      <c r="B83" s="77" t="s">
        <v>974</v>
      </c>
      <c r="C83" s="62" t="s">
        <v>968</v>
      </c>
      <c r="D83" s="62" t="s">
        <v>2137</v>
      </c>
      <c r="E83" s="62" t="s">
        <v>121</v>
      </c>
      <c r="F83" s="62" t="s">
        <v>1090</v>
      </c>
      <c r="G83" s="62" t="s">
        <v>856</v>
      </c>
      <c r="H83" s="62" t="s">
        <v>969</v>
      </c>
    </row>
    <row r="84" spans="1:8" ht="32.6">
      <c r="A84" s="26" t="s">
        <v>975</v>
      </c>
      <c r="B84" s="77" t="s">
        <v>976</v>
      </c>
      <c r="C84" s="62" t="s">
        <v>971</v>
      </c>
      <c r="D84" s="62" t="s">
        <v>2137</v>
      </c>
      <c r="E84" s="62" t="s">
        <v>121</v>
      </c>
      <c r="F84" s="62" t="s">
        <v>1090</v>
      </c>
      <c r="G84" s="62" t="s">
        <v>856</v>
      </c>
      <c r="H84" s="62" t="s">
        <v>972</v>
      </c>
    </row>
    <row r="85" spans="1:8" ht="32.6">
      <c r="A85" s="93" t="s">
        <v>2371</v>
      </c>
      <c r="B85" s="99" t="s">
        <v>1996</v>
      </c>
      <c r="C85" s="94" t="s">
        <v>957</v>
      </c>
      <c r="D85" s="94" t="s">
        <v>2137</v>
      </c>
      <c r="E85" s="94" t="s">
        <v>121</v>
      </c>
      <c r="F85" s="94" t="s">
        <v>1090</v>
      </c>
      <c r="G85" s="94" t="s">
        <v>856</v>
      </c>
      <c r="H85" s="94" t="s">
        <v>958</v>
      </c>
    </row>
    <row r="86" spans="1:8" ht="48.9">
      <c r="A86" s="39" t="s">
        <v>977</v>
      </c>
      <c r="B86" s="71" t="s">
        <v>2380</v>
      </c>
      <c r="C86" s="71">
        <v>62</v>
      </c>
      <c r="D86" s="71" t="s">
        <v>2137</v>
      </c>
      <c r="E86" s="71" t="s">
        <v>978</v>
      </c>
      <c r="F86" s="71" t="s">
        <v>1997</v>
      </c>
      <c r="G86" s="71" t="s">
        <v>979</v>
      </c>
      <c r="H86" s="71" t="s">
        <v>2379</v>
      </c>
    </row>
    <row r="87" spans="1:8" ht="32.6">
      <c r="A87" s="38" t="s">
        <v>980</v>
      </c>
      <c r="B87" s="66" t="s">
        <v>2377</v>
      </c>
      <c r="C87" s="66" t="s">
        <v>981</v>
      </c>
      <c r="D87" s="66" t="s">
        <v>2193</v>
      </c>
      <c r="E87" s="66" t="s">
        <v>40</v>
      </c>
      <c r="F87" s="66" t="s">
        <v>953</v>
      </c>
      <c r="G87" s="66" t="s">
        <v>982</v>
      </c>
      <c r="H87" s="66" t="s">
        <v>2378</v>
      </c>
    </row>
    <row r="88" spans="1:8">
      <c r="A88" s="38" t="s">
        <v>983</v>
      </c>
      <c r="B88" s="66">
        <v>628</v>
      </c>
      <c r="C88" s="66">
        <v>34</v>
      </c>
      <c r="D88" s="66" t="s">
        <v>2193</v>
      </c>
      <c r="E88" s="66" t="s">
        <v>40</v>
      </c>
      <c r="F88" s="66" t="s">
        <v>953</v>
      </c>
      <c r="G88" s="66">
        <v>45</v>
      </c>
      <c r="H88" s="66" t="s">
        <v>1395</v>
      </c>
    </row>
    <row r="89" spans="1:8" ht="48.9">
      <c r="A89" s="38" t="s">
        <v>984</v>
      </c>
      <c r="B89" s="66">
        <v>320</v>
      </c>
      <c r="C89" s="66">
        <v>50</v>
      </c>
      <c r="D89" s="66" t="s">
        <v>2137</v>
      </c>
      <c r="E89" s="66" t="s">
        <v>40</v>
      </c>
      <c r="F89" s="66" t="s">
        <v>1090</v>
      </c>
      <c r="G89" s="66">
        <v>16.113499999999998</v>
      </c>
      <c r="H89" s="66" t="s">
        <v>1998</v>
      </c>
    </row>
    <row r="90" spans="1:8" ht="32.6">
      <c r="A90" s="100" t="s">
        <v>2372</v>
      </c>
      <c r="B90" s="101" t="s">
        <v>1999</v>
      </c>
      <c r="C90" s="101">
        <v>43</v>
      </c>
      <c r="D90" s="101" t="s">
        <v>2193</v>
      </c>
      <c r="E90" s="101" t="s">
        <v>2000</v>
      </c>
      <c r="F90" s="101" t="s">
        <v>2001</v>
      </c>
      <c r="G90" s="101" t="s">
        <v>2002</v>
      </c>
      <c r="H90" s="101" t="s">
        <v>2399</v>
      </c>
    </row>
    <row r="91" spans="1:8" ht="32.6">
      <c r="A91" s="100" t="s">
        <v>2373</v>
      </c>
      <c r="B91" s="101" t="s">
        <v>2201</v>
      </c>
      <c r="C91" s="101">
        <v>46</v>
      </c>
      <c r="D91" s="101" t="s">
        <v>2193</v>
      </c>
      <c r="E91" s="101" t="s">
        <v>2003</v>
      </c>
      <c r="F91" s="101" t="s">
        <v>953</v>
      </c>
      <c r="G91" s="101">
        <v>30</v>
      </c>
      <c r="H91" s="101" t="s">
        <v>1122</v>
      </c>
    </row>
  </sheetData>
  <mergeCells count="4">
    <mergeCell ref="A1:H1"/>
    <mergeCell ref="A2:H2"/>
    <mergeCell ref="A3:H3"/>
    <mergeCell ref="B74:F74"/>
  </mergeCells>
  <phoneticPr fontId="18" type="noConversion"/>
  <pageMargins left="0.7" right="0.7" top="0.75" bottom="0.75" header="0.3" footer="0.3"/>
  <pageSetup paperSize="9" scale="55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9B578-B52D-40A7-9D3E-31E92A390089}">
  <sheetPr codeName="Sheet10"/>
  <dimension ref="A1:E61"/>
  <sheetViews>
    <sheetView topLeftCell="A45" zoomScale="80" zoomScaleNormal="80" workbookViewId="0">
      <selection activeCell="H46" sqref="H46"/>
    </sheetView>
  </sheetViews>
  <sheetFormatPr defaultColWidth="9" defaultRowHeight="14.15"/>
  <cols>
    <col min="1" max="1" width="24.69140625" style="20" customWidth="1"/>
    <col min="2" max="2" width="38.69140625" style="20" customWidth="1"/>
    <col min="3" max="3" width="19.765625" style="20" customWidth="1"/>
    <col min="4" max="4" width="17.23046875" style="20" customWidth="1"/>
    <col min="5" max="5" width="28.4609375" style="20" customWidth="1"/>
    <col min="6" max="16384" width="9" style="20"/>
  </cols>
  <sheetData>
    <row r="1" spans="1:5" ht="31.75" customHeight="1">
      <c r="A1" s="189" t="s">
        <v>2576</v>
      </c>
      <c r="B1" s="189"/>
      <c r="C1" s="189"/>
      <c r="D1" s="189"/>
      <c r="E1" s="189"/>
    </row>
    <row r="2" spans="1:5" ht="66.45" customHeight="1">
      <c r="A2" s="190" t="s">
        <v>2577</v>
      </c>
      <c r="B2" s="190"/>
      <c r="C2" s="190"/>
      <c r="D2" s="190"/>
      <c r="E2" s="190"/>
    </row>
    <row r="3" spans="1:5" ht="16.3">
      <c r="A3" s="102"/>
      <c r="B3" s="103" t="s">
        <v>985</v>
      </c>
      <c r="C3" s="103" t="s">
        <v>2</v>
      </c>
      <c r="D3" s="103" t="s">
        <v>986</v>
      </c>
      <c r="E3" s="103" t="s">
        <v>7</v>
      </c>
    </row>
    <row r="4" spans="1:5" ht="16.3">
      <c r="A4" s="104" t="s">
        <v>987</v>
      </c>
      <c r="B4" s="105" t="s">
        <v>2004</v>
      </c>
      <c r="C4" s="105">
        <v>25</v>
      </c>
      <c r="D4" s="105" t="s">
        <v>988</v>
      </c>
      <c r="E4" s="105"/>
    </row>
    <row r="5" spans="1:5" ht="32.6">
      <c r="A5" s="104" t="s">
        <v>989</v>
      </c>
      <c r="B5" s="105" t="s">
        <v>2381</v>
      </c>
      <c r="C5" s="105">
        <v>30</v>
      </c>
      <c r="D5" s="105" t="s">
        <v>990</v>
      </c>
      <c r="E5" s="105"/>
    </row>
    <row r="6" spans="1:5" ht="16.3">
      <c r="A6" s="104" t="s">
        <v>991</v>
      </c>
      <c r="B6" s="105" t="s">
        <v>2005</v>
      </c>
      <c r="C6" s="105">
        <v>20</v>
      </c>
      <c r="D6" s="105" t="s">
        <v>992</v>
      </c>
      <c r="E6" s="105" t="s">
        <v>993</v>
      </c>
    </row>
    <row r="7" spans="1:5" ht="16.3">
      <c r="A7" s="104" t="s">
        <v>994</v>
      </c>
      <c r="B7" s="105" t="s">
        <v>995</v>
      </c>
      <c r="C7" s="105">
        <v>9</v>
      </c>
      <c r="D7" s="105" t="s">
        <v>996</v>
      </c>
      <c r="E7" s="105"/>
    </row>
    <row r="8" spans="1:5" ht="16.3">
      <c r="A8" s="104" t="s">
        <v>997</v>
      </c>
      <c r="B8" s="105" t="s">
        <v>998</v>
      </c>
      <c r="C8" s="105">
        <v>7</v>
      </c>
      <c r="D8" s="105" t="s">
        <v>999</v>
      </c>
      <c r="E8" s="105"/>
    </row>
    <row r="9" spans="1:5" ht="48.9">
      <c r="A9" s="23" t="s">
        <v>145</v>
      </c>
      <c r="B9" s="73" t="s">
        <v>2006</v>
      </c>
      <c r="C9" s="73">
        <v>8</v>
      </c>
      <c r="D9" s="73" t="s">
        <v>56</v>
      </c>
      <c r="E9" s="73" t="s">
        <v>2007</v>
      </c>
    </row>
    <row r="10" spans="1:5" ht="16.3">
      <c r="A10" s="23" t="s">
        <v>1000</v>
      </c>
      <c r="B10" s="73" t="s">
        <v>1001</v>
      </c>
      <c r="C10" s="80">
        <v>10</v>
      </c>
      <c r="D10" s="80" t="s">
        <v>56</v>
      </c>
      <c r="E10" s="73"/>
    </row>
    <row r="11" spans="1:5" ht="16.3">
      <c r="A11" s="43" t="s">
        <v>2578</v>
      </c>
      <c r="B11" s="74" t="s">
        <v>2008</v>
      </c>
      <c r="C11" s="81">
        <v>9</v>
      </c>
      <c r="D11" s="80" t="s">
        <v>56</v>
      </c>
      <c r="E11" s="73"/>
    </row>
    <row r="12" spans="1:5" ht="16.3">
      <c r="A12" s="24" t="s">
        <v>1002</v>
      </c>
      <c r="B12" s="54" t="s">
        <v>1003</v>
      </c>
      <c r="C12" s="82">
        <v>25</v>
      </c>
      <c r="D12" s="82" t="s">
        <v>1004</v>
      </c>
      <c r="E12" s="83"/>
    </row>
    <row r="13" spans="1:5" ht="16.3">
      <c r="A13" s="24" t="s">
        <v>1005</v>
      </c>
      <c r="B13" s="54" t="s">
        <v>1006</v>
      </c>
      <c r="C13" s="82">
        <v>13</v>
      </c>
      <c r="D13" s="82" t="s">
        <v>1007</v>
      </c>
      <c r="E13" s="83"/>
    </row>
    <row r="14" spans="1:5" ht="16.3">
      <c r="A14" s="24" t="s">
        <v>1008</v>
      </c>
      <c r="B14" s="54" t="s">
        <v>2009</v>
      </c>
      <c r="C14" s="82">
        <v>20</v>
      </c>
      <c r="D14" s="82" t="s">
        <v>992</v>
      </c>
      <c r="E14" s="83"/>
    </row>
    <row r="15" spans="1:5" ht="16.3">
      <c r="A15" s="26" t="s">
        <v>1009</v>
      </c>
      <c r="B15" s="77" t="s">
        <v>1010</v>
      </c>
      <c r="C15" s="84">
        <v>20</v>
      </c>
      <c r="D15" s="85" t="s">
        <v>1011</v>
      </c>
      <c r="E15" s="62" t="s">
        <v>1012</v>
      </c>
    </row>
    <row r="16" spans="1:5" ht="16.3">
      <c r="A16" s="26" t="s">
        <v>1013</v>
      </c>
      <c r="B16" s="77" t="s">
        <v>2010</v>
      </c>
      <c r="C16" s="84">
        <v>20</v>
      </c>
      <c r="D16" s="85" t="s">
        <v>990</v>
      </c>
      <c r="E16" s="62"/>
    </row>
    <row r="17" spans="1:5" ht="16.3">
      <c r="A17" s="180" t="s">
        <v>2579</v>
      </c>
      <c r="B17" s="181" t="s">
        <v>2011</v>
      </c>
      <c r="C17" s="181">
        <v>9</v>
      </c>
      <c r="D17" s="181" t="s">
        <v>992</v>
      </c>
      <c r="E17" s="181"/>
    </row>
    <row r="18" spans="1:5" ht="16.3">
      <c r="A18" s="29" t="s">
        <v>1014</v>
      </c>
      <c r="B18" s="86" t="s">
        <v>1015</v>
      </c>
      <c r="C18" s="87">
        <v>25</v>
      </c>
      <c r="D18" s="88" t="s">
        <v>1016</v>
      </c>
      <c r="E18" s="89" t="s">
        <v>1017</v>
      </c>
    </row>
    <row r="19" spans="1:5" ht="16.3">
      <c r="A19" s="40" t="s">
        <v>1018</v>
      </c>
      <c r="B19" s="53" t="s">
        <v>1019</v>
      </c>
      <c r="C19" s="53">
        <v>16</v>
      </c>
      <c r="D19" s="53" t="s">
        <v>56</v>
      </c>
      <c r="E19" s="53"/>
    </row>
    <row r="20" spans="1:5" ht="32.6">
      <c r="A20" s="40" t="s">
        <v>1020</v>
      </c>
      <c r="B20" s="53" t="s">
        <v>1021</v>
      </c>
      <c r="C20" s="53">
        <v>32</v>
      </c>
      <c r="D20" s="53" t="s">
        <v>56</v>
      </c>
      <c r="E20" s="53" t="s">
        <v>2012</v>
      </c>
    </row>
    <row r="21" spans="1:5" ht="16.3">
      <c r="A21" s="40" t="s">
        <v>1022</v>
      </c>
      <c r="B21" s="53" t="s">
        <v>1023</v>
      </c>
      <c r="C21" s="53">
        <v>45</v>
      </c>
      <c r="D21" s="53" t="s">
        <v>56</v>
      </c>
      <c r="E21" s="53" t="s">
        <v>84</v>
      </c>
    </row>
    <row r="22" spans="1:5" ht="16.3">
      <c r="A22" s="40" t="s">
        <v>1024</v>
      </c>
      <c r="B22" s="53" t="s">
        <v>1025</v>
      </c>
      <c r="C22" s="53">
        <v>55</v>
      </c>
      <c r="D22" s="53" t="s">
        <v>56</v>
      </c>
      <c r="E22" s="53" t="s">
        <v>84</v>
      </c>
    </row>
    <row r="23" spans="1:5" ht="16.3">
      <c r="A23" s="40" t="s">
        <v>1026</v>
      </c>
      <c r="B23" s="53" t="s">
        <v>1027</v>
      </c>
      <c r="C23" s="53">
        <v>65</v>
      </c>
      <c r="D23" s="53" t="s">
        <v>56</v>
      </c>
      <c r="E23" s="53" t="s">
        <v>84</v>
      </c>
    </row>
    <row r="24" spans="1:5" ht="16.3">
      <c r="A24" s="40" t="s">
        <v>2580</v>
      </c>
      <c r="B24" s="53" t="s">
        <v>2013</v>
      </c>
      <c r="C24" s="53">
        <v>45</v>
      </c>
      <c r="D24" s="53" t="s">
        <v>56</v>
      </c>
      <c r="E24" s="53" t="s">
        <v>84</v>
      </c>
    </row>
    <row r="25" spans="1:5" ht="16.3">
      <c r="A25" s="41" t="s">
        <v>1028</v>
      </c>
      <c r="B25" s="90" t="s">
        <v>1029</v>
      </c>
      <c r="C25" s="90">
        <v>15</v>
      </c>
      <c r="D25" s="90" t="s">
        <v>992</v>
      </c>
      <c r="E25" s="90"/>
    </row>
    <row r="26" spans="1:5" ht="16.3">
      <c r="A26" s="41" t="s">
        <v>1030</v>
      </c>
      <c r="B26" s="90" t="s">
        <v>1031</v>
      </c>
      <c r="C26" s="90">
        <v>15</v>
      </c>
      <c r="D26" s="90" t="s">
        <v>1032</v>
      </c>
      <c r="E26" s="90"/>
    </row>
    <row r="27" spans="1:5" ht="32.6">
      <c r="A27" s="41" t="s">
        <v>1033</v>
      </c>
      <c r="B27" s="90" t="s">
        <v>1034</v>
      </c>
      <c r="C27" s="90">
        <v>24</v>
      </c>
      <c r="D27" s="90" t="s">
        <v>1035</v>
      </c>
      <c r="E27" s="90"/>
    </row>
    <row r="28" spans="1:5" ht="16.3">
      <c r="A28" s="38" t="s">
        <v>1036</v>
      </c>
      <c r="B28" s="66" t="s">
        <v>1037</v>
      </c>
      <c r="C28" s="66">
        <v>18</v>
      </c>
      <c r="D28" s="66" t="s">
        <v>1038</v>
      </c>
      <c r="E28" s="66"/>
    </row>
    <row r="29" spans="1:5" ht="16.3">
      <c r="A29" s="38" t="s">
        <v>1039</v>
      </c>
      <c r="B29" s="66" t="s">
        <v>1040</v>
      </c>
      <c r="C29" s="66">
        <v>10</v>
      </c>
      <c r="D29" s="66" t="s">
        <v>56</v>
      </c>
      <c r="E29" s="66"/>
    </row>
    <row r="30" spans="1:5" ht="32.6">
      <c r="A30" s="34" t="s">
        <v>1041</v>
      </c>
      <c r="B30" s="68" t="s">
        <v>1042</v>
      </c>
      <c r="C30" s="68">
        <v>20</v>
      </c>
      <c r="D30" s="68" t="s">
        <v>1043</v>
      </c>
      <c r="E30" s="68" t="s">
        <v>1917</v>
      </c>
    </row>
    <row r="31" spans="1:5" ht="16.3">
      <c r="A31" s="34" t="s">
        <v>1044</v>
      </c>
      <c r="B31" s="68" t="s">
        <v>2014</v>
      </c>
      <c r="C31" s="68">
        <v>27</v>
      </c>
      <c r="D31" s="68" t="s">
        <v>988</v>
      </c>
      <c r="E31" s="68"/>
    </row>
    <row r="32" spans="1:5" ht="48.9">
      <c r="A32" s="35" t="s">
        <v>1045</v>
      </c>
      <c r="B32" s="52" t="s">
        <v>2015</v>
      </c>
      <c r="C32" s="52">
        <v>35</v>
      </c>
      <c r="D32" s="52" t="s">
        <v>1043</v>
      </c>
      <c r="E32" s="52" t="s">
        <v>2016</v>
      </c>
    </row>
    <row r="33" spans="1:5" ht="32.6">
      <c r="A33" s="35" t="s">
        <v>2581</v>
      </c>
      <c r="B33" s="52" t="s">
        <v>2382</v>
      </c>
      <c r="C33" s="52">
        <v>35</v>
      </c>
      <c r="D33" s="52" t="s">
        <v>1043</v>
      </c>
      <c r="E33" s="52" t="s">
        <v>2017</v>
      </c>
    </row>
    <row r="34" spans="1:5" ht="32.6">
      <c r="A34" s="110" t="s">
        <v>199</v>
      </c>
      <c r="B34" s="111" t="s">
        <v>2229</v>
      </c>
      <c r="C34" s="111">
        <v>18</v>
      </c>
      <c r="D34" s="112" t="s">
        <v>1011</v>
      </c>
      <c r="E34" s="112" t="s">
        <v>1046</v>
      </c>
    </row>
    <row r="35" spans="1:5" ht="16.3">
      <c r="A35" s="110" t="s">
        <v>1047</v>
      </c>
      <c r="B35" s="111" t="s">
        <v>2230</v>
      </c>
      <c r="C35" s="111">
        <v>15</v>
      </c>
      <c r="D35" s="112" t="s">
        <v>990</v>
      </c>
      <c r="E35" s="112"/>
    </row>
    <row r="36" spans="1:5" ht="32.6">
      <c r="A36" s="110" t="s">
        <v>1048</v>
      </c>
      <c r="B36" s="112" t="s">
        <v>2018</v>
      </c>
      <c r="C36" s="112">
        <v>20</v>
      </c>
      <c r="D36" s="112" t="s">
        <v>990</v>
      </c>
      <c r="E36" s="111" t="s">
        <v>1049</v>
      </c>
    </row>
    <row r="37" spans="1:5" ht="16.3">
      <c r="A37" s="30" t="s">
        <v>1050</v>
      </c>
      <c r="B37" s="91" t="s">
        <v>1051</v>
      </c>
      <c r="C37" s="92">
        <v>20</v>
      </c>
      <c r="D37" s="92" t="s">
        <v>988</v>
      </c>
      <c r="E37" s="91" t="s">
        <v>1917</v>
      </c>
    </row>
    <row r="38" spans="1:5" ht="16.3">
      <c r="A38" s="30" t="s">
        <v>1052</v>
      </c>
      <c r="B38" s="91" t="s">
        <v>1053</v>
      </c>
      <c r="C38" s="92">
        <v>20</v>
      </c>
      <c r="D38" s="92" t="s">
        <v>988</v>
      </c>
      <c r="E38" s="91" t="s">
        <v>1917</v>
      </c>
    </row>
    <row r="39" spans="1:5" ht="16.3">
      <c r="A39" s="30" t="s">
        <v>1054</v>
      </c>
      <c r="B39" s="91" t="s">
        <v>1055</v>
      </c>
      <c r="C39" s="92">
        <v>20</v>
      </c>
      <c r="D39" s="92" t="s">
        <v>988</v>
      </c>
      <c r="E39" s="91" t="s">
        <v>1917</v>
      </c>
    </row>
    <row r="40" spans="1:5" ht="16.3">
      <c r="A40" s="30" t="s">
        <v>1056</v>
      </c>
      <c r="B40" s="91" t="s">
        <v>1057</v>
      </c>
      <c r="C40" s="92">
        <v>20</v>
      </c>
      <c r="D40" s="92" t="s">
        <v>988</v>
      </c>
      <c r="E40" s="91" t="s">
        <v>1917</v>
      </c>
    </row>
    <row r="41" spans="1:5" ht="16.3">
      <c r="A41" s="182" t="s">
        <v>1058</v>
      </c>
      <c r="B41" s="183" t="s">
        <v>1059</v>
      </c>
      <c r="C41" s="184">
        <v>30</v>
      </c>
      <c r="D41" s="184" t="s">
        <v>1043</v>
      </c>
      <c r="E41" s="183" t="s">
        <v>1917</v>
      </c>
    </row>
    <row r="42" spans="1:5" ht="16.3">
      <c r="A42" s="182" t="s">
        <v>1060</v>
      </c>
      <c r="B42" s="183" t="s">
        <v>2019</v>
      </c>
      <c r="C42" s="184">
        <v>30</v>
      </c>
      <c r="D42" s="184" t="s">
        <v>1043</v>
      </c>
      <c r="E42" s="183" t="s">
        <v>1917</v>
      </c>
    </row>
    <row r="43" spans="1:5" ht="16.3">
      <c r="A43" s="182" t="s">
        <v>1061</v>
      </c>
      <c r="B43" s="183" t="s">
        <v>2020</v>
      </c>
      <c r="C43" s="184">
        <v>30</v>
      </c>
      <c r="D43" s="184" t="s">
        <v>1043</v>
      </c>
      <c r="E43" s="183" t="s">
        <v>1917</v>
      </c>
    </row>
    <row r="44" spans="1:5" ht="32.6">
      <c r="A44" s="182" t="s">
        <v>1062</v>
      </c>
      <c r="B44" s="183" t="s">
        <v>1063</v>
      </c>
      <c r="C44" s="184">
        <v>30</v>
      </c>
      <c r="D44" s="184" t="s">
        <v>1043</v>
      </c>
      <c r="E44" s="183" t="s">
        <v>1917</v>
      </c>
    </row>
    <row r="45" spans="1:5" ht="32.6">
      <c r="A45" s="30" t="s">
        <v>1064</v>
      </c>
      <c r="B45" s="91" t="s">
        <v>2021</v>
      </c>
      <c r="C45" s="92">
        <v>9</v>
      </c>
      <c r="D45" s="92" t="s">
        <v>56</v>
      </c>
      <c r="E45" s="91" t="s">
        <v>1065</v>
      </c>
    </row>
    <row r="46" spans="1:5" ht="32.6">
      <c r="A46" s="30" t="s">
        <v>1066</v>
      </c>
      <c r="B46" s="91" t="s">
        <v>1067</v>
      </c>
      <c r="C46" s="92">
        <v>30</v>
      </c>
      <c r="D46" s="92" t="s">
        <v>988</v>
      </c>
      <c r="E46" s="91" t="s">
        <v>1068</v>
      </c>
    </row>
    <row r="47" spans="1:5" ht="16.3">
      <c r="A47" s="30" t="s">
        <v>1069</v>
      </c>
      <c r="B47" s="91" t="s">
        <v>1070</v>
      </c>
      <c r="C47" s="92">
        <v>60</v>
      </c>
      <c r="D47" s="92" t="s">
        <v>988</v>
      </c>
      <c r="E47" s="91" t="s">
        <v>84</v>
      </c>
    </row>
    <row r="48" spans="1:5" ht="32.6">
      <c r="A48" s="182" t="s">
        <v>2582</v>
      </c>
      <c r="B48" s="183" t="s">
        <v>2190</v>
      </c>
      <c r="C48" s="184">
        <v>30</v>
      </c>
      <c r="D48" s="184" t="s">
        <v>992</v>
      </c>
      <c r="E48" s="183" t="s">
        <v>84</v>
      </c>
    </row>
    <row r="49" spans="1:5" ht="16.3">
      <c r="A49" s="30" t="s">
        <v>1071</v>
      </c>
      <c r="B49" s="91" t="s">
        <v>1072</v>
      </c>
      <c r="C49" s="92">
        <v>7</v>
      </c>
      <c r="D49" s="92" t="s">
        <v>56</v>
      </c>
      <c r="E49" s="91"/>
    </row>
    <row r="50" spans="1:5" ht="16.3">
      <c r="A50" s="30" t="s">
        <v>1073</v>
      </c>
      <c r="B50" s="91" t="s">
        <v>1074</v>
      </c>
      <c r="C50" s="92">
        <v>15</v>
      </c>
      <c r="D50" s="92" t="s">
        <v>56</v>
      </c>
      <c r="E50" s="91"/>
    </row>
    <row r="51" spans="1:5" ht="32.6">
      <c r="A51" s="30" t="s">
        <v>1075</v>
      </c>
      <c r="B51" s="91" t="s">
        <v>1076</v>
      </c>
      <c r="C51" s="92">
        <v>12</v>
      </c>
      <c r="D51" s="92" t="s">
        <v>56</v>
      </c>
      <c r="E51" s="91"/>
    </row>
    <row r="52" spans="1:5" ht="32.6">
      <c r="A52" s="182" t="s">
        <v>195</v>
      </c>
      <c r="B52" s="183" t="s">
        <v>2022</v>
      </c>
      <c r="C52" s="184">
        <v>47</v>
      </c>
      <c r="D52" s="184" t="s">
        <v>1077</v>
      </c>
      <c r="E52" s="183" t="s">
        <v>2017</v>
      </c>
    </row>
    <row r="53" spans="1:5" ht="32.6">
      <c r="A53" s="182" t="s">
        <v>1078</v>
      </c>
      <c r="B53" s="183" t="s">
        <v>2023</v>
      </c>
      <c r="C53" s="184">
        <v>22</v>
      </c>
      <c r="D53" s="184" t="s">
        <v>988</v>
      </c>
      <c r="E53" s="183" t="s">
        <v>1079</v>
      </c>
    </row>
    <row r="54" spans="1:5" ht="32.6">
      <c r="A54" s="182" t="s">
        <v>1080</v>
      </c>
      <c r="B54" s="183" t="s">
        <v>2024</v>
      </c>
      <c r="C54" s="184">
        <v>55</v>
      </c>
      <c r="D54" s="184" t="s">
        <v>56</v>
      </c>
      <c r="E54" s="183"/>
    </row>
    <row r="55" spans="1:5" ht="48.9">
      <c r="A55" s="185" t="s">
        <v>849</v>
      </c>
      <c r="B55" s="186" t="s">
        <v>2025</v>
      </c>
      <c r="C55" s="186">
        <v>22</v>
      </c>
      <c r="D55" s="186" t="s">
        <v>1038</v>
      </c>
      <c r="E55" s="186" t="s">
        <v>1092</v>
      </c>
    </row>
    <row r="56" spans="1:5" ht="32.6">
      <c r="A56" s="182" t="s">
        <v>1081</v>
      </c>
      <c r="B56" s="183" t="s">
        <v>2026</v>
      </c>
      <c r="C56" s="184">
        <v>15</v>
      </c>
      <c r="D56" s="184" t="s">
        <v>992</v>
      </c>
      <c r="E56" s="183"/>
    </row>
    <row r="57" spans="1:5" ht="32.6">
      <c r="A57" s="36" t="s">
        <v>1082</v>
      </c>
      <c r="B57" s="67" t="s">
        <v>2438</v>
      </c>
      <c r="C57" s="67">
        <v>14</v>
      </c>
      <c r="D57" s="67" t="s">
        <v>56</v>
      </c>
      <c r="E57" s="67" t="s">
        <v>2439</v>
      </c>
    </row>
    <row r="58" spans="1:5" ht="32.6">
      <c r="A58" s="36" t="s">
        <v>1083</v>
      </c>
      <c r="B58" s="67" t="s">
        <v>1084</v>
      </c>
      <c r="C58" s="67">
        <v>28</v>
      </c>
      <c r="D58" s="67" t="s">
        <v>992</v>
      </c>
      <c r="E58" s="67" t="s">
        <v>1917</v>
      </c>
    </row>
    <row r="59" spans="1:5" ht="16.3">
      <c r="A59" s="36" t="s">
        <v>1085</v>
      </c>
      <c r="B59" s="67" t="s">
        <v>1086</v>
      </c>
      <c r="C59" s="67">
        <v>30</v>
      </c>
      <c r="D59" s="67" t="s">
        <v>1043</v>
      </c>
      <c r="E59" s="67" t="s">
        <v>1917</v>
      </c>
    </row>
    <row r="60" spans="1:5" ht="32.6">
      <c r="A60" s="37" t="s">
        <v>1087</v>
      </c>
      <c r="B60" s="61" t="s">
        <v>2027</v>
      </c>
      <c r="C60" s="61">
        <v>15</v>
      </c>
      <c r="D60" s="61" t="s">
        <v>1035</v>
      </c>
      <c r="E60" s="61" t="s">
        <v>910</v>
      </c>
    </row>
    <row r="61" spans="1:5" ht="16.3">
      <c r="A61" s="37" t="s">
        <v>1088</v>
      </c>
      <c r="B61" s="61" t="s">
        <v>2028</v>
      </c>
      <c r="C61" s="61">
        <v>30</v>
      </c>
      <c r="D61" s="61" t="s">
        <v>1043</v>
      </c>
      <c r="E61" s="61" t="s">
        <v>1917</v>
      </c>
    </row>
  </sheetData>
  <phoneticPr fontId="18" type="noConversion"/>
  <pageMargins left="0.75" right="0.75" top="1" bottom="1" header="0.5" footer="0.5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7"/>
  <sheetViews>
    <sheetView workbookViewId="0">
      <selection activeCell="H63" sqref="H63"/>
    </sheetView>
  </sheetViews>
  <sheetFormatPr defaultColWidth="9" defaultRowHeight="14.15"/>
  <cols>
    <col min="3" max="3" width="14.15234375" customWidth="1"/>
    <col min="4" max="4" width="12.84375"/>
    <col min="5" max="5" width="12.765625" customWidth="1"/>
    <col min="6" max="7" width="12.84375"/>
    <col min="8" max="8" width="14.15234375"/>
    <col min="9" max="9" width="14.3046875"/>
    <col min="10" max="11" width="12.84375"/>
    <col min="12" max="12" width="17.15234375"/>
    <col min="13" max="13" width="10.15234375" customWidth="1"/>
    <col min="14" max="16" width="17.15234375"/>
    <col min="17" max="18" width="9.3046875" customWidth="1"/>
    <col min="20" max="21" width="12.84375"/>
  </cols>
  <sheetData>
    <row r="1" spans="1:21" ht="16.3">
      <c r="A1" s="1">
        <v>66.065487601189204</v>
      </c>
      <c r="B1">
        <v>0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s="4" t="s">
        <v>625</v>
      </c>
      <c r="J1" t="s">
        <v>626</v>
      </c>
      <c r="K1" t="s">
        <v>627</v>
      </c>
      <c r="L1" s="5" t="s">
        <v>628</v>
      </c>
      <c r="M1" s="6">
        <v>0</v>
      </c>
      <c r="N1" s="6">
        <v>0.125</v>
      </c>
      <c r="O1" s="6">
        <v>1</v>
      </c>
      <c r="P1" s="6">
        <v>2.5</v>
      </c>
      <c r="Q1" s="6">
        <v>8</v>
      </c>
      <c r="R1" s="5" t="s">
        <v>629</v>
      </c>
    </row>
    <row r="2" spans="1:21" ht="16.3">
      <c r="A2" s="1">
        <v>67.421417167447999</v>
      </c>
      <c r="B2">
        <v>2</v>
      </c>
      <c r="D2">
        <v>20</v>
      </c>
      <c r="E2">
        <v>4</v>
      </c>
      <c r="F2">
        <v>144</v>
      </c>
      <c r="G2">
        <v>118</v>
      </c>
      <c r="H2">
        <f>D2*E2*(1+G2/F2)</f>
        <v>145.55555555555554</v>
      </c>
      <c r="I2" s="4">
        <f t="shared" ref="I2:I9" si="0">K2*R2</f>
        <v>151.98270472706685</v>
      </c>
      <c r="J2">
        <v>84</v>
      </c>
      <c r="K2">
        <v>1.68</v>
      </c>
      <c r="L2" s="5">
        <f t="shared" ref="L2:L9" si="1">H2/J2</f>
        <v>1.7328042328042326</v>
      </c>
      <c r="M2" s="6">
        <f t="shared" ref="M2:M9" si="2">H2*0.1</f>
        <v>14.555555555555555</v>
      </c>
      <c r="N2" s="6">
        <f t="shared" ref="N2:N9" si="3">(19.2/49*(L2-0.125)^2+0.1)*H2</f>
        <v>161.9904456057499</v>
      </c>
      <c r="O2" s="6">
        <f t="shared" ref="O2:O9" si="4">(-0.4/3*(L2-2.5)^2+0.7)*H2</f>
        <v>90.465895670873124</v>
      </c>
      <c r="P2" s="6">
        <f t="shared" ref="P2:P9" si="5">(-0.8/121*(L2-8)^2+0.9)*H2</f>
        <v>93.201033573915822</v>
      </c>
      <c r="Q2" s="6">
        <f t="shared" ref="Q2:Q9" si="6">0.9*H2</f>
        <v>131</v>
      </c>
      <c r="R2" s="5">
        <f>HLOOKUP(L2,$M$1:Q2,ROW(L2)-ROW($L$2)+2,1)</f>
        <v>90.465895670873124</v>
      </c>
    </row>
    <row r="3" spans="1:21" ht="16.3">
      <c r="A3" s="1">
        <v>66.550582058624698</v>
      </c>
      <c r="B3">
        <v>8</v>
      </c>
      <c r="D3">
        <v>40</v>
      </c>
      <c r="E3">
        <v>4</v>
      </c>
      <c r="F3">
        <v>85</v>
      </c>
      <c r="G3">
        <v>23</v>
      </c>
      <c r="H3">
        <f>D3*E3*(1+G3/F3)</f>
        <v>203.29411764705881</v>
      </c>
      <c r="I3" s="4">
        <f t="shared" si="0"/>
        <v>238.78366316768918</v>
      </c>
      <c r="J3">
        <v>84</v>
      </c>
      <c r="K3">
        <v>1.68</v>
      </c>
      <c r="L3" s="5">
        <f t="shared" si="1"/>
        <v>2.4201680672268906</v>
      </c>
      <c r="M3" s="6">
        <f t="shared" si="2"/>
        <v>20.329411764705881</v>
      </c>
      <c r="N3" s="6">
        <f t="shared" si="3"/>
        <v>439.95208577605172</v>
      </c>
      <c r="O3" s="6">
        <f t="shared" si="4"/>
        <v>142.13313283791024</v>
      </c>
      <c r="P3" s="6">
        <f t="shared" si="5"/>
        <v>141.11699900069266</v>
      </c>
      <c r="Q3" s="6">
        <f t="shared" si="6"/>
        <v>182.96470588235294</v>
      </c>
      <c r="R3" s="5">
        <f>HLOOKUP(L3,$M$1:Q3,ROW(L3)-ROW($L$2)+2,1)</f>
        <v>142.13313283791024</v>
      </c>
    </row>
    <row r="4" spans="1:21" ht="16.3">
      <c r="A4" s="1">
        <v>80</v>
      </c>
      <c r="B4">
        <v>4</v>
      </c>
      <c r="D4">
        <v>120</v>
      </c>
      <c r="E4">
        <v>1</v>
      </c>
      <c r="F4">
        <v>124</v>
      </c>
      <c r="G4">
        <v>81</v>
      </c>
      <c r="H4">
        <f>D4*E4*(1+G4/F4)</f>
        <v>198.38709677419357</v>
      </c>
      <c r="I4" s="4">
        <f t="shared" si="0"/>
        <v>107.92501577315161</v>
      </c>
      <c r="J4">
        <v>84</v>
      </c>
      <c r="K4">
        <v>0.78</v>
      </c>
      <c r="L4" s="5">
        <f t="shared" si="1"/>
        <v>2.3617511520737331</v>
      </c>
      <c r="M4" s="6">
        <f t="shared" si="2"/>
        <v>19.838709677419359</v>
      </c>
      <c r="N4" s="6">
        <f t="shared" si="3"/>
        <v>408.75300788747762</v>
      </c>
      <c r="O4" s="6">
        <f t="shared" si="4"/>
        <v>138.36540483737386</v>
      </c>
      <c r="P4" s="6">
        <f t="shared" si="5"/>
        <v>136.85122304718263</v>
      </c>
      <c r="Q4" s="6">
        <f t="shared" si="6"/>
        <v>178.54838709677421</v>
      </c>
      <c r="R4" s="5">
        <f>HLOOKUP(L4,$M$1:Q4,ROW(L4)-ROW($L$2)+2,1)</f>
        <v>138.36540483737386</v>
      </c>
    </row>
    <row r="5" spans="1:21" ht="16.3">
      <c r="D5">
        <v>40</v>
      </c>
      <c r="E5">
        <v>1</v>
      </c>
      <c r="F5">
        <v>37</v>
      </c>
      <c r="G5">
        <v>5</v>
      </c>
      <c r="H5">
        <f>D5*E5*(1+G5/F5)</f>
        <v>45.405405405405403</v>
      </c>
      <c r="I5" s="4">
        <f t="shared" si="0"/>
        <v>12.789285530965589</v>
      </c>
      <c r="J5">
        <v>84</v>
      </c>
      <c r="K5">
        <v>1.68</v>
      </c>
      <c r="L5" s="5">
        <f t="shared" si="1"/>
        <v>0.54054054054054057</v>
      </c>
      <c r="M5" s="6">
        <f t="shared" si="2"/>
        <v>4.5405405405405403</v>
      </c>
      <c r="N5" s="6">
        <f t="shared" si="3"/>
        <v>7.6126699589080893</v>
      </c>
      <c r="O5" s="6">
        <f t="shared" si="4"/>
        <v>8.5393560105028286</v>
      </c>
      <c r="P5" s="6">
        <f t="shared" si="5"/>
        <v>24.16061835731136</v>
      </c>
      <c r="Q5" s="6">
        <f t="shared" si="6"/>
        <v>40.864864864864863</v>
      </c>
      <c r="R5" s="5">
        <f>HLOOKUP(L5,$M$1:Q5,ROW(L5)-ROW($L$2)+2,1)</f>
        <v>7.6126699589080893</v>
      </c>
    </row>
    <row r="6" spans="1:21" ht="16.3">
      <c r="H6">
        <v>180</v>
      </c>
      <c r="I6" s="4">
        <f t="shared" si="0"/>
        <v>206.53714285714281</v>
      </c>
      <c r="J6">
        <v>84</v>
      </c>
      <c r="K6">
        <v>1.68</v>
      </c>
      <c r="L6" s="5">
        <f t="shared" si="1"/>
        <v>2.1428571428571428</v>
      </c>
      <c r="M6" s="6">
        <f t="shared" si="2"/>
        <v>18</v>
      </c>
      <c r="N6" s="6">
        <f t="shared" si="3"/>
        <v>305.182840483132</v>
      </c>
      <c r="O6" s="6">
        <f t="shared" si="4"/>
        <v>122.93877551020407</v>
      </c>
      <c r="P6" s="6">
        <f t="shared" si="5"/>
        <v>121.17287906898295</v>
      </c>
      <c r="Q6" s="6">
        <f t="shared" si="6"/>
        <v>162</v>
      </c>
      <c r="R6" s="5">
        <f>HLOOKUP(L6,$M$1:Q6,ROW(L6)-ROW($L$2)+2,1)</f>
        <v>122.93877551020407</v>
      </c>
    </row>
    <row r="7" spans="1:21" ht="16.3">
      <c r="A7">
        <f>180*4*(1+0.25*0.66*1.5)</f>
        <v>898.2</v>
      </c>
      <c r="F7">
        <v>304</v>
      </c>
      <c r="G7">
        <v>0.75</v>
      </c>
      <c r="H7">
        <f>F7*G7</f>
        <v>228</v>
      </c>
      <c r="I7" s="4">
        <f t="shared" si="0"/>
        <v>273.98116646989371</v>
      </c>
      <c r="J7">
        <v>84</v>
      </c>
      <c r="K7">
        <v>1.68</v>
      </c>
      <c r="L7" s="5">
        <f t="shared" si="1"/>
        <v>2.7142857142857144</v>
      </c>
      <c r="M7" s="6">
        <f t="shared" si="2"/>
        <v>22.8</v>
      </c>
      <c r="N7" s="6">
        <f t="shared" si="3"/>
        <v>621.76293211162022</v>
      </c>
      <c r="O7" s="6">
        <f t="shared" si="4"/>
        <v>158.20408163265307</v>
      </c>
      <c r="P7" s="6">
        <f t="shared" si="5"/>
        <v>163.08402766065103</v>
      </c>
      <c r="Q7" s="6">
        <f t="shared" si="6"/>
        <v>205.20000000000002</v>
      </c>
      <c r="R7" s="5">
        <f>HLOOKUP(L7,$M$1:Q7,ROW(L7)-ROW($L$2)+2,1)</f>
        <v>163.08402766065103</v>
      </c>
    </row>
    <row r="8" spans="1:21" ht="16.3">
      <c r="F8">
        <v>1523</v>
      </c>
      <c r="G8">
        <v>1</v>
      </c>
      <c r="H8">
        <f>F8*G8</f>
        <v>1523</v>
      </c>
      <c r="I8" s="4">
        <f t="shared" si="0"/>
        <v>1644.84</v>
      </c>
      <c r="J8">
        <v>84</v>
      </c>
      <c r="K8">
        <v>1.2</v>
      </c>
      <c r="L8" s="5">
        <f t="shared" si="1"/>
        <v>18.13095238095238</v>
      </c>
      <c r="M8" s="6">
        <f t="shared" si="2"/>
        <v>152.30000000000001</v>
      </c>
      <c r="N8" s="6">
        <f t="shared" si="3"/>
        <v>193632.82026933218</v>
      </c>
      <c r="O8" s="6">
        <f t="shared" si="4"/>
        <v>-48548.502928949354</v>
      </c>
      <c r="P8" s="6">
        <f t="shared" si="5"/>
        <v>337.2128811304139</v>
      </c>
      <c r="Q8" s="6">
        <f t="shared" si="6"/>
        <v>1370.7</v>
      </c>
      <c r="R8" s="5">
        <f>HLOOKUP(L8,$M$1:Q8,ROW(L8)-ROW($L$2)+2,1)</f>
        <v>1370.7</v>
      </c>
    </row>
    <row r="9" spans="1:21" ht="16.3">
      <c r="H9">
        <v>1088</v>
      </c>
      <c r="I9" s="4">
        <f t="shared" si="0"/>
        <v>1645.056</v>
      </c>
      <c r="J9">
        <v>84</v>
      </c>
      <c r="K9">
        <v>1.68</v>
      </c>
      <c r="L9" s="5">
        <f t="shared" si="1"/>
        <v>12.952380952380953</v>
      </c>
      <c r="M9" s="6">
        <f t="shared" si="2"/>
        <v>108.80000000000001</v>
      </c>
      <c r="N9" s="6">
        <f t="shared" si="3"/>
        <v>70255.949798694986</v>
      </c>
      <c r="O9" s="6">
        <f t="shared" si="4"/>
        <v>-15087.262282690855</v>
      </c>
      <c r="P9" s="6">
        <f t="shared" si="5"/>
        <v>802.77440077959557</v>
      </c>
      <c r="Q9" s="6">
        <f t="shared" si="6"/>
        <v>979.2</v>
      </c>
      <c r="R9" s="5">
        <f>HLOOKUP(L9,$M$1:Q9,ROW(L9)-ROW($L$2)+2,1)</f>
        <v>979.2</v>
      </c>
    </row>
    <row r="10" spans="1:21" ht="16.3">
      <c r="F10">
        <v>3</v>
      </c>
      <c r="I10" s="4"/>
      <c r="L10" s="5"/>
      <c r="M10" s="6"/>
      <c r="N10" s="6"/>
      <c r="O10" s="6"/>
      <c r="P10" s="6"/>
      <c r="Q10" s="6"/>
      <c r="R10" s="5"/>
    </row>
    <row r="11" spans="1:21">
      <c r="A11" t="s">
        <v>620</v>
      </c>
      <c r="B11" t="s">
        <v>621</v>
      </c>
      <c r="C11" t="s">
        <v>630</v>
      </c>
      <c r="D11" t="s">
        <v>631</v>
      </c>
      <c r="E11" t="s">
        <v>632</v>
      </c>
      <c r="F11" t="s">
        <v>239</v>
      </c>
      <c r="G11" t="s">
        <v>624</v>
      </c>
    </row>
    <row r="12" spans="1:21">
      <c r="A12">
        <v>155</v>
      </c>
      <c r="B12">
        <v>4</v>
      </c>
      <c r="C12" s="2">
        <v>1.01</v>
      </c>
      <c r="D12" s="2">
        <v>1</v>
      </c>
      <c r="E12">
        <v>1.8</v>
      </c>
      <c r="F12">
        <v>0.95430000000000004</v>
      </c>
      <c r="G12">
        <f t="shared" ref="G12:G17" si="7">A12*B12*(1+C12*D12*E12*F12)</f>
        <v>1695.648788</v>
      </c>
      <c r="M12" s="2"/>
      <c r="N12" s="2"/>
    </row>
    <row r="13" spans="1:21">
      <c r="A13">
        <v>280</v>
      </c>
      <c r="B13">
        <f t="shared" ref="B13:D14" si="8">B12</f>
        <v>4</v>
      </c>
      <c r="C13" s="2">
        <f t="shared" si="8"/>
        <v>1.01</v>
      </c>
      <c r="D13" s="2">
        <f t="shared" si="8"/>
        <v>1</v>
      </c>
      <c r="E13">
        <v>1.8</v>
      </c>
      <c r="F13">
        <v>0.8</v>
      </c>
      <c r="G13">
        <f t="shared" si="7"/>
        <v>2748.9280000000003</v>
      </c>
      <c r="M13" s="2"/>
      <c r="N13" s="2"/>
    </row>
    <row r="14" spans="1:21">
      <c r="A14">
        <f>A13</f>
        <v>280</v>
      </c>
      <c r="B14">
        <f t="shared" si="8"/>
        <v>4</v>
      </c>
      <c r="C14" s="2">
        <f t="shared" si="8"/>
        <v>1.01</v>
      </c>
      <c r="D14" s="2">
        <f t="shared" si="8"/>
        <v>1</v>
      </c>
      <c r="E14">
        <v>1.8</v>
      </c>
      <c r="F14">
        <v>0.8</v>
      </c>
      <c r="G14">
        <f t="shared" si="7"/>
        <v>2748.9280000000003</v>
      </c>
      <c r="U14">
        <f>(R14-P14)/0.12</f>
        <v>0</v>
      </c>
    </row>
    <row r="15" spans="1:21">
      <c r="A15">
        <f>A14</f>
        <v>280</v>
      </c>
      <c r="B15">
        <v>1.3</v>
      </c>
      <c r="C15" s="2">
        <f t="shared" ref="C15:D17" si="9">C14</f>
        <v>1.01</v>
      </c>
      <c r="D15" s="2">
        <f t="shared" si="9"/>
        <v>1</v>
      </c>
      <c r="E15">
        <v>1.08</v>
      </c>
      <c r="F15">
        <v>0.8</v>
      </c>
      <c r="G15" s="3">
        <f t="shared" si="7"/>
        <v>681.64096000000006</v>
      </c>
      <c r="O15" s="2"/>
    </row>
    <row r="16" spans="1:21">
      <c r="A16">
        <f>A15</f>
        <v>280</v>
      </c>
      <c r="B16">
        <v>1</v>
      </c>
      <c r="C16" s="2">
        <f t="shared" si="9"/>
        <v>1.01</v>
      </c>
      <c r="D16" s="2">
        <f t="shared" si="9"/>
        <v>1</v>
      </c>
      <c r="E16">
        <v>1</v>
      </c>
      <c r="F16">
        <v>0.8</v>
      </c>
      <c r="G16">
        <f t="shared" si="7"/>
        <v>506.24</v>
      </c>
      <c r="L16" s="2"/>
      <c r="O16" s="2"/>
    </row>
    <row r="17" spans="1:15">
      <c r="A17">
        <v>50</v>
      </c>
      <c r="B17">
        <v>4</v>
      </c>
      <c r="C17" s="2">
        <f t="shared" si="9"/>
        <v>1.01</v>
      </c>
      <c r="D17" s="2">
        <f t="shared" si="9"/>
        <v>1</v>
      </c>
      <c r="E17">
        <v>1.8</v>
      </c>
      <c r="F17">
        <v>0.84</v>
      </c>
      <c r="G17">
        <f t="shared" si="7"/>
        <v>505.42399999999998</v>
      </c>
      <c r="O17" s="2"/>
    </row>
  </sheetData>
  <phoneticPr fontId="18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N851"/>
  <sheetViews>
    <sheetView workbookViewId="0">
      <pane xSplit="2" ySplit="1" topLeftCell="C77" activePane="bottomRight" state="frozen"/>
      <selection pane="topRight"/>
      <selection pane="bottomLeft"/>
      <selection pane="bottomRight" activeCell="H63" sqref="H63"/>
    </sheetView>
  </sheetViews>
  <sheetFormatPr defaultColWidth="10" defaultRowHeight="14.15"/>
  <cols>
    <col min="1" max="1" width="7.69140625" style="1" customWidth="1"/>
    <col min="2" max="2" width="9.69140625" style="1" customWidth="1"/>
    <col min="3" max="3" width="20.84375" style="1" customWidth="1"/>
    <col min="4" max="4" width="17.53515625" style="1" customWidth="1"/>
    <col min="5" max="5" width="16.4609375" style="1" customWidth="1"/>
    <col min="6" max="6" width="22" style="1" customWidth="1"/>
    <col min="7" max="7" width="19.765625" style="1" customWidth="1"/>
    <col min="8" max="8" width="17.53515625" style="1" customWidth="1"/>
    <col min="9" max="9" width="29.84375" style="1" customWidth="1"/>
    <col min="10" max="13" width="16.4609375" style="1" customWidth="1"/>
    <col min="14" max="14" width="32.15234375" style="1" customWidth="1"/>
    <col min="15" max="15" width="28.765625" style="1" customWidth="1"/>
    <col min="16" max="16" width="27.69140625" style="1" customWidth="1"/>
    <col min="17" max="17" width="33.23046875" style="1" customWidth="1"/>
    <col min="18" max="19" width="29.84375" style="1" customWidth="1"/>
    <col min="20" max="20" width="34.4609375" style="1" customWidth="1"/>
    <col min="21" max="21" width="28.765625" style="1" customWidth="1"/>
    <col min="22" max="22" width="33.23046875" style="1" customWidth="1"/>
    <col min="23" max="25" width="29.84375" style="1" customWidth="1"/>
    <col min="26" max="28" width="28.765625" style="1" customWidth="1"/>
    <col min="29" max="29" width="37.765625" style="1" customWidth="1"/>
    <col min="30" max="30" width="35.53515625" style="1" customWidth="1"/>
    <col min="31" max="31" width="16.4609375" style="1" customWidth="1"/>
    <col min="32" max="32" width="27.69140625" style="1" customWidth="1"/>
    <col min="33" max="33" width="16.4609375" style="1" customWidth="1"/>
    <col min="34" max="34" width="33.23046875" style="1" customWidth="1"/>
    <col min="35" max="35" width="14.15234375" style="1" customWidth="1"/>
    <col min="36" max="36" width="17.53515625" style="1" customWidth="1"/>
    <col min="37" max="37" width="14.15234375" style="1" customWidth="1"/>
    <col min="38" max="38" width="28.765625" style="1" customWidth="1"/>
    <col min="39" max="39" width="31" style="1" customWidth="1"/>
    <col min="40" max="40" width="23.15234375" style="1" customWidth="1"/>
    <col min="41" max="16384" width="10" style="1"/>
  </cols>
  <sheetData>
    <row r="1" spans="1:40">
      <c r="A1" s="1" t="s">
        <v>633</v>
      </c>
      <c r="B1" s="1" t="s">
        <v>634</v>
      </c>
      <c r="C1" s="1" t="s">
        <v>635</v>
      </c>
      <c r="D1" s="1" t="s">
        <v>636</v>
      </c>
      <c r="E1" s="1" t="s">
        <v>637</v>
      </c>
      <c r="F1" s="1" t="s">
        <v>638</v>
      </c>
      <c r="G1" s="1" t="s">
        <v>639</v>
      </c>
      <c r="H1" s="1" t="s">
        <v>640</v>
      </c>
      <c r="I1" s="1" t="s">
        <v>641</v>
      </c>
      <c r="J1" s="1" t="s">
        <v>642</v>
      </c>
      <c r="K1" s="1" t="s">
        <v>643</v>
      </c>
      <c r="L1" s="1" t="s">
        <v>644</v>
      </c>
      <c r="M1" s="1" t="s">
        <v>645</v>
      </c>
      <c r="N1" s="1" t="s">
        <v>646</v>
      </c>
      <c r="O1" s="1" t="s">
        <v>647</v>
      </c>
      <c r="P1" s="1" t="s">
        <v>648</v>
      </c>
      <c r="Q1" s="1" t="s">
        <v>649</v>
      </c>
      <c r="R1" s="1" t="s">
        <v>650</v>
      </c>
      <c r="S1" s="1" t="s">
        <v>651</v>
      </c>
      <c r="T1" s="1" t="s">
        <v>652</v>
      </c>
      <c r="U1" s="1" t="s">
        <v>653</v>
      </c>
      <c r="V1" s="1" t="s">
        <v>654</v>
      </c>
      <c r="W1" s="1" t="s">
        <v>655</v>
      </c>
      <c r="X1" s="1" t="s">
        <v>656</v>
      </c>
      <c r="Y1" s="1" t="s">
        <v>657</v>
      </c>
      <c r="Z1" s="1" t="s">
        <v>658</v>
      </c>
      <c r="AA1" s="1" t="s">
        <v>659</v>
      </c>
      <c r="AB1" s="1" t="s">
        <v>660</v>
      </c>
      <c r="AC1" s="1" t="s">
        <v>661</v>
      </c>
      <c r="AD1" s="1" t="s">
        <v>662</v>
      </c>
      <c r="AE1" s="1" t="s">
        <v>663</v>
      </c>
      <c r="AF1" s="1" t="s">
        <v>664</v>
      </c>
      <c r="AG1" s="1" t="s">
        <v>665</v>
      </c>
      <c r="AH1" s="1" t="s">
        <v>666</v>
      </c>
      <c r="AI1" s="1" t="s">
        <v>667</v>
      </c>
      <c r="AJ1" s="1" t="s">
        <v>668</v>
      </c>
      <c r="AK1" s="1" t="s">
        <v>667</v>
      </c>
      <c r="AL1" s="1" t="s">
        <v>669</v>
      </c>
      <c r="AM1" s="1" t="s">
        <v>670</v>
      </c>
      <c r="AN1" s="1" t="s">
        <v>671</v>
      </c>
    </row>
    <row r="2" spans="1:40">
      <c r="A2" s="1">
        <v>0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0</v>
      </c>
      <c r="AL2" s="1">
        <v>1</v>
      </c>
      <c r="AM2" s="1">
        <v>1</v>
      </c>
      <c r="AN2" s="1">
        <v>1</v>
      </c>
    </row>
    <row r="3" spans="1:40">
      <c r="A3" s="1">
        <v>1</v>
      </c>
      <c r="C3" s="1">
        <v>1.0580000000000001</v>
      </c>
      <c r="D3" s="1">
        <v>1.0580000000000001</v>
      </c>
      <c r="E3" s="1">
        <v>1.0580000000000001</v>
      </c>
      <c r="F3" s="1">
        <v>1.0580000000000001</v>
      </c>
      <c r="G3" s="1">
        <v>1.04</v>
      </c>
      <c r="H3" s="1">
        <v>1</v>
      </c>
      <c r="I3" s="1">
        <v>1</v>
      </c>
      <c r="J3" s="1">
        <v>1.02</v>
      </c>
      <c r="K3" s="1">
        <v>1.02</v>
      </c>
      <c r="L3" s="1">
        <v>1.04</v>
      </c>
      <c r="M3" s="1">
        <v>1.04</v>
      </c>
      <c r="N3" s="1">
        <v>1</v>
      </c>
      <c r="O3" s="1">
        <v>1</v>
      </c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1</v>
      </c>
      <c r="V3" s="1">
        <v>1.01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1</v>
      </c>
      <c r="AD3" s="1">
        <v>1</v>
      </c>
      <c r="AE3" s="1">
        <v>1.0580000000000001</v>
      </c>
      <c r="AF3" s="1">
        <v>1</v>
      </c>
      <c r="AG3" s="1">
        <v>1.04</v>
      </c>
      <c r="AH3" s="1">
        <v>1</v>
      </c>
      <c r="AI3" s="1">
        <v>1</v>
      </c>
      <c r="AJ3" s="1">
        <v>1</v>
      </c>
      <c r="AK3" s="1">
        <v>0</v>
      </c>
      <c r="AL3" s="1">
        <v>1</v>
      </c>
      <c r="AM3" s="1">
        <v>1</v>
      </c>
      <c r="AN3" s="1">
        <v>1.1200000000000001</v>
      </c>
    </row>
    <row r="4" spans="1:40">
      <c r="A4" s="1">
        <v>2</v>
      </c>
      <c r="C4" s="1">
        <v>1.1160000000000001</v>
      </c>
      <c r="D4" s="1">
        <v>1.1160000000000001</v>
      </c>
      <c r="E4" s="1">
        <v>1.1160000000000001</v>
      </c>
      <c r="F4" s="1">
        <v>1.1160000000000001</v>
      </c>
      <c r="G4" s="1">
        <v>1.08</v>
      </c>
      <c r="H4" s="1">
        <v>1</v>
      </c>
      <c r="I4" s="1">
        <v>1</v>
      </c>
      <c r="J4" s="1">
        <v>1.04</v>
      </c>
      <c r="K4" s="1">
        <v>1.04</v>
      </c>
      <c r="L4" s="1">
        <v>1.08</v>
      </c>
      <c r="M4" s="1">
        <v>1.08</v>
      </c>
      <c r="N4" s="1">
        <v>1</v>
      </c>
      <c r="O4" s="1">
        <v>1</v>
      </c>
      <c r="P4" s="1">
        <v>1</v>
      </c>
      <c r="Q4" s="1">
        <v>1</v>
      </c>
      <c r="R4" s="1">
        <v>1</v>
      </c>
      <c r="S4" s="1">
        <v>1</v>
      </c>
      <c r="T4" s="1">
        <v>1</v>
      </c>
      <c r="U4" s="1">
        <v>1</v>
      </c>
      <c r="V4" s="1">
        <v>1.02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2</v>
      </c>
      <c r="AD4" s="1">
        <v>2</v>
      </c>
      <c r="AE4" s="1">
        <v>1.1160000000000001</v>
      </c>
      <c r="AF4" s="1">
        <v>1</v>
      </c>
      <c r="AG4" s="1">
        <v>1.08</v>
      </c>
      <c r="AH4" s="1">
        <v>1</v>
      </c>
      <c r="AI4" s="1">
        <v>1.2</v>
      </c>
      <c r="AJ4" s="1">
        <v>1</v>
      </c>
      <c r="AK4" s="1">
        <v>0</v>
      </c>
      <c r="AL4" s="1">
        <v>1</v>
      </c>
      <c r="AM4" s="1">
        <v>1</v>
      </c>
      <c r="AN4" s="1">
        <v>1.24</v>
      </c>
    </row>
    <row r="5" spans="1:40">
      <c r="A5" s="1">
        <v>3</v>
      </c>
      <c r="C5" s="1">
        <v>1.1739999999999999</v>
      </c>
      <c r="D5" s="1">
        <v>1.1739999999999999</v>
      </c>
      <c r="E5" s="1">
        <v>1.1739999999999999</v>
      </c>
      <c r="F5" s="1">
        <v>1.1739999999999999</v>
      </c>
      <c r="G5" s="1">
        <v>1.1200000000000001</v>
      </c>
      <c r="H5" s="1">
        <v>1</v>
      </c>
      <c r="I5" s="1">
        <v>1</v>
      </c>
      <c r="J5" s="1">
        <v>1.06</v>
      </c>
      <c r="K5" s="1">
        <v>1.06</v>
      </c>
      <c r="L5" s="1">
        <v>1.1200000000000001</v>
      </c>
      <c r="M5" s="1">
        <v>1.1200000000000001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1">
        <v>1</v>
      </c>
      <c r="U5" s="1">
        <v>1</v>
      </c>
      <c r="V5" s="1">
        <v>1.03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3</v>
      </c>
      <c r="AD5" s="1">
        <v>3</v>
      </c>
      <c r="AE5" s="1">
        <v>1.1739999999999999</v>
      </c>
      <c r="AF5" s="1">
        <v>1</v>
      </c>
      <c r="AG5" s="1">
        <v>1.1200000000000001</v>
      </c>
      <c r="AH5" s="1">
        <v>1</v>
      </c>
      <c r="AI5" s="1">
        <v>1.4</v>
      </c>
      <c r="AJ5" s="1">
        <v>1</v>
      </c>
      <c r="AK5" s="1">
        <v>0</v>
      </c>
      <c r="AL5" s="1">
        <v>1</v>
      </c>
      <c r="AM5" s="1">
        <v>1</v>
      </c>
      <c r="AN5" s="1">
        <v>1.36</v>
      </c>
    </row>
    <row r="6" spans="1:40">
      <c r="A6" s="1">
        <v>4</v>
      </c>
      <c r="C6" s="1">
        <v>1.232</v>
      </c>
      <c r="D6" s="1">
        <v>1.232</v>
      </c>
      <c r="E6" s="1">
        <v>1.232</v>
      </c>
      <c r="F6" s="1">
        <v>1.232</v>
      </c>
      <c r="G6" s="1">
        <v>1.1599999999999999</v>
      </c>
      <c r="H6" s="1">
        <v>1</v>
      </c>
      <c r="I6" s="1">
        <v>1</v>
      </c>
      <c r="J6" s="1">
        <v>1.08</v>
      </c>
      <c r="K6" s="1">
        <v>1.08</v>
      </c>
      <c r="L6" s="1">
        <v>1.1599999999999999</v>
      </c>
      <c r="M6" s="1">
        <v>1.1599999999999999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1.04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4</v>
      </c>
      <c r="AD6" s="1">
        <v>4</v>
      </c>
      <c r="AE6" s="1">
        <v>1.232</v>
      </c>
      <c r="AF6" s="1">
        <v>1</v>
      </c>
      <c r="AG6" s="1">
        <v>1.1599999999999999</v>
      </c>
      <c r="AH6" s="1">
        <v>1</v>
      </c>
      <c r="AI6" s="1">
        <v>1.6</v>
      </c>
      <c r="AJ6" s="1">
        <v>1</v>
      </c>
      <c r="AK6" s="1">
        <v>0</v>
      </c>
      <c r="AL6" s="1">
        <v>1</v>
      </c>
      <c r="AM6" s="1">
        <v>1</v>
      </c>
      <c r="AN6" s="1">
        <v>1.48</v>
      </c>
    </row>
    <row r="7" spans="1:40">
      <c r="A7" s="1">
        <v>5</v>
      </c>
      <c r="C7" s="1">
        <v>1.29</v>
      </c>
      <c r="D7" s="1">
        <v>1.29</v>
      </c>
      <c r="E7" s="1">
        <v>1.29</v>
      </c>
      <c r="F7" s="1">
        <v>1.29</v>
      </c>
      <c r="G7" s="1">
        <v>1.2</v>
      </c>
      <c r="H7" s="1">
        <v>1</v>
      </c>
      <c r="I7" s="1">
        <v>1</v>
      </c>
      <c r="J7" s="1">
        <v>1.1000000000000001</v>
      </c>
      <c r="K7" s="1">
        <v>1.1000000000000001</v>
      </c>
      <c r="L7" s="1">
        <v>1.2</v>
      </c>
      <c r="M7" s="1">
        <v>1.2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1.05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5</v>
      </c>
      <c r="AD7" s="1">
        <v>5</v>
      </c>
      <c r="AE7" s="1">
        <v>1.29</v>
      </c>
      <c r="AF7" s="1">
        <v>1</v>
      </c>
      <c r="AG7" s="1">
        <v>1.2</v>
      </c>
      <c r="AH7" s="1">
        <v>1</v>
      </c>
      <c r="AI7" s="1">
        <v>1.8</v>
      </c>
      <c r="AJ7" s="1">
        <v>1</v>
      </c>
      <c r="AK7" s="1">
        <v>0</v>
      </c>
      <c r="AL7" s="1">
        <v>1</v>
      </c>
      <c r="AM7" s="1">
        <v>1</v>
      </c>
      <c r="AN7" s="1">
        <v>1.6</v>
      </c>
    </row>
    <row r="8" spans="1:40">
      <c r="A8" s="1">
        <v>6</v>
      </c>
      <c r="C8" s="1">
        <v>1.3480000000000001</v>
      </c>
      <c r="D8" s="1">
        <v>1.3480000000000001</v>
      </c>
      <c r="E8" s="1">
        <v>1.3480000000000001</v>
      </c>
      <c r="F8" s="1">
        <v>1.3480000000000001</v>
      </c>
      <c r="G8" s="1">
        <v>1.24</v>
      </c>
      <c r="H8" s="1">
        <v>1</v>
      </c>
      <c r="I8" s="1">
        <v>1</v>
      </c>
      <c r="J8" s="1">
        <v>1.1200000000000001</v>
      </c>
      <c r="K8" s="1">
        <v>1.1200000000000001</v>
      </c>
      <c r="L8" s="1">
        <v>1.24</v>
      </c>
      <c r="M8" s="1">
        <v>1.24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1.06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6</v>
      </c>
      <c r="AD8" s="1">
        <v>6</v>
      </c>
      <c r="AE8" s="1">
        <v>1.3480000000000001</v>
      </c>
      <c r="AF8" s="1">
        <v>1</v>
      </c>
      <c r="AG8" s="1">
        <v>1.24</v>
      </c>
      <c r="AH8" s="1">
        <v>1</v>
      </c>
      <c r="AI8" s="1">
        <v>2</v>
      </c>
      <c r="AJ8" s="1">
        <v>1</v>
      </c>
      <c r="AK8" s="1">
        <v>0</v>
      </c>
      <c r="AL8" s="1">
        <v>1</v>
      </c>
      <c r="AM8" s="1">
        <v>1</v>
      </c>
      <c r="AN8" s="1">
        <v>1.72</v>
      </c>
    </row>
    <row r="9" spans="1:40">
      <c r="A9" s="1">
        <v>7</v>
      </c>
      <c r="C9" s="1">
        <v>1.4059999999999999</v>
      </c>
      <c r="D9" s="1">
        <v>1.4059999999999999</v>
      </c>
      <c r="E9" s="1">
        <v>1.4059999999999999</v>
      </c>
      <c r="F9" s="1">
        <v>1.4059999999999999</v>
      </c>
      <c r="G9" s="1">
        <v>1.28</v>
      </c>
      <c r="H9" s="1">
        <v>1</v>
      </c>
      <c r="I9" s="1">
        <v>1</v>
      </c>
      <c r="J9" s="1">
        <v>1.1399999999999999</v>
      </c>
      <c r="K9" s="1">
        <v>1.1399999999999999</v>
      </c>
      <c r="L9" s="1">
        <v>1.28</v>
      </c>
      <c r="M9" s="1">
        <v>1.28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1.07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7</v>
      </c>
      <c r="AD9" s="1">
        <v>7</v>
      </c>
      <c r="AE9" s="1">
        <v>1.4059999999999999</v>
      </c>
      <c r="AF9" s="1">
        <v>1</v>
      </c>
      <c r="AG9" s="1">
        <v>1.28</v>
      </c>
      <c r="AH9" s="1">
        <v>1</v>
      </c>
      <c r="AI9" s="1">
        <v>2.2000000000000002</v>
      </c>
      <c r="AJ9" s="1">
        <v>1</v>
      </c>
      <c r="AK9" s="1">
        <v>0</v>
      </c>
      <c r="AL9" s="1">
        <v>1</v>
      </c>
      <c r="AM9" s="1">
        <v>1</v>
      </c>
      <c r="AN9" s="1">
        <v>1.84</v>
      </c>
    </row>
    <row r="10" spans="1:40">
      <c r="A10" s="1">
        <v>8</v>
      </c>
      <c r="C10" s="1">
        <v>1.464</v>
      </c>
      <c r="D10" s="1">
        <v>1.464</v>
      </c>
      <c r="E10" s="1">
        <v>1.464</v>
      </c>
      <c r="F10" s="1">
        <v>1.464</v>
      </c>
      <c r="G10" s="1">
        <v>1.32</v>
      </c>
      <c r="H10" s="1">
        <v>1</v>
      </c>
      <c r="I10" s="1">
        <v>1</v>
      </c>
      <c r="J10" s="1">
        <v>1.1599999999999999</v>
      </c>
      <c r="K10" s="1">
        <v>1.1599999999999999</v>
      </c>
      <c r="L10" s="1">
        <v>1.32</v>
      </c>
      <c r="M10" s="1">
        <v>1.32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1.08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8</v>
      </c>
      <c r="AD10" s="1">
        <v>8</v>
      </c>
      <c r="AE10" s="1">
        <v>1.464</v>
      </c>
      <c r="AF10" s="1">
        <v>1</v>
      </c>
      <c r="AG10" s="1">
        <v>1.32</v>
      </c>
      <c r="AH10" s="1">
        <v>1</v>
      </c>
      <c r="AI10" s="1">
        <v>2.4</v>
      </c>
      <c r="AJ10" s="1">
        <v>1</v>
      </c>
      <c r="AK10" s="1">
        <v>0</v>
      </c>
      <c r="AL10" s="1">
        <v>1</v>
      </c>
      <c r="AM10" s="1">
        <v>1</v>
      </c>
      <c r="AN10" s="1">
        <v>1.96</v>
      </c>
    </row>
    <row r="11" spans="1:40">
      <c r="A11" s="1">
        <v>9</v>
      </c>
      <c r="C11" s="1">
        <v>1.522</v>
      </c>
      <c r="D11" s="1">
        <v>1.522</v>
      </c>
      <c r="E11" s="1">
        <v>1.522</v>
      </c>
      <c r="F11" s="1">
        <v>1.522</v>
      </c>
      <c r="G11" s="1">
        <v>1.36</v>
      </c>
      <c r="H11" s="1">
        <v>1</v>
      </c>
      <c r="I11" s="1">
        <v>1</v>
      </c>
      <c r="J11" s="1">
        <v>1.18</v>
      </c>
      <c r="K11" s="1">
        <v>1.18</v>
      </c>
      <c r="L11" s="1">
        <v>1.36</v>
      </c>
      <c r="M11" s="1">
        <v>1.36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1.0900000000000001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9</v>
      </c>
      <c r="AD11" s="1">
        <v>9</v>
      </c>
      <c r="AE11" s="1">
        <v>1.522</v>
      </c>
      <c r="AF11" s="1">
        <v>1</v>
      </c>
      <c r="AG11" s="1">
        <v>1.36</v>
      </c>
      <c r="AH11" s="1">
        <v>1</v>
      </c>
      <c r="AI11" s="1">
        <v>2.6</v>
      </c>
      <c r="AJ11" s="1">
        <v>1</v>
      </c>
      <c r="AK11" s="1">
        <v>0</v>
      </c>
      <c r="AL11" s="1">
        <v>1</v>
      </c>
      <c r="AM11" s="1">
        <v>1</v>
      </c>
      <c r="AN11" s="1">
        <v>2.08</v>
      </c>
    </row>
    <row r="12" spans="1:40">
      <c r="A12" s="1">
        <v>10</v>
      </c>
      <c r="C12" s="1">
        <v>1.58</v>
      </c>
      <c r="D12" s="1">
        <v>1.58</v>
      </c>
      <c r="E12" s="1">
        <v>1.58</v>
      </c>
      <c r="F12" s="1">
        <v>1.58</v>
      </c>
      <c r="G12" s="1">
        <v>1.4</v>
      </c>
      <c r="H12" s="1">
        <v>1</v>
      </c>
      <c r="I12" s="1">
        <v>1</v>
      </c>
      <c r="J12" s="1">
        <v>1.2</v>
      </c>
      <c r="K12" s="1">
        <v>1.2</v>
      </c>
      <c r="L12" s="1">
        <v>1.4</v>
      </c>
      <c r="M12" s="1">
        <v>1.4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1.1000000000000001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10</v>
      </c>
      <c r="AD12" s="1">
        <v>10</v>
      </c>
      <c r="AE12" s="1">
        <v>1.58</v>
      </c>
      <c r="AF12" s="1">
        <v>1</v>
      </c>
      <c r="AG12" s="1">
        <v>1.4</v>
      </c>
      <c r="AH12" s="1">
        <v>1</v>
      </c>
      <c r="AI12" s="1">
        <v>2.8</v>
      </c>
      <c r="AJ12" s="1">
        <v>1</v>
      </c>
      <c r="AK12" s="1">
        <v>0</v>
      </c>
      <c r="AL12" s="1">
        <v>1</v>
      </c>
      <c r="AM12" s="1">
        <v>1</v>
      </c>
      <c r="AN12" s="1">
        <v>2.2000000000000002</v>
      </c>
    </row>
    <row r="13" spans="1:40">
      <c r="A13" s="1">
        <v>11</v>
      </c>
      <c r="C13" s="1">
        <v>1.6379999999999999</v>
      </c>
      <c r="D13" s="1">
        <v>1.6379999999999999</v>
      </c>
      <c r="E13" s="1">
        <v>1.6379999999999999</v>
      </c>
      <c r="F13" s="1">
        <v>1.6379999999999999</v>
      </c>
      <c r="G13" s="1">
        <v>1.44</v>
      </c>
      <c r="H13" s="1">
        <v>1</v>
      </c>
      <c r="I13" s="1">
        <v>1</v>
      </c>
      <c r="J13" s="1">
        <v>1.22</v>
      </c>
      <c r="K13" s="1">
        <v>1.22</v>
      </c>
      <c r="L13" s="1">
        <v>1.43</v>
      </c>
      <c r="M13" s="1">
        <v>1.43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1.1100000000000001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11</v>
      </c>
      <c r="AD13" s="1">
        <v>11</v>
      </c>
      <c r="AE13" s="1">
        <v>1.6379999999999999</v>
      </c>
      <c r="AF13" s="1">
        <v>1</v>
      </c>
      <c r="AG13" s="1">
        <v>1.43</v>
      </c>
      <c r="AH13" s="1">
        <v>1</v>
      </c>
      <c r="AI13" s="1">
        <v>3</v>
      </c>
      <c r="AJ13" s="1">
        <v>1</v>
      </c>
      <c r="AK13" s="1">
        <v>0</v>
      </c>
      <c r="AL13" s="1">
        <v>1</v>
      </c>
      <c r="AM13" s="1">
        <v>1</v>
      </c>
      <c r="AN13" s="1">
        <v>2.3199999999999998</v>
      </c>
    </row>
    <row r="14" spans="1:40">
      <c r="A14" s="1">
        <v>12</v>
      </c>
      <c r="C14" s="1">
        <v>1.696</v>
      </c>
      <c r="D14" s="1">
        <v>1.696</v>
      </c>
      <c r="E14" s="1">
        <v>1.696</v>
      </c>
      <c r="F14" s="1">
        <v>1.696</v>
      </c>
      <c r="G14" s="1">
        <v>1.48</v>
      </c>
      <c r="H14" s="1">
        <v>1</v>
      </c>
      <c r="I14" s="1">
        <v>1</v>
      </c>
      <c r="J14" s="1">
        <v>1.24</v>
      </c>
      <c r="K14" s="1">
        <v>1.24</v>
      </c>
      <c r="L14" s="1">
        <v>1.46</v>
      </c>
      <c r="M14" s="1">
        <v>1.46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1.1200000000000001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12</v>
      </c>
      <c r="AD14" s="1">
        <v>12</v>
      </c>
      <c r="AE14" s="1">
        <v>1.696</v>
      </c>
      <c r="AF14" s="1">
        <v>1</v>
      </c>
      <c r="AG14" s="1">
        <v>1.46</v>
      </c>
      <c r="AH14" s="1">
        <v>1</v>
      </c>
      <c r="AI14" s="1">
        <v>3.2</v>
      </c>
      <c r="AJ14" s="1">
        <v>1</v>
      </c>
      <c r="AK14" s="1">
        <v>0</v>
      </c>
      <c r="AL14" s="1">
        <v>1</v>
      </c>
      <c r="AM14" s="1">
        <v>1</v>
      </c>
      <c r="AN14" s="1">
        <v>2.44</v>
      </c>
    </row>
    <row r="15" spans="1:40">
      <c r="A15" s="1">
        <v>13</v>
      </c>
      <c r="C15" s="1">
        <v>1.754</v>
      </c>
      <c r="D15" s="1">
        <v>1.754</v>
      </c>
      <c r="E15" s="1">
        <v>1.754</v>
      </c>
      <c r="F15" s="1">
        <v>1.754</v>
      </c>
      <c r="G15" s="1">
        <v>1.52</v>
      </c>
      <c r="H15" s="1">
        <v>1</v>
      </c>
      <c r="I15" s="1">
        <v>1</v>
      </c>
      <c r="J15" s="1">
        <v>1.26</v>
      </c>
      <c r="K15" s="1">
        <v>1.26</v>
      </c>
      <c r="L15" s="1">
        <v>1.49</v>
      </c>
      <c r="M15" s="1">
        <v>1.49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1.1299999999999999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13</v>
      </c>
      <c r="AD15" s="1">
        <v>13</v>
      </c>
      <c r="AE15" s="1">
        <v>1.754</v>
      </c>
      <c r="AF15" s="1">
        <v>1</v>
      </c>
      <c r="AG15" s="1">
        <v>1.49</v>
      </c>
      <c r="AH15" s="1">
        <v>1</v>
      </c>
      <c r="AI15" s="1">
        <v>3.4</v>
      </c>
      <c r="AJ15" s="1">
        <v>1</v>
      </c>
      <c r="AK15" s="1">
        <v>0</v>
      </c>
      <c r="AL15" s="1">
        <v>1</v>
      </c>
      <c r="AM15" s="1">
        <v>1</v>
      </c>
      <c r="AN15" s="1">
        <v>2.56</v>
      </c>
    </row>
    <row r="16" spans="1:40">
      <c r="A16" s="1">
        <v>14</v>
      </c>
      <c r="C16" s="1">
        <v>1.8120000000000001</v>
      </c>
      <c r="D16" s="1">
        <v>1.8120000000000001</v>
      </c>
      <c r="E16" s="1">
        <v>1.8120000000000001</v>
      </c>
      <c r="F16" s="1">
        <v>1.8120000000000001</v>
      </c>
      <c r="G16" s="1">
        <v>1.56</v>
      </c>
      <c r="H16" s="1">
        <v>1</v>
      </c>
      <c r="I16" s="1">
        <v>1</v>
      </c>
      <c r="J16" s="1">
        <v>1.28</v>
      </c>
      <c r="K16" s="1">
        <v>1.28</v>
      </c>
      <c r="L16" s="1">
        <v>1.52</v>
      </c>
      <c r="M16" s="1">
        <v>1.52</v>
      </c>
      <c r="N16" s="1">
        <v>1</v>
      </c>
      <c r="O16" s="1">
        <v>1</v>
      </c>
      <c r="P16" s="1">
        <v>1</v>
      </c>
      <c r="Q16" s="1">
        <v>1</v>
      </c>
      <c r="R16" s="1">
        <v>1</v>
      </c>
      <c r="S16" s="1">
        <v>1</v>
      </c>
      <c r="T16" s="1">
        <v>1</v>
      </c>
      <c r="U16" s="1">
        <v>1</v>
      </c>
      <c r="V16" s="1">
        <v>1.1399999999999999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14</v>
      </c>
      <c r="AD16" s="1">
        <v>14</v>
      </c>
      <c r="AE16" s="1">
        <v>1.8120000000000001</v>
      </c>
      <c r="AF16" s="1">
        <v>1</v>
      </c>
      <c r="AG16" s="1">
        <v>1.52</v>
      </c>
      <c r="AH16" s="1">
        <v>1</v>
      </c>
      <c r="AI16" s="1">
        <v>3.6</v>
      </c>
      <c r="AJ16" s="1">
        <v>1</v>
      </c>
      <c r="AK16" s="1">
        <v>0</v>
      </c>
      <c r="AL16" s="1">
        <v>1</v>
      </c>
      <c r="AM16" s="1">
        <v>1</v>
      </c>
      <c r="AN16" s="1">
        <v>2.68</v>
      </c>
    </row>
    <row r="17" spans="1:40">
      <c r="A17" s="1">
        <v>15</v>
      </c>
      <c r="C17" s="1">
        <v>1.87</v>
      </c>
      <c r="D17" s="1">
        <v>1.87</v>
      </c>
      <c r="E17" s="1">
        <v>1.87</v>
      </c>
      <c r="F17" s="1">
        <v>1.87</v>
      </c>
      <c r="G17" s="1">
        <v>1.6</v>
      </c>
      <c r="H17" s="1">
        <v>1</v>
      </c>
      <c r="I17" s="1">
        <v>1</v>
      </c>
      <c r="J17" s="1">
        <v>1.3</v>
      </c>
      <c r="K17" s="1">
        <v>1.3</v>
      </c>
      <c r="L17" s="1">
        <v>1.55</v>
      </c>
      <c r="M17" s="1">
        <v>1.55</v>
      </c>
      <c r="N17" s="1">
        <v>1</v>
      </c>
      <c r="O17" s="1">
        <v>1</v>
      </c>
      <c r="P17" s="1">
        <v>1</v>
      </c>
      <c r="Q17" s="1">
        <v>1</v>
      </c>
      <c r="R17" s="1">
        <v>1</v>
      </c>
      <c r="S17" s="1">
        <v>1</v>
      </c>
      <c r="T17" s="1">
        <v>1</v>
      </c>
      <c r="U17" s="1">
        <v>1</v>
      </c>
      <c r="V17" s="1">
        <v>1.1499999999999999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15</v>
      </c>
      <c r="AD17" s="1">
        <v>15</v>
      </c>
      <c r="AE17" s="1">
        <v>1.87</v>
      </c>
      <c r="AF17" s="1">
        <v>1</v>
      </c>
      <c r="AG17" s="1">
        <v>1.55</v>
      </c>
      <c r="AH17" s="1">
        <v>1</v>
      </c>
      <c r="AI17" s="1">
        <v>3.8</v>
      </c>
      <c r="AJ17" s="1">
        <v>1</v>
      </c>
      <c r="AK17" s="1">
        <v>0</v>
      </c>
      <c r="AL17" s="1">
        <v>1</v>
      </c>
      <c r="AM17" s="1">
        <v>1</v>
      </c>
      <c r="AN17" s="1">
        <v>2.8</v>
      </c>
    </row>
    <row r="18" spans="1:40">
      <c r="A18" s="1">
        <v>16</v>
      </c>
      <c r="C18" s="1">
        <v>1.9279999999999999</v>
      </c>
      <c r="D18" s="1">
        <v>1.9279999999999999</v>
      </c>
      <c r="E18" s="1">
        <v>1.9279999999999999</v>
      </c>
      <c r="F18" s="1">
        <v>1.9279999999999999</v>
      </c>
      <c r="G18" s="1">
        <v>1.64</v>
      </c>
      <c r="H18" s="1">
        <v>1</v>
      </c>
      <c r="I18" s="1">
        <v>1</v>
      </c>
      <c r="J18" s="1">
        <v>1.32</v>
      </c>
      <c r="K18" s="1">
        <v>1.32</v>
      </c>
      <c r="L18" s="1">
        <v>1.58</v>
      </c>
      <c r="M18" s="1">
        <v>1.58</v>
      </c>
      <c r="N18" s="1">
        <v>1</v>
      </c>
      <c r="O18" s="1">
        <v>1</v>
      </c>
      <c r="P18" s="1">
        <v>1</v>
      </c>
      <c r="Q18" s="1">
        <v>1</v>
      </c>
      <c r="R18" s="1">
        <v>1</v>
      </c>
      <c r="S18" s="1">
        <v>1</v>
      </c>
      <c r="T18" s="1">
        <v>1</v>
      </c>
      <c r="U18" s="1">
        <v>1</v>
      </c>
      <c r="V18" s="1">
        <v>1.1599999999999999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16</v>
      </c>
      <c r="AD18" s="1">
        <v>16</v>
      </c>
      <c r="AE18" s="1">
        <v>1.9279999999999999</v>
      </c>
      <c r="AF18" s="1">
        <v>1</v>
      </c>
      <c r="AG18" s="1">
        <v>1.58</v>
      </c>
      <c r="AH18" s="1">
        <v>1</v>
      </c>
      <c r="AI18" s="1">
        <v>4</v>
      </c>
      <c r="AJ18" s="1">
        <v>1</v>
      </c>
      <c r="AK18" s="1">
        <v>0</v>
      </c>
      <c r="AL18" s="1">
        <v>1</v>
      </c>
      <c r="AM18" s="1">
        <v>1</v>
      </c>
      <c r="AN18" s="1">
        <v>2.92</v>
      </c>
    </row>
    <row r="19" spans="1:40">
      <c r="A19" s="1">
        <v>17</v>
      </c>
      <c r="C19" s="1">
        <v>1.986</v>
      </c>
      <c r="D19" s="1">
        <v>1.986</v>
      </c>
      <c r="E19" s="1">
        <v>1.986</v>
      </c>
      <c r="F19" s="1">
        <v>1.986</v>
      </c>
      <c r="G19" s="1">
        <v>1.68</v>
      </c>
      <c r="H19" s="1">
        <v>1</v>
      </c>
      <c r="I19" s="1">
        <v>1</v>
      </c>
      <c r="J19" s="1">
        <v>1.34</v>
      </c>
      <c r="K19" s="1">
        <v>1.34</v>
      </c>
      <c r="L19" s="1">
        <v>1.61</v>
      </c>
      <c r="M19" s="1">
        <v>1.61</v>
      </c>
      <c r="N19" s="1">
        <v>1</v>
      </c>
      <c r="O19" s="1">
        <v>1</v>
      </c>
      <c r="P19" s="1">
        <v>1</v>
      </c>
      <c r="Q19" s="1">
        <v>1</v>
      </c>
      <c r="R19" s="1">
        <v>1</v>
      </c>
      <c r="S19" s="1">
        <v>1</v>
      </c>
      <c r="T19" s="1">
        <v>1</v>
      </c>
      <c r="U19" s="1">
        <v>1</v>
      </c>
      <c r="V19" s="1">
        <v>1.1599999999999999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17</v>
      </c>
      <c r="AD19" s="1">
        <v>17</v>
      </c>
      <c r="AE19" s="1">
        <v>1.986</v>
      </c>
      <c r="AF19" s="1">
        <v>1</v>
      </c>
      <c r="AG19" s="1">
        <v>1.61</v>
      </c>
      <c r="AH19" s="1">
        <v>1</v>
      </c>
      <c r="AI19" s="1">
        <v>4.2</v>
      </c>
      <c r="AJ19" s="1">
        <v>1</v>
      </c>
      <c r="AK19" s="1">
        <v>0</v>
      </c>
      <c r="AL19" s="1">
        <v>1</v>
      </c>
      <c r="AM19" s="1">
        <v>1</v>
      </c>
      <c r="AN19" s="1">
        <v>3.04</v>
      </c>
    </row>
    <row r="20" spans="1:40">
      <c r="A20" s="1">
        <v>18</v>
      </c>
      <c r="C20" s="1">
        <v>2.044</v>
      </c>
      <c r="D20" s="1">
        <v>2.044</v>
      </c>
      <c r="E20" s="1">
        <v>2.044</v>
      </c>
      <c r="F20" s="1">
        <v>2.044</v>
      </c>
      <c r="G20" s="1">
        <v>1.72</v>
      </c>
      <c r="H20" s="1">
        <v>1</v>
      </c>
      <c r="I20" s="1">
        <v>1</v>
      </c>
      <c r="J20" s="1">
        <v>1.36</v>
      </c>
      <c r="K20" s="1">
        <v>1.36</v>
      </c>
      <c r="L20" s="1">
        <v>1.64</v>
      </c>
      <c r="M20" s="1">
        <v>1.64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1.17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18</v>
      </c>
      <c r="AD20" s="1">
        <v>18</v>
      </c>
      <c r="AE20" s="1">
        <v>2.044</v>
      </c>
      <c r="AF20" s="1">
        <v>1</v>
      </c>
      <c r="AG20" s="1">
        <v>1.64</v>
      </c>
      <c r="AH20" s="1">
        <v>1</v>
      </c>
      <c r="AI20" s="1">
        <v>4.4000000000000004</v>
      </c>
      <c r="AJ20" s="1">
        <v>1</v>
      </c>
      <c r="AK20" s="1">
        <v>0</v>
      </c>
      <c r="AL20" s="1">
        <v>1</v>
      </c>
      <c r="AM20" s="1">
        <v>1</v>
      </c>
      <c r="AN20" s="1">
        <v>3.16</v>
      </c>
    </row>
    <row r="21" spans="1:40">
      <c r="A21" s="1">
        <v>19</v>
      </c>
      <c r="C21" s="1">
        <v>2.1019999999999999</v>
      </c>
      <c r="D21" s="1">
        <v>2.1019999999999999</v>
      </c>
      <c r="E21" s="1">
        <v>2.1019999999999999</v>
      </c>
      <c r="F21" s="1">
        <v>2.1019999999999999</v>
      </c>
      <c r="G21" s="1">
        <v>1.76</v>
      </c>
      <c r="H21" s="1">
        <v>1</v>
      </c>
      <c r="I21" s="1">
        <v>1</v>
      </c>
      <c r="J21" s="1">
        <v>1.38</v>
      </c>
      <c r="K21" s="1">
        <v>1.38</v>
      </c>
      <c r="L21" s="1">
        <v>1.67</v>
      </c>
      <c r="M21" s="1">
        <v>1.67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1.17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19</v>
      </c>
      <c r="AD21" s="1">
        <v>19</v>
      </c>
      <c r="AE21" s="1">
        <v>2.1019999999999999</v>
      </c>
      <c r="AF21" s="1">
        <v>1</v>
      </c>
      <c r="AG21" s="1">
        <v>1.67</v>
      </c>
      <c r="AH21" s="1">
        <v>1</v>
      </c>
      <c r="AI21" s="1">
        <v>4.5999999999999996</v>
      </c>
      <c r="AJ21" s="1">
        <v>1</v>
      </c>
      <c r="AK21" s="1">
        <v>0</v>
      </c>
      <c r="AL21" s="1">
        <v>1</v>
      </c>
      <c r="AM21" s="1">
        <v>1</v>
      </c>
      <c r="AN21" s="1">
        <v>3.28</v>
      </c>
    </row>
    <row r="22" spans="1:40">
      <c r="A22" s="1">
        <v>20</v>
      </c>
      <c r="C22" s="1">
        <v>2.16</v>
      </c>
      <c r="D22" s="1">
        <v>2.16</v>
      </c>
      <c r="E22" s="1">
        <v>2.16</v>
      </c>
      <c r="F22" s="1">
        <v>2.16</v>
      </c>
      <c r="G22" s="1">
        <v>1.8</v>
      </c>
      <c r="H22" s="1">
        <v>1</v>
      </c>
      <c r="I22" s="1">
        <v>1</v>
      </c>
      <c r="J22" s="1">
        <v>1.4</v>
      </c>
      <c r="K22" s="1">
        <v>1.4</v>
      </c>
      <c r="L22" s="1">
        <v>1.7</v>
      </c>
      <c r="M22" s="1">
        <v>1.7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1.18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20</v>
      </c>
      <c r="AD22" s="1">
        <v>20</v>
      </c>
      <c r="AE22" s="1">
        <v>2.16</v>
      </c>
      <c r="AF22" s="1">
        <v>1</v>
      </c>
      <c r="AG22" s="1">
        <v>1.7</v>
      </c>
      <c r="AH22" s="1">
        <v>1</v>
      </c>
      <c r="AI22" s="1">
        <v>4.8</v>
      </c>
      <c r="AJ22" s="1">
        <v>1</v>
      </c>
      <c r="AK22" s="1">
        <v>0</v>
      </c>
      <c r="AL22" s="1">
        <v>1</v>
      </c>
      <c r="AM22" s="1">
        <v>1</v>
      </c>
      <c r="AN22" s="1">
        <v>3.4</v>
      </c>
    </row>
    <row r="23" spans="1:40">
      <c r="A23" s="1">
        <v>21</v>
      </c>
      <c r="C23" s="1">
        <v>2.218</v>
      </c>
      <c r="D23" s="1">
        <v>2.218</v>
      </c>
      <c r="E23" s="1">
        <v>2.218</v>
      </c>
      <c r="F23" s="1">
        <v>2.218</v>
      </c>
      <c r="G23" s="1">
        <v>1.84</v>
      </c>
      <c r="H23" s="1">
        <v>1</v>
      </c>
      <c r="I23" s="1">
        <v>1</v>
      </c>
      <c r="J23" s="1">
        <v>1.42</v>
      </c>
      <c r="K23" s="1">
        <v>1.42</v>
      </c>
      <c r="L23" s="1">
        <v>1.72</v>
      </c>
      <c r="M23" s="1">
        <v>1.72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1.18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21</v>
      </c>
      <c r="AD23" s="1">
        <v>21</v>
      </c>
      <c r="AE23" s="1">
        <v>2.218</v>
      </c>
      <c r="AF23" s="1">
        <v>1</v>
      </c>
      <c r="AG23" s="1">
        <v>1.72</v>
      </c>
      <c r="AH23" s="1">
        <v>1</v>
      </c>
      <c r="AI23" s="1">
        <v>5</v>
      </c>
      <c r="AJ23" s="1">
        <v>1</v>
      </c>
      <c r="AK23" s="1">
        <v>0</v>
      </c>
      <c r="AL23" s="1">
        <v>1</v>
      </c>
      <c r="AM23" s="1">
        <v>1</v>
      </c>
      <c r="AN23" s="1">
        <v>3.52</v>
      </c>
    </row>
    <row r="24" spans="1:40">
      <c r="A24" s="1">
        <v>22</v>
      </c>
      <c r="C24" s="1">
        <v>2.2759999999999998</v>
      </c>
      <c r="D24" s="1">
        <v>2.2759999999999998</v>
      </c>
      <c r="E24" s="1">
        <v>2.2759999999999998</v>
      </c>
      <c r="F24" s="1">
        <v>2.2759999999999998</v>
      </c>
      <c r="G24" s="1">
        <v>1.88</v>
      </c>
      <c r="H24" s="1">
        <v>1</v>
      </c>
      <c r="I24" s="1">
        <v>1</v>
      </c>
      <c r="J24" s="1">
        <v>1.44</v>
      </c>
      <c r="K24" s="1">
        <v>1.44</v>
      </c>
      <c r="L24" s="1">
        <v>1.74</v>
      </c>
      <c r="M24" s="1">
        <v>1.74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1.18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22</v>
      </c>
      <c r="AD24" s="1">
        <v>22</v>
      </c>
      <c r="AE24" s="1">
        <v>2.2759999999999998</v>
      </c>
      <c r="AF24" s="1">
        <v>1</v>
      </c>
      <c r="AG24" s="1">
        <v>1.74</v>
      </c>
      <c r="AH24" s="1">
        <v>1</v>
      </c>
      <c r="AI24" s="1">
        <v>5.2</v>
      </c>
      <c r="AJ24" s="1">
        <v>1</v>
      </c>
      <c r="AK24" s="1">
        <v>0</v>
      </c>
      <c r="AL24" s="1">
        <v>1</v>
      </c>
      <c r="AM24" s="1">
        <v>1</v>
      </c>
      <c r="AN24" s="1">
        <v>3.64</v>
      </c>
    </row>
    <row r="25" spans="1:40">
      <c r="A25" s="1">
        <v>23</v>
      </c>
      <c r="C25" s="1">
        <v>2.3340000000000001</v>
      </c>
      <c r="D25" s="1">
        <v>2.3340000000000001</v>
      </c>
      <c r="E25" s="1">
        <v>2.3340000000000001</v>
      </c>
      <c r="F25" s="1">
        <v>2.3340000000000001</v>
      </c>
      <c r="G25" s="1">
        <v>1.92</v>
      </c>
      <c r="H25" s="1">
        <v>1</v>
      </c>
      <c r="I25" s="1">
        <v>1</v>
      </c>
      <c r="J25" s="1">
        <v>1.46</v>
      </c>
      <c r="K25" s="1">
        <v>1.46</v>
      </c>
      <c r="L25" s="1">
        <v>1.76</v>
      </c>
      <c r="M25" s="1">
        <v>1.76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1.19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23</v>
      </c>
      <c r="AD25" s="1">
        <v>23</v>
      </c>
      <c r="AE25" s="1">
        <v>2.3340000000000001</v>
      </c>
      <c r="AF25" s="1">
        <v>1</v>
      </c>
      <c r="AG25" s="1">
        <v>1.76</v>
      </c>
      <c r="AH25" s="1">
        <v>1</v>
      </c>
      <c r="AI25" s="1">
        <v>5.4</v>
      </c>
      <c r="AJ25" s="1">
        <v>1</v>
      </c>
      <c r="AK25" s="1">
        <v>0</v>
      </c>
      <c r="AL25" s="1">
        <v>1</v>
      </c>
      <c r="AM25" s="1">
        <v>1</v>
      </c>
      <c r="AN25" s="1">
        <v>3.76</v>
      </c>
    </row>
    <row r="26" spans="1:40">
      <c r="A26" s="1">
        <v>24</v>
      </c>
      <c r="C26" s="1">
        <v>2.3919999999999999</v>
      </c>
      <c r="D26" s="1">
        <v>2.3919999999999999</v>
      </c>
      <c r="E26" s="1">
        <v>2.3919999999999999</v>
      </c>
      <c r="F26" s="1">
        <v>2.3919999999999999</v>
      </c>
      <c r="G26" s="1">
        <v>1.96</v>
      </c>
      <c r="H26" s="1">
        <v>1</v>
      </c>
      <c r="I26" s="1">
        <v>1</v>
      </c>
      <c r="J26" s="1">
        <v>1.48</v>
      </c>
      <c r="K26" s="1">
        <v>1.48</v>
      </c>
      <c r="L26" s="1">
        <v>1.78</v>
      </c>
      <c r="M26" s="1">
        <v>1.78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1.19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24</v>
      </c>
      <c r="AD26" s="1">
        <v>24</v>
      </c>
      <c r="AE26" s="1">
        <v>2.3919999999999999</v>
      </c>
      <c r="AF26" s="1">
        <v>1</v>
      </c>
      <c r="AG26" s="1">
        <v>1.78</v>
      </c>
      <c r="AH26" s="1">
        <v>1</v>
      </c>
      <c r="AI26" s="1">
        <v>5.6</v>
      </c>
      <c r="AJ26" s="1">
        <v>1</v>
      </c>
      <c r="AK26" s="1">
        <v>0</v>
      </c>
      <c r="AL26" s="1">
        <v>1</v>
      </c>
      <c r="AM26" s="1">
        <v>1</v>
      </c>
      <c r="AN26" s="1">
        <v>3.88</v>
      </c>
    </row>
    <row r="27" spans="1:40">
      <c r="A27" s="1">
        <v>25</v>
      </c>
      <c r="C27" s="1">
        <v>2.4500000000000002</v>
      </c>
      <c r="D27" s="1">
        <v>2.4500000000000002</v>
      </c>
      <c r="E27" s="1">
        <v>2.4500000000000002</v>
      </c>
      <c r="F27" s="1">
        <v>2.4500000000000002</v>
      </c>
      <c r="G27" s="1">
        <v>2</v>
      </c>
      <c r="H27" s="1">
        <v>1</v>
      </c>
      <c r="I27" s="1">
        <v>1</v>
      </c>
      <c r="J27" s="1">
        <v>1.5</v>
      </c>
      <c r="K27" s="1">
        <v>1.5</v>
      </c>
      <c r="L27" s="1">
        <v>1.8</v>
      </c>
      <c r="M27" s="1">
        <v>1.8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1</v>
      </c>
      <c r="V27" s="1">
        <v>1.2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25</v>
      </c>
      <c r="AD27" s="1">
        <v>25</v>
      </c>
      <c r="AE27" s="1">
        <v>2.4500000000000002</v>
      </c>
      <c r="AF27" s="1">
        <v>1</v>
      </c>
      <c r="AG27" s="1">
        <v>1.8</v>
      </c>
      <c r="AH27" s="1">
        <v>1</v>
      </c>
      <c r="AI27" s="1">
        <v>5.8</v>
      </c>
      <c r="AJ27" s="1">
        <v>1</v>
      </c>
      <c r="AK27" s="1">
        <v>0</v>
      </c>
      <c r="AL27" s="1">
        <v>1</v>
      </c>
      <c r="AM27" s="1">
        <v>1</v>
      </c>
      <c r="AN27" s="1">
        <v>4</v>
      </c>
    </row>
    <row r="28" spans="1:40">
      <c r="A28" s="1">
        <v>100</v>
      </c>
      <c r="C28" s="1">
        <v>0.95</v>
      </c>
      <c r="D28" s="1">
        <v>0.95</v>
      </c>
      <c r="E28" s="1">
        <v>0.95</v>
      </c>
      <c r="F28" s="1">
        <v>0.95</v>
      </c>
      <c r="G28" s="1">
        <v>1</v>
      </c>
      <c r="H28" s="1">
        <v>1</v>
      </c>
      <c r="I28" s="1">
        <v>1</v>
      </c>
      <c r="J28" s="1">
        <v>1.8</v>
      </c>
      <c r="K28" s="1">
        <v>0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0.95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0</v>
      </c>
      <c r="AL28" s="1">
        <v>1</v>
      </c>
      <c r="AM28" s="1">
        <v>1</v>
      </c>
      <c r="AN28" s="1">
        <v>1</v>
      </c>
    </row>
    <row r="29" spans="1:40">
      <c r="A29" s="1">
        <v>101</v>
      </c>
      <c r="C29" s="1">
        <v>1.006</v>
      </c>
      <c r="D29" s="1">
        <v>1.006</v>
      </c>
      <c r="E29" s="1">
        <v>1.006</v>
      </c>
      <c r="F29" s="1">
        <v>1.006</v>
      </c>
      <c r="G29" s="1">
        <v>1.04</v>
      </c>
      <c r="H29" s="1">
        <v>1</v>
      </c>
      <c r="I29" s="1">
        <v>1</v>
      </c>
      <c r="J29" s="1">
        <v>1.85</v>
      </c>
      <c r="K29" s="1">
        <v>0</v>
      </c>
      <c r="L29" s="1">
        <v>1.04</v>
      </c>
      <c r="M29" s="1">
        <v>1.04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1.01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1</v>
      </c>
      <c r="AD29" s="1">
        <v>1</v>
      </c>
      <c r="AE29" s="1">
        <v>1.006</v>
      </c>
      <c r="AF29" s="1">
        <v>1</v>
      </c>
      <c r="AG29" s="1">
        <v>1.04</v>
      </c>
      <c r="AH29" s="1">
        <v>1</v>
      </c>
      <c r="AI29" s="1">
        <v>1</v>
      </c>
      <c r="AJ29" s="1">
        <v>1</v>
      </c>
      <c r="AK29" s="1">
        <v>0</v>
      </c>
      <c r="AL29" s="1">
        <v>1</v>
      </c>
      <c r="AM29" s="1">
        <v>1</v>
      </c>
      <c r="AN29" s="1">
        <v>1.1200000000000001</v>
      </c>
    </row>
    <row r="30" spans="1:40">
      <c r="A30" s="1">
        <v>102</v>
      </c>
      <c r="C30" s="1">
        <v>1.0620000000000001</v>
      </c>
      <c r="D30" s="1">
        <v>1.0620000000000001</v>
      </c>
      <c r="E30" s="1">
        <v>1.0620000000000001</v>
      </c>
      <c r="F30" s="1">
        <v>1.0620000000000001</v>
      </c>
      <c r="G30" s="1">
        <v>1.08</v>
      </c>
      <c r="H30" s="1">
        <v>1</v>
      </c>
      <c r="I30" s="1">
        <v>1</v>
      </c>
      <c r="J30" s="1">
        <v>1.9</v>
      </c>
      <c r="K30" s="1">
        <v>0</v>
      </c>
      <c r="L30" s="1">
        <v>1.08</v>
      </c>
      <c r="M30" s="1">
        <v>1.08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1.01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2</v>
      </c>
      <c r="AD30" s="1">
        <v>2</v>
      </c>
      <c r="AE30" s="1">
        <v>1.0620000000000001</v>
      </c>
      <c r="AF30" s="1">
        <v>1</v>
      </c>
      <c r="AG30" s="1">
        <v>1.08</v>
      </c>
      <c r="AH30" s="1">
        <v>1</v>
      </c>
      <c r="AI30" s="1">
        <v>1.2</v>
      </c>
      <c r="AJ30" s="1">
        <v>1</v>
      </c>
      <c r="AK30" s="1">
        <v>0</v>
      </c>
      <c r="AL30" s="1">
        <v>1</v>
      </c>
      <c r="AM30" s="1">
        <v>1</v>
      </c>
      <c r="AN30" s="1">
        <v>1.24</v>
      </c>
    </row>
    <row r="31" spans="1:40">
      <c r="A31" s="1">
        <v>103</v>
      </c>
      <c r="C31" s="1">
        <v>1.1180000000000001</v>
      </c>
      <c r="D31" s="1">
        <v>1.1180000000000001</v>
      </c>
      <c r="E31" s="1">
        <v>1.1180000000000001</v>
      </c>
      <c r="F31" s="1">
        <v>1.1180000000000001</v>
      </c>
      <c r="G31" s="1">
        <v>1.1200000000000001</v>
      </c>
      <c r="H31" s="1">
        <v>1</v>
      </c>
      <c r="I31" s="1">
        <v>1</v>
      </c>
      <c r="J31" s="1">
        <v>1.95</v>
      </c>
      <c r="K31" s="1">
        <v>0</v>
      </c>
      <c r="L31" s="1">
        <v>1.1200000000000001</v>
      </c>
      <c r="M31" s="1">
        <v>1.1200000000000001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1.02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3</v>
      </c>
      <c r="AD31" s="1">
        <v>3</v>
      </c>
      <c r="AE31" s="1">
        <v>1.1180000000000001</v>
      </c>
      <c r="AF31" s="1">
        <v>1</v>
      </c>
      <c r="AG31" s="1">
        <v>1.1200000000000001</v>
      </c>
      <c r="AH31" s="1">
        <v>1</v>
      </c>
      <c r="AI31" s="1">
        <v>1.4</v>
      </c>
      <c r="AJ31" s="1">
        <v>1</v>
      </c>
      <c r="AK31" s="1">
        <v>0</v>
      </c>
      <c r="AL31" s="1">
        <v>1</v>
      </c>
      <c r="AM31" s="1">
        <v>1</v>
      </c>
      <c r="AN31" s="1">
        <v>1.36</v>
      </c>
    </row>
    <row r="32" spans="1:40">
      <c r="A32" s="1">
        <v>104</v>
      </c>
      <c r="C32" s="1">
        <v>1.1739999999999999</v>
      </c>
      <c r="D32" s="1">
        <v>1.1739999999999999</v>
      </c>
      <c r="E32" s="1">
        <v>1.1739999999999999</v>
      </c>
      <c r="F32" s="1">
        <v>1.1739999999999999</v>
      </c>
      <c r="G32" s="1">
        <v>1.1599999999999999</v>
      </c>
      <c r="H32" s="1">
        <v>1</v>
      </c>
      <c r="I32" s="1">
        <v>1</v>
      </c>
      <c r="J32" s="1">
        <v>2</v>
      </c>
      <c r="K32" s="1">
        <v>0</v>
      </c>
      <c r="L32" s="1">
        <v>1.1599999999999999</v>
      </c>
      <c r="M32" s="1">
        <v>1.1599999999999999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1.02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4</v>
      </c>
      <c r="AD32" s="1">
        <v>4</v>
      </c>
      <c r="AE32" s="1">
        <v>1.1739999999999999</v>
      </c>
      <c r="AF32" s="1">
        <v>1</v>
      </c>
      <c r="AG32" s="1">
        <v>1.1599999999999999</v>
      </c>
      <c r="AH32" s="1">
        <v>1</v>
      </c>
      <c r="AI32" s="1">
        <v>1.6</v>
      </c>
      <c r="AJ32" s="1">
        <v>1</v>
      </c>
      <c r="AK32" s="1">
        <v>0</v>
      </c>
      <c r="AL32" s="1">
        <v>1</v>
      </c>
      <c r="AM32" s="1">
        <v>1</v>
      </c>
      <c r="AN32" s="1">
        <v>1.48</v>
      </c>
    </row>
    <row r="33" spans="1:40">
      <c r="A33" s="1">
        <v>105</v>
      </c>
      <c r="C33" s="1">
        <v>1.23</v>
      </c>
      <c r="D33" s="1">
        <v>1.23</v>
      </c>
      <c r="E33" s="1">
        <v>1.23</v>
      </c>
      <c r="F33" s="1">
        <v>1.23</v>
      </c>
      <c r="G33" s="1">
        <v>1.2</v>
      </c>
      <c r="H33" s="1">
        <v>1</v>
      </c>
      <c r="I33" s="1">
        <v>1</v>
      </c>
      <c r="J33" s="1">
        <v>2.0499999999999998</v>
      </c>
      <c r="K33" s="1">
        <v>0</v>
      </c>
      <c r="L33" s="1">
        <v>1.2</v>
      </c>
      <c r="M33" s="1">
        <v>1.2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1.03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5</v>
      </c>
      <c r="AD33" s="1">
        <v>5</v>
      </c>
      <c r="AE33" s="1">
        <v>1.23</v>
      </c>
      <c r="AF33" s="1">
        <v>1</v>
      </c>
      <c r="AG33" s="1">
        <v>1.2</v>
      </c>
      <c r="AH33" s="1">
        <v>1</v>
      </c>
      <c r="AI33" s="1">
        <v>1.8</v>
      </c>
      <c r="AJ33" s="1">
        <v>1</v>
      </c>
      <c r="AK33" s="1">
        <v>0</v>
      </c>
      <c r="AL33" s="1">
        <v>1</v>
      </c>
      <c r="AM33" s="1">
        <v>1</v>
      </c>
      <c r="AN33" s="1">
        <v>1.6</v>
      </c>
    </row>
    <row r="34" spans="1:40">
      <c r="A34" s="1">
        <v>106</v>
      </c>
      <c r="C34" s="1">
        <v>1.286</v>
      </c>
      <c r="D34" s="1">
        <v>1.286</v>
      </c>
      <c r="E34" s="1">
        <v>1.286</v>
      </c>
      <c r="F34" s="1">
        <v>1.286</v>
      </c>
      <c r="G34" s="1">
        <v>1.24</v>
      </c>
      <c r="H34" s="1">
        <v>1</v>
      </c>
      <c r="I34" s="1">
        <v>1</v>
      </c>
      <c r="J34" s="1">
        <v>2.1</v>
      </c>
      <c r="K34" s="1">
        <v>0</v>
      </c>
      <c r="L34" s="1">
        <v>1.24</v>
      </c>
      <c r="M34" s="1">
        <v>1.24</v>
      </c>
      <c r="N34" s="1">
        <v>1</v>
      </c>
      <c r="O34" s="1">
        <v>1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U34" s="1">
        <v>1</v>
      </c>
      <c r="V34" s="1">
        <v>1.03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6</v>
      </c>
      <c r="AD34" s="1">
        <v>6</v>
      </c>
      <c r="AE34" s="1">
        <v>1.286</v>
      </c>
      <c r="AF34" s="1">
        <v>1</v>
      </c>
      <c r="AG34" s="1">
        <v>1.24</v>
      </c>
      <c r="AH34" s="1">
        <v>1</v>
      </c>
      <c r="AI34" s="1">
        <v>2</v>
      </c>
      <c r="AJ34" s="1">
        <v>1</v>
      </c>
      <c r="AK34" s="1">
        <v>0</v>
      </c>
      <c r="AL34" s="1">
        <v>1</v>
      </c>
      <c r="AM34" s="1">
        <v>1</v>
      </c>
      <c r="AN34" s="1">
        <v>1.72</v>
      </c>
    </row>
    <row r="35" spans="1:40">
      <c r="A35" s="1">
        <v>107</v>
      </c>
      <c r="C35" s="1">
        <v>1.3420000000000001</v>
      </c>
      <c r="D35" s="1">
        <v>1.3420000000000001</v>
      </c>
      <c r="E35" s="1">
        <v>1.3420000000000001</v>
      </c>
      <c r="F35" s="1">
        <v>1.3420000000000001</v>
      </c>
      <c r="G35" s="1">
        <v>1.28</v>
      </c>
      <c r="H35" s="1">
        <v>1</v>
      </c>
      <c r="I35" s="1">
        <v>1</v>
      </c>
      <c r="J35" s="1">
        <v>2.15</v>
      </c>
      <c r="K35" s="1">
        <v>0</v>
      </c>
      <c r="L35" s="1">
        <v>1.28</v>
      </c>
      <c r="M35" s="1">
        <v>1.28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1.04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7</v>
      </c>
      <c r="AD35" s="1">
        <v>7</v>
      </c>
      <c r="AE35" s="1">
        <v>1.3420000000000001</v>
      </c>
      <c r="AF35" s="1">
        <v>1</v>
      </c>
      <c r="AG35" s="1">
        <v>1.28</v>
      </c>
      <c r="AH35" s="1">
        <v>1</v>
      </c>
      <c r="AI35" s="1">
        <v>2.2000000000000002</v>
      </c>
      <c r="AJ35" s="1">
        <v>1</v>
      </c>
      <c r="AK35" s="1">
        <v>0</v>
      </c>
      <c r="AL35" s="1">
        <v>1</v>
      </c>
      <c r="AM35" s="1">
        <v>1</v>
      </c>
      <c r="AN35" s="1">
        <v>1.84</v>
      </c>
    </row>
    <row r="36" spans="1:40">
      <c r="A36" s="1">
        <v>108</v>
      </c>
      <c r="C36" s="1">
        <v>1.3979999999999999</v>
      </c>
      <c r="D36" s="1">
        <v>1.3979999999999999</v>
      </c>
      <c r="E36" s="1">
        <v>1.3979999999999999</v>
      </c>
      <c r="F36" s="1">
        <v>1.3979999999999999</v>
      </c>
      <c r="G36" s="1">
        <v>1.32</v>
      </c>
      <c r="H36" s="1">
        <v>1</v>
      </c>
      <c r="I36" s="1">
        <v>1</v>
      </c>
      <c r="J36" s="1">
        <v>2.2000000000000002</v>
      </c>
      <c r="K36" s="1">
        <v>0</v>
      </c>
      <c r="L36" s="1">
        <v>1.32</v>
      </c>
      <c r="M36" s="1">
        <v>1.32</v>
      </c>
      <c r="N36" s="1">
        <v>1</v>
      </c>
      <c r="O36" s="1">
        <v>1</v>
      </c>
      <c r="P36" s="1">
        <v>1</v>
      </c>
      <c r="Q36" s="1">
        <v>1</v>
      </c>
      <c r="R36" s="1">
        <v>1</v>
      </c>
      <c r="S36" s="1">
        <v>1</v>
      </c>
      <c r="T36" s="1">
        <v>1</v>
      </c>
      <c r="U36" s="1">
        <v>1</v>
      </c>
      <c r="V36" s="1">
        <v>1.04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8</v>
      </c>
      <c r="AD36" s="1">
        <v>8</v>
      </c>
      <c r="AE36" s="1">
        <v>1.3979999999999999</v>
      </c>
      <c r="AF36" s="1">
        <v>1</v>
      </c>
      <c r="AG36" s="1">
        <v>1.32</v>
      </c>
      <c r="AH36" s="1">
        <v>1</v>
      </c>
      <c r="AI36" s="1">
        <v>2.4</v>
      </c>
      <c r="AJ36" s="1">
        <v>1</v>
      </c>
      <c r="AK36" s="1">
        <v>0</v>
      </c>
      <c r="AL36" s="1">
        <v>1</v>
      </c>
      <c r="AM36" s="1">
        <v>1</v>
      </c>
      <c r="AN36" s="1">
        <v>1.96</v>
      </c>
    </row>
    <row r="37" spans="1:40">
      <c r="A37" s="1">
        <v>109</v>
      </c>
      <c r="C37" s="1">
        <v>1.454</v>
      </c>
      <c r="D37" s="1">
        <v>1.454</v>
      </c>
      <c r="E37" s="1">
        <v>1.454</v>
      </c>
      <c r="F37" s="1">
        <v>1.454</v>
      </c>
      <c r="G37" s="1">
        <v>1.36</v>
      </c>
      <c r="H37" s="1">
        <v>1</v>
      </c>
      <c r="I37" s="1">
        <v>1</v>
      </c>
      <c r="J37" s="1">
        <v>2.25</v>
      </c>
      <c r="K37" s="1">
        <v>0</v>
      </c>
      <c r="L37" s="1">
        <v>1.36</v>
      </c>
      <c r="M37" s="1">
        <v>1.36</v>
      </c>
      <c r="N37" s="1">
        <v>1</v>
      </c>
      <c r="O37" s="1">
        <v>1</v>
      </c>
      <c r="P37" s="1">
        <v>1</v>
      </c>
      <c r="Q37" s="1">
        <v>1</v>
      </c>
      <c r="R37" s="1">
        <v>1</v>
      </c>
      <c r="S37" s="1">
        <v>1</v>
      </c>
      <c r="T37" s="1">
        <v>1</v>
      </c>
      <c r="U37" s="1">
        <v>1</v>
      </c>
      <c r="V37" s="1">
        <v>1.04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9</v>
      </c>
      <c r="AD37" s="1">
        <v>9</v>
      </c>
      <c r="AE37" s="1">
        <v>1.454</v>
      </c>
      <c r="AF37" s="1">
        <v>1</v>
      </c>
      <c r="AG37" s="1">
        <v>1.36</v>
      </c>
      <c r="AH37" s="1">
        <v>1</v>
      </c>
      <c r="AI37" s="1">
        <v>2.6</v>
      </c>
      <c r="AJ37" s="1">
        <v>1</v>
      </c>
      <c r="AK37" s="1">
        <v>0</v>
      </c>
      <c r="AL37" s="1">
        <v>1</v>
      </c>
      <c r="AM37" s="1">
        <v>1</v>
      </c>
      <c r="AN37" s="1">
        <v>2.08</v>
      </c>
    </row>
    <row r="38" spans="1:40">
      <c r="A38" s="1">
        <v>110</v>
      </c>
      <c r="C38" s="1">
        <v>1.51</v>
      </c>
      <c r="D38" s="1">
        <v>1.51</v>
      </c>
      <c r="E38" s="1">
        <v>1.51</v>
      </c>
      <c r="F38" s="1">
        <v>1.51</v>
      </c>
      <c r="G38" s="1">
        <v>1.4</v>
      </c>
      <c r="H38" s="1">
        <v>1</v>
      </c>
      <c r="I38" s="1">
        <v>1</v>
      </c>
      <c r="J38" s="1">
        <v>2.2999999999999998</v>
      </c>
      <c r="K38" s="1">
        <v>0</v>
      </c>
      <c r="L38" s="1">
        <v>1.4</v>
      </c>
      <c r="M38" s="1">
        <v>1.4</v>
      </c>
      <c r="N38" s="1">
        <v>1</v>
      </c>
      <c r="O38" s="1">
        <v>1</v>
      </c>
      <c r="P38" s="1">
        <v>1</v>
      </c>
      <c r="Q38" s="1">
        <v>1</v>
      </c>
      <c r="R38" s="1">
        <v>1</v>
      </c>
      <c r="S38" s="1">
        <v>1</v>
      </c>
      <c r="T38" s="1">
        <v>1</v>
      </c>
      <c r="U38" s="1">
        <v>1</v>
      </c>
      <c r="V38" s="1">
        <v>1.05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10</v>
      </c>
      <c r="AD38" s="1">
        <v>10</v>
      </c>
      <c r="AE38" s="1">
        <v>1.51</v>
      </c>
      <c r="AF38" s="1">
        <v>1</v>
      </c>
      <c r="AG38" s="1">
        <v>1.4</v>
      </c>
      <c r="AH38" s="1">
        <v>1</v>
      </c>
      <c r="AI38" s="1">
        <v>2.8</v>
      </c>
      <c r="AJ38" s="1">
        <v>1</v>
      </c>
      <c r="AK38" s="1">
        <v>0</v>
      </c>
      <c r="AL38" s="1">
        <v>1</v>
      </c>
      <c r="AM38" s="1">
        <v>1</v>
      </c>
      <c r="AN38" s="1">
        <v>2.2000000000000002</v>
      </c>
    </row>
    <row r="39" spans="1:40">
      <c r="A39" s="1">
        <v>111</v>
      </c>
      <c r="C39" s="1">
        <v>1.5660000000000001</v>
      </c>
      <c r="D39" s="1">
        <v>1.5660000000000001</v>
      </c>
      <c r="E39" s="1">
        <v>1.5660000000000001</v>
      </c>
      <c r="F39" s="1">
        <v>1.5660000000000001</v>
      </c>
      <c r="G39" s="1">
        <v>1.44</v>
      </c>
      <c r="H39" s="1">
        <v>1</v>
      </c>
      <c r="I39" s="1">
        <v>1</v>
      </c>
      <c r="J39" s="1">
        <v>2.34</v>
      </c>
      <c r="K39" s="1">
        <v>0</v>
      </c>
      <c r="L39" s="1">
        <v>1.43</v>
      </c>
      <c r="M39" s="1">
        <v>1.43</v>
      </c>
      <c r="N39" s="1">
        <v>1</v>
      </c>
      <c r="O39" s="1">
        <v>1</v>
      </c>
      <c r="P39" s="1">
        <v>1</v>
      </c>
      <c r="Q39" s="1">
        <v>1</v>
      </c>
      <c r="R39" s="1">
        <v>1</v>
      </c>
      <c r="S39" s="1">
        <v>1</v>
      </c>
      <c r="T39" s="1">
        <v>1</v>
      </c>
      <c r="U39" s="1">
        <v>1</v>
      </c>
      <c r="V39" s="1">
        <v>1.05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11</v>
      </c>
      <c r="AD39" s="1">
        <v>11</v>
      </c>
      <c r="AE39" s="1">
        <v>1.5660000000000001</v>
      </c>
      <c r="AF39" s="1">
        <v>1</v>
      </c>
      <c r="AG39" s="1">
        <v>1.43</v>
      </c>
      <c r="AH39" s="1">
        <v>1</v>
      </c>
      <c r="AI39" s="1">
        <v>3</v>
      </c>
      <c r="AJ39" s="1">
        <v>1</v>
      </c>
      <c r="AK39" s="1">
        <v>0</v>
      </c>
      <c r="AL39" s="1">
        <v>1</v>
      </c>
      <c r="AM39" s="1">
        <v>1</v>
      </c>
      <c r="AN39" s="1">
        <v>2.3199999999999998</v>
      </c>
    </row>
    <row r="40" spans="1:40">
      <c r="A40" s="1">
        <v>112</v>
      </c>
      <c r="C40" s="1">
        <v>1.6220000000000001</v>
      </c>
      <c r="D40" s="1">
        <v>1.6220000000000001</v>
      </c>
      <c r="E40" s="1">
        <v>1.6220000000000001</v>
      </c>
      <c r="F40" s="1">
        <v>1.6220000000000001</v>
      </c>
      <c r="G40" s="1">
        <v>1.48</v>
      </c>
      <c r="H40" s="1">
        <v>1</v>
      </c>
      <c r="I40" s="1">
        <v>1</v>
      </c>
      <c r="J40" s="1">
        <v>2.38</v>
      </c>
      <c r="K40" s="1">
        <v>0</v>
      </c>
      <c r="L40" s="1">
        <v>1.46</v>
      </c>
      <c r="M40" s="1">
        <v>1.46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1.05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12</v>
      </c>
      <c r="AD40" s="1">
        <v>12</v>
      </c>
      <c r="AE40" s="1">
        <v>1.6220000000000001</v>
      </c>
      <c r="AF40" s="1">
        <v>1</v>
      </c>
      <c r="AG40" s="1">
        <v>1.46</v>
      </c>
      <c r="AH40" s="1">
        <v>1</v>
      </c>
      <c r="AI40" s="1">
        <v>3.2</v>
      </c>
      <c r="AJ40" s="1">
        <v>1</v>
      </c>
      <c r="AK40" s="1">
        <v>0</v>
      </c>
      <c r="AL40" s="1">
        <v>1</v>
      </c>
      <c r="AM40" s="1">
        <v>1</v>
      </c>
      <c r="AN40" s="1">
        <v>2.44</v>
      </c>
    </row>
    <row r="41" spans="1:40">
      <c r="A41" s="1">
        <v>113</v>
      </c>
      <c r="C41" s="1">
        <v>1.6779999999999999</v>
      </c>
      <c r="D41" s="1">
        <v>1.6779999999999999</v>
      </c>
      <c r="E41" s="1">
        <v>1.6779999999999999</v>
      </c>
      <c r="F41" s="1">
        <v>1.6779999999999999</v>
      </c>
      <c r="G41" s="1">
        <v>1.52</v>
      </c>
      <c r="H41" s="1">
        <v>1</v>
      </c>
      <c r="I41" s="1">
        <v>1</v>
      </c>
      <c r="J41" s="1">
        <v>2.42</v>
      </c>
      <c r="K41" s="1">
        <v>0</v>
      </c>
      <c r="L41" s="1">
        <v>1.49</v>
      </c>
      <c r="M41" s="1">
        <v>1.49</v>
      </c>
      <c r="N41" s="1">
        <v>1</v>
      </c>
      <c r="O41" s="1">
        <v>1</v>
      </c>
      <c r="P41" s="1">
        <v>1</v>
      </c>
      <c r="Q41" s="1">
        <v>1</v>
      </c>
      <c r="R41" s="1">
        <v>1</v>
      </c>
      <c r="S41" s="1">
        <v>1</v>
      </c>
      <c r="T41" s="1">
        <v>1</v>
      </c>
      <c r="U41" s="1">
        <v>1</v>
      </c>
      <c r="V41" s="1">
        <v>1.06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13</v>
      </c>
      <c r="AD41" s="1">
        <v>13</v>
      </c>
      <c r="AE41" s="1">
        <v>1.6779999999999999</v>
      </c>
      <c r="AF41" s="1">
        <v>1</v>
      </c>
      <c r="AG41" s="1">
        <v>1.49</v>
      </c>
      <c r="AH41" s="1">
        <v>1</v>
      </c>
      <c r="AI41" s="1">
        <v>3.4</v>
      </c>
      <c r="AJ41" s="1">
        <v>1</v>
      </c>
      <c r="AK41" s="1">
        <v>0</v>
      </c>
      <c r="AL41" s="1">
        <v>1</v>
      </c>
      <c r="AM41" s="1">
        <v>1</v>
      </c>
      <c r="AN41" s="1">
        <v>2.56</v>
      </c>
    </row>
    <row r="42" spans="1:40">
      <c r="A42" s="1">
        <v>114</v>
      </c>
      <c r="C42" s="1">
        <v>1.734</v>
      </c>
      <c r="D42" s="1">
        <v>1.734</v>
      </c>
      <c r="E42" s="1">
        <v>1.734</v>
      </c>
      <c r="F42" s="1">
        <v>1.734</v>
      </c>
      <c r="G42" s="1">
        <v>1.56</v>
      </c>
      <c r="H42" s="1">
        <v>1</v>
      </c>
      <c r="I42" s="1">
        <v>1</v>
      </c>
      <c r="J42" s="1">
        <v>2.46</v>
      </c>
      <c r="K42" s="1">
        <v>0</v>
      </c>
      <c r="L42" s="1">
        <v>1.52</v>
      </c>
      <c r="M42" s="1">
        <v>1.52</v>
      </c>
      <c r="N42" s="1">
        <v>1</v>
      </c>
      <c r="O42" s="1">
        <v>1</v>
      </c>
      <c r="P42" s="1">
        <v>1</v>
      </c>
      <c r="Q42" s="1">
        <v>1</v>
      </c>
      <c r="R42" s="1">
        <v>1</v>
      </c>
      <c r="S42" s="1">
        <v>1</v>
      </c>
      <c r="T42" s="1">
        <v>1</v>
      </c>
      <c r="U42" s="1">
        <v>1</v>
      </c>
      <c r="V42" s="1">
        <v>1.06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14</v>
      </c>
      <c r="AD42" s="1">
        <v>14</v>
      </c>
      <c r="AE42" s="1">
        <v>1.734</v>
      </c>
      <c r="AF42" s="1">
        <v>1</v>
      </c>
      <c r="AG42" s="1">
        <v>1.52</v>
      </c>
      <c r="AH42" s="1">
        <v>1</v>
      </c>
      <c r="AI42" s="1">
        <v>3.6</v>
      </c>
      <c r="AJ42" s="1">
        <v>1</v>
      </c>
      <c r="AK42" s="1">
        <v>0</v>
      </c>
      <c r="AL42" s="1">
        <v>1</v>
      </c>
      <c r="AM42" s="1">
        <v>1</v>
      </c>
      <c r="AN42" s="1">
        <v>2.68</v>
      </c>
    </row>
    <row r="43" spans="1:40">
      <c r="A43" s="1">
        <v>115</v>
      </c>
      <c r="C43" s="1">
        <v>1.79</v>
      </c>
      <c r="D43" s="1">
        <v>1.79</v>
      </c>
      <c r="E43" s="1">
        <v>1.79</v>
      </c>
      <c r="F43" s="1">
        <v>1.79</v>
      </c>
      <c r="G43" s="1">
        <v>1.6</v>
      </c>
      <c r="H43" s="1">
        <v>1</v>
      </c>
      <c r="I43" s="1">
        <v>1</v>
      </c>
      <c r="J43" s="1">
        <v>2.5</v>
      </c>
      <c r="K43" s="1">
        <v>0</v>
      </c>
      <c r="L43" s="1">
        <v>1.55</v>
      </c>
      <c r="M43" s="1">
        <v>1.55</v>
      </c>
      <c r="N43" s="1">
        <v>1</v>
      </c>
      <c r="O43" s="1">
        <v>1</v>
      </c>
      <c r="P43" s="1">
        <v>1</v>
      </c>
      <c r="Q43" s="1">
        <v>1</v>
      </c>
      <c r="R43" s="1">
        <v>1</v>
      </c>
      <c r="S43" s="1">
        <v>1</v>
      </c>
      <c r="T43" s="1">
        <v>1</v>
      </c>
      <c r="U43" s="1">
        <v>1</v>
      </c>
      <c r="V43" s="1">
        <v>1.06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15</v>
      </c>
      <c r="AD43" s="1">
        <v>15</v>
      </c>
      <c r="AE43" s="1">
        <v>1.79</v>
      </c>
      <c r="AF43" s="1">
        <v>1</v>
      </c>
      <c r="AG43" s="1">
        <v>1.55</v>
      </c>
      <c r="AH43" s="1">
        <v>1</v>
      </c>
      <c r="AI43" s="1">
        <v>3.8</v>
      </c>
      <c r="AJ43" s="1">
        <v>1</v>
      </c>
      <c r="AK43" s="1">
        <v>0</v>
      </c>
      <c r="AL43" s="1">
        <v>1</v>
      </c>
      <c r="AM43" s="1">
        <v>1</v>
      </c>
      <c r="AN43" s="1">
        <v>2.8</v>
      </c>
    </row>
    <row r="44" spans="1:40">
      <c r="A44" s="1">
        <v>116</v>
      </c>
      <c r="C44" s="1">
        <v>1.8460000000000001</v>
      </c>
      <c r="D44" s="1">
        <v>1.8460000000000001</v>
      </c>
      <c r="E44" s="1">
        <v>1.8460000000000001</v>
      </c>
      <c r="F44" s="1">
        <v>1.8460000000000001</v>
      </c>
      <c r="G44" s="1">
        <v>1.64</v>
      </c>
      <c r="H44" s="1">
        <v>1</v>
      </c>
      <c r="I44" s="1">
        <v>1</v>
      </c>
      <c r="J44" s="1">
        <v>2.54</v>
      </c>
      <c r="K44" s="1">
        <v>0</v>
      </c>
      <c r="L44" s="1">
        <v>1.58</v>
      </c>
      <c r="M44" s="1">
        <v>1.58</v>
      </c>
      <c r="N44" s="1">
        <v>1</v>
      </c>
      <c r="O44" s="1">
        <v>1</v>
      </c>
      <c r="P44" s="1">
        <v>1</v>
      </c>
      <c r="Q44" s="1">
        <v>1</v>
      </c>
      <c r="R44" s="1">
        <v>1</v>
      </c>
      <c r="S44" s="1">
        <v>1</v>
      </c>
      <c r="T44" s="1">
        <v>1</v>
      </c>
      <c r="U44" s="1">
        <v>1</v>
      </c>
      <c r="V44" s="1">
        <v>1.07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16</v>
      </c>
      <c r="AD44" s="1">
        <v>16</v>
      </c>
      <c r="AE44" s="1">
        <v>1.8460000000000001</v>
      </c>
      <c r="AF44" s="1">
        <v>1</v>
      </c>
      <c r="AG44" s="1">
        <v>1.58</v>
      </c>
      <c r="AH44" s="1">
        <v>1</v>
      </c>
      <c r="AI44" s="1">
        <v>4</v>
      </c>
      <c r="AJ44" s="1">
        <v>1</v>
      </c>
      <c r="AK44" s="1">
        <v>0</v>
      </c>
      <c r="AL44" s="1">
        <v>1</v>
      </c>
      <c r="AM44" s="1">
        <v>1</v>
      </c>
      <c r="AN44" s="1">
        <v>2.92</v>
      </c>
    </row>
    <row r="45" spans="1:40">
      <c r="A45" s="1">
        <v>117</v>
      </c>
      <c r="C45" s="1">
        <v>1.9019999999999999</v>
      </c>
      <c r="D45" s="1">
        <v>1.9019999999999999</v>
      </c>
      <c r="E45" s="1">
        <v>1.9019999999999999</v>
      </c>
      <c r="F45" s="1">
        <v>1.9019999999999999</v>
      </c>
      <c r="G45" s="1">
        <v>1.68</v>
      </c>
      <c r="H45" s="1">
        <v>1</v>
      </c>
      <c r="I45" s="1">
        <v>1</v>
      </c>
      <c r="J45" s="1">
        <v>2.58</v>
      </c>
      <c r="K45" s="1">
        <v>0</v>
      </c>
      <c r="L45" s="1">
        <v>1.61</v>
      </c>
      <c r="M45" s="1">
        <v>1.61</v>
      </c>
      <c r="N45" s="1">
        <v>1</v>
      </c>
      <c r="O45" s="1">
        <v>1</v>
      </c>
      <c r="P45" s="1">
        <v>1</v>
      </c>
      <c r="Q45" s="1">
        <v>1</v>
      </c>
      <c r="R45" s="1">
        <v>1</v>
      </c>
      <c r="S45" s="1">
        <v>1</v>
      </c>
      <c r="T45" s="1">
        <v>1</v>
      </c>
      <c r="U45" s="1">
        <v>1</v>
      </c>
      <c r="V45" s="1">
        <v>1.07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17</v>
      </c>
      <c r="AD45" s="1">
        <v>17</v>
      </c>
      <c r="AE45" s="1">
        <v>1.9019999999999999</v>
      </c>
      <c r="AF45" s="1">
        <v>1</v>
      </c>
      <c r="AG45" s="1">
        <v>1.61</v>
      </c>
      <c r="AH45" s="1">
        <v>1</v>
      </c>
      <c r="AI45" s="1">
        <v>4.2</v>
      </c>
      <c r="AJ45" s="1">
        <v>1</v>
      </c>
      <c r="AK45" s="1">
        <v>0</v>
      </c>
      <c r="AL45" s="1">
        <v>1</v>
      </c>
      <c r="AM45" s="1">
        <v>1</v>
      </c>
      <c r="AN45" s="1">
        <v>3.04</v>
      </c>
    </row>
    <row r="46" spans="1:40">
      <c r="A46" s="1">
        <v>118</v>
      </c>
      <c r="C46" s="1">
        <v>1.958</v>
      </c>
      <c r="D46" s="1">
        <v>1.958</v>
      </c>
      <c r="E46" s="1">
        <v>1.958</v>
      </c>
      <c r="F46" s="1">
        <v>1.958</v>
      </c>
      <c r="G46" s="1">
        <v>1.72</v>
      </c>
      <c r="H46" s="1">
        <v>1</v>
      </c>
      <c r="I46" s="1">
        <v>1</v>
      </c>
      <c r="J46" s="1">
        <v>2.62</v>
      </c>
      <c r="K46" s="1">
        <v>0</v>
      </c>
      <c r="L46" s="1">
        <v>1.64</v>
      </c>
      <c r="M46" s="1">
        <v>1.64</v>
      </c>
      <c r="N46" s="1">
        <v>1</v>
      </c>
      <c r="O46" s="1">
        <v>1</v>
      </c>
      <c r="P46" s="1">
        <v>1</v>
      </c>
      <c r="Q46" s="1">
        <v>1</v>
      </c>
      <c r="R46" s="1">
        <v>1</v>
      </c>
      <c r="S46" s="1">
        <v>1</v>
      </c>
      <c r="T46" s="1">
        <v>1</v>
      </c>
      <c r="U46" s="1">
        <v>1</v>
      </c>
      <c r="V46" s="1">
        <v>1.07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18</v>
      </c>
      <c r="AD46" s="1">
        <v>18</v>
      </c>
      <c r="AE46" s="1">
        <v>1.958</v>
      </c>
      <c r="AF46" s="1">
        <v>1</v>
      </c>
      <c r="AG46" s="1">
        <v>1.64</v>
      </c>
      <c r="AH46" s="1">
        <v>1</v>
      </c>
      <c r="AI46" s="1">
        <v>4.4000000000000004</v>
      </c>
      <c r="AJ46" s="1">
        <v>1</v>
      </c>
      <c r="AK46" s="1">
        <v>0</v>
      </c>
      <c r="AL46" s="1">
        <v>1</v>
      </c>
      <c r="AM46" s="1">
        <v>1</v>
      </c>
      <c r="AN46" s="1">
        <v>3.16</v>
      </c>
    </row>
    <row r="47" spans="1:40">
      <c r="A47" s="1">
        <v>119</v>
      </c>
      <c r="C47" s="1">
        <v>2.0139999999999998</v>
      </c>
      <c r="D47" s="1">
        <v>2.0139999999999998</v>
      </c>
      <c r="E47" s="1">
        <v>2.0139999999999998</v>
      </c>
      <c r="F47" s="1">
        <v>2.0139999999999998</v>
      </c>
      <c r="G47" s="1">
        <v>1.76</v>
      </c>
      <c r="H47" s="1">
        <v>1</v>
      </c>
      <c r="I47" s="1">
        <v>1</v>
      </c>
      <c r="J47" s="1">
        <v>2.66</v>
      </c>
      <c r="K47" s="1">
        <v>0</v>
      </c>
      <c r="L47" s="1">
        <v>1.67</v>
      </c>
      <c r="M47" s="1">
        <v>1.67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1.08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19</v>
      </c>
      <c r="AD47" s="1">
        <v>19</v>
      </c>
      <c r="AE47" s="1">
        <v>2.0139999999999998</v>
      </c>
      <c r="AF47" s="1">
        <v>1</v>
      </c>
      <c r="AG47" s="1">
        <v>1.67</v>
      </c>
      <c r="AH47" s="1">
        <v>1</v>
      </c>
      <c r="AI47" s="1">
        <v>4.5999999999999996</v>
      </c>
      <c r="AJ47" s="1">
        <v>1</v>
      </c>
      <c r="AK47" s="1">
        <v>0</v>
      </c>
      <c r="AL47" s="1">
        <v>1</v>
      </c>
      <c r="AM47" s="1">
        <v>1</v>
      </c>
      <c r="AN47" s="1">
        <v>3.28</v>
      </c>
    </row>
    <row r="48" spans="1:40">
      <c r="A48" s="1">
        <v>120</v>
      </c>
      <c r="C48" s="1">
        <v>2.0699999999999998</v>
      </c>
      <c r="D48" s="1">
        <v>2.0699999999999998</v>
      </c>
      <c r="E48" s="1">
        <v>2.0699999999999998</v>
      </c>
      <c r="F48" s="1">
        <v>2.0699999999999998</v>
      </c>
      <c r="G48" s="1">
        <v>1.8</v>
      </c>
      <c r="H48" s="1">
        <v>1</v>
      </c>
      <c r="I48" s="1">
        <v>1</v>
      </c>
      <c r="J48" s="1">
        <v>2.7</v>
      </c>
      <c r="K48" s="1">
        <v>0</v>
      </c>
      <c r="L48" s="1">
        <v>1.7</v>
      </c>
      <c r="M48" s="1">
        <v>1.7</v>
      </c>
      <c r="N48" s="1">
        <v>1</v>
      </c>
      <c r="O48" s="1">
        <v>1</v>
      </c>
      <c r="P48" s="1">
        <v>1</v>
      </c>
      <c r="Q48" s="1">
        <v>1</v>
      </c>
      <c r="R48" s="1">
        <v>1</v>
      </c>
      <c r="S48" s="1">
        <v>1</v>
      </c>
      <c r="T48" s="1">
        <v>1</v>
      </c>
      <c r="U48" s="1">
        <v>1</v>
      </c>
      <c r="V48" s="1">
        <v>1.08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20</v>
      </c>
      <c r="AD48" s="1">
        <v>20</v>
      </c>
      <c r="AE48" s="1">
        <v>2.0699999999999998</v>
      </c>
      <c r="AF48" s="1">
        <v>1</v>
      </c>
      <c r="AG48" s="1">
        <v>1.7</v>
      </c>
      <c r="AH48" s="1">
        <v>1</v>
      </c>
      <c r="AI48" s="1">
        <v>4.8</v>
      </c>
      <c r="AJ48" s="1">
        <v>1</v>
      </c>
      <c r="AK48" s="1">
        <v>0</v>
      </c>
      <c r="AL48" s="1">
        <v>1</v>
      </c>
      <c r="AM48" s="1">
        <v>1</v>
      </c>
      <c r="AN48" s="1">
        <v>3.4</v>
      </c>
    </row>
    <row r="49" spans="1:40">
      <c r="A49" s="1">
        <v>121</v>
      </c>
      <c r="C49" s="1">
        <v>2.1259999999999999</v>
      </c>
      <c r="D49" s="1">
        <v>2.1259999999999999</v>
      </c>
      <c r="E49" s="1">
        <v>2.1259999999999999</v>
      </c>
      <c r="F49" s="1">
        <v>2.1259999999999999</v>
      </c>
      <c r="G49" s="1">
        <v>1.84</v>
      </c>
      <c r="H49" s="1">
        <v>1</v>
      </c>
      <c r="I49" s="1">
        <v>1</v>
      </c>
      <c r="J49" s="1">
        <v>2.72</v>
      </c>
      <c r="K49" s="1">
        <v>0</v>
      </c>
      <c r="L49" s="1">
        <v>1.72</v>
      </c>
      <c r="M49" s="1">
        <v>1.72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1.08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21</v>
      </c>
      <c r="AD49" s="1">
        <v>21</v>
      </c>
      <c r="AE49" s="1">
        <v>2.1259999999999999</v>
      </c>
      <c r="AF49" s="1">
        <v>1</v>
      </c>
      <c r="AG49" s="1">
        <v>1.72</v>
      </c>
      <c r="AH49" s="1">
        <v>1</v>
      </c>
      <c r="AI49" s="1">
        <v>5</v>
      </c>
      <c r="AJ49" s="1">
        <v>1</v>
      </c>
      <c r="AK49" s="1">
        <v>0</v>
      </c>
      <c r="AL49" s="1">
        <v>1</v>
      </c>
      <c r="AM49" s="1">
        <v>1</v>
      </c>
      <c r="AN49" s="1">
        <v>3.52</v>
      </c>
    </row>
    <row r="50" spans="1:40">
      <c r="A50" s="1">
        <v>122</v>
      </c>
      <c r="C50" s="1">
        <v>2.1819999999999999</v>
      </c>
      <c r="D50" s="1">
        <v>2.1819999999999999</v>
      </c>
      <c r="E50" s="1">
        <v>2.1819999999999999</v>
      </c>
      <c r="F50" s="1">
        <v>2.1819999999999999</v>
      </c>
      <c r="G50" s="1">
        <v>1.88</v>
      </c>
      <c r="H50" s="1">
        <v>1</v>
      </c>
      <c r="I50" s="1">
        <v>1</v>
      </c>
      <c r="J50" s="1">
        <v>2.74</v>
      </c>
      <c r="K50" s="1">
        <v>0</v>
      </c>
      <c r="L50" s="1">
        <v>1.74</v>
      </c>
      <c r="M50" s="1">
        <v>1.74</v>
      </c>
      <c r="N50" s="1">
        <v>1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1</v>
      </c>
      <c r="U50" s="1">
        <v>1</v>
      </c>
      <c r="V50" s="1">
        <v>1.0900000000000001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22</v>
      </c>
      <c r="AD50" s="1">
        <v>22</v>
      </c>
      <c r="AE50" s="1">
        <v>2.1819999999999999</v>
      </c>
      <c r="AF50" s="1">
        <v>1</v>
      </c>
      <c r="AG50" s="1">
        <v>1.74</v>
      </c>
      <c r="AH50" s="1">
        <v>1</v>
      </c>
      <c r="AI50" s="1">
        <v>5.2</v>
      </c>
      <c r="AJ50" s="1">
        <v>1</v>
      </c>
      <c r="AK50" s="1">
        <v>0</v>
      </c>
      <c r="AL50" s="1">
        <v>1</v>
      </c>
      <c r="AM50" s="1">
        <v>1</v>
      </c>
      <c r="AN50" s="1">
        <v>3.64</v>
      </c>
    </row>
    <row r="51" spans="1:40">
      <c r="A51" s="1">
        <v>123</v>
      </c>
      <c r="C51" s="1">
        <v>2.238</v>
      </c>
      <c r="D51" s="1">
        <v>2.238</v>
      </c>
      <c r="E51" s="1">
        <v>2.238</v>
      </c>
      <c r="F51" s="1">
        <v>2.238</v>
      </c>
      <c r="G51" s="1">
        <v>1.92</v>
      </c>
      <c r="H51" s="1">
        <v>1</v>
      </c>
      <c r="I51" s="1">
        <v>1</v>
      </c>
      <c r="J51" s="1">
        <v>2.76</v>
      </c>
      <c r="K51" s="1">
        <v>0</v>
      </c>
      <c r="L51" s="1">
        <v>1.76</v>
      </c>
      <c r="M51" s="1">
        <v>1.76</v>
      </c>
      <c r="N51" s="1">
        <v>1</v>
      </c>
      <c r="O51" s="1">
        <v>1</v>
      </c>
      <c r="P51" s="1">
        <v>1</v>
      </c>
      <c r="Q51" s="1">
        <v>1</v>
      </c>
      <c r="R51" s="1">
        <v>1</v>
      </c>
      <c r="S51" s="1">
        <v>1</v>
      </c>
      <c r="T51" s="1">
        <v>1</v>
      </c>
      <c r="U51" s="1">
        <v>1</v>
      </c>
      <c r="V51" s="1">
        <v>1.0900000000000001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23</v>
      </c>
      <c r="AD51" s="1">
        <v>23</v>
      </c>
      <c r="AE51" s="1">
        <v>2.238</v>
      </c>
      <c r="AF51" s="1">
        <v>1</v>
      </c>
      <c r="AG51" s="1">
        <v>1.76</v>
      </c>
      <c r="AH51" s="1">
        <v>1</v>
      </c>
      <c r="AI51" s="1">
        <v>5.4</v>
      </c>
      <c r="AJ51" s="1">
        <v>1</v>
      </c>
      <c r="AK51" s="1">
        <v>0</v>
      </c>
      <c r="AL51" s="1">
        <v>1</v>
      </c>
      <c r="AM51" s="1">
        <v>1</v>
      </c>
      <c r="AN51" s="1">
        <v>3.76</v>
      </c>
    </row>
    <row r="52" spans="1:40">
      <c r="A52" s="1">
        <v>124</v>
      </c>
      <c r="C52" s="1">
        <v>2.294</v>
      </c>
      <c r="D52" s="1">
        <v>2.294</v>
      </c>
      <c r="E52" s="1">
        <v>2.294</v>
      </c>
      <c r="F52" s="1">
        <v>2.294</v>
      </c>
      <c r="G52" s="1">
        <v>1.96</v>
      </c>
      <c r="H52" s="1">
        <v>1</v>
      </c>
      <c r="I52" s="1">
        <v>1</v>
      </c>
      <c r="J52" s="1">
        <v>2.78</v>
      </c>
      <c r="K52" s="1">
        <v>0</v>
      </c>
      <c r="L52" s="1">
        <v>1.78</v>
      </c>
      <c r="M52" s="1">
        <v>1.78</v>
      </c>
      <c r="N52" s="1">
        <v>1</v>
      </c>
      <c r="O52" s="1">
        <v>1</v>
      </c>
      <c r="P52" s="1">
        <v>1</v>
      </c>
      <c r="Q52" s="1">
        <v>1</v>
      </c>
      <c r="R52" s="1">
        <v>1</v>
      </c>
      <c r="S52" s="1">
        <v>1</v>
      </c>
      <c r="T52" s="1">
        <v>1</v>
      </c>
      <c r="U52" s="1">
        <v>1</v>
      </c>
      <c r="V52" s="1">
        <v>1.0900000000000001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24</v>
      </c>
      <c r="AD52" s="1">
        <v>24</v>
      </c>
      <c r="AE52" s="1">
        <v>2.294</v>
      </c>
      <c r="AF52" s="1">
        <v>1</v>
      </c>
      <c r="AG52" s="1">
        <v>1.78</v>
      </c>
      <c r="AH52" s="1">
        <v>1</v>
      </c>
      <c r="AI52" s="1">
        <v>5.6</v>
      </c>
      <c r="AJ52" s="1">
        <v>1</v>
      </c>
      <c r="AK52" s="1">
        <v>0</v>
      </c>
      <c r="AL52" s="1">
        <v>1</v>
      </c>
      <c r="AM52" s="1">
        <v>1</v>
      </c>
      <c r="AN52" s="1">
        <v>3.88</v>
      </c>
    </row>
    <row r="53" spans="1:40">
      <c r="A53" s="1">
        <v>125</v>
      </c>
      <c r="C53" s="1">
        <v>2.35</v>
      </c>
      <c r="D53" s="1">
        <v>2.35</v>
      </c>
      <c r="E53" s="1">
        <v>2.35</v>
      </c>
      <c r="F53" s="1">
        <v>2.35</v>
      </c>
      <c r="G53" s="1">
        <v>2</v>
      </c>
      <c r="H53" s="1">
        <v>1</v>
      </c>
      <c r="I53" s="1">
        <v>1</v>
      </c>
      <c r="J53" s="1">
        <v>2.8</v>
      </c>
      <c r="K53" s="1">
        <v>0</v>
      </c>
      <c r="L53" s="1">
        <v>1.8</v>
      </c>
      <c r="M53" s="1">
        <v>1.8</v>
      </c>
      <c r="N53" s="1">
        <v>1</v>
      </c>
      <c r="O53" s="1">
        <v>1</v>
      </c>
      <c r="P53" s="1">
        <v>1</v>
      </c>
      <c r="Q53" s="1">
        <v>1</v>
      </c>
      <c r="R53" s="1">
        <v>1</v>
      </c>
      <c r="S53" s="1">
        <v>1</v>
      </c>
      <c r="T53" s="1">
        <v>1</v>
      </c>
      <c r="U53" s="1">
        <v>1</v>
      </c>
      <c r="V53" s="1">
        <v>1.1000000000000001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25</v>
      </c>
      <c r="AD53" s="1">
        <v>25</v>
      </c>
      <c r="AE53" s="1">
        <v>2.35</v>
      </c>
      <c r="AF53" s="1">
        <v>1</v>
      </c>
      <c r="AG53" s="1">
        <v>1.8</v>
      </c>
      <c r="AH53" s="1">
        <v>1</v>
      </c>
      <c r="AI53" s="1">
        <v>5.8</v>
      </c>
      <c r="AJ53" s="1">
        <v>1</v>
      </c>
      <c r="AK53" s="1">
        <v>0</v>
      </c>
      <c r="AL53" s="1">
        <v>1</v>
      </c>
      <c r="AM53" s="1">
        <v>1</v>
      </c>
      <c r="AN53" s="1">
        <v>4</v>
      </c>
    </row>
    <row r="54" spans="1:40">
      <c r="A54" s="1">
        <v>200</v>
      </c>
      <c r="C54" s="1">
        <v>0.95</v>
      </c>
      <c r="D54" s="1">
        <v>0.95</v>
      </c>
      <c r="E54" s="1">
        <v>0.95</v>
      </c>
      <c r="F54" s="1">
        <v>0.95</v>
      </c>
      <c r="G54" s="1">
        <v>1</v>
      </c>
      <c r="H54" s="1">
        <v>1</v>
      </c>
      <c r="I54" s="1">
        <v>1</v>
      </c>
      <c r="J54" s="1">
        <v>0.5</v>
      </c>
      <c r="K54" s="1">
        <v>1.8</v>
      </c>
      <c r="L54" s="1">
        <v>1</v>
      </c>
      <c r="M54" s="1">
        <v>1</v>
      </c>
      <c r="N54" s="1">
        <v>1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0.95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0</v>
      </c>
      <c r="AL54" s="1">
        <v>1</v>
      </c>
      <c r="AM54" s="1">
        <v>1</v>
      </c>
      <c r="AN54" s="1">
        <v>1</v>
      </c>
    </row>
    <row r="55" spans="1:40">
      <c r="A55" s="1">
        <v>201</v>
      </c>
      <c r="C55" s="1">
        <v>1.006</v>
      </c>
      <c r="D55" s="1">
        <v>1.006</v>
      </c>
      <c r="E55" s="1">
        <v>1.006</v>
      </c>
      <c r="F55" s="1">
        <v>1.006</v>
      </c>
      <c r="G55" s="1">
        <v>1.04</v>
      </c>
      <c r="H55" s="1">
        <v>1</v>
      </c>
      <c r="I55" s="1">
        <v>1</v>
      </c>
      <c r="J55" s="1">
        <v>0.53</v>
      </c>
      <c r="K55" s="1">
        <v>1.85</v>
      </c>
      <c r="L55" s="1">
        <v>1.04</v>
      </c>
      <c r="M55" s="1">
        <v>1.04</v>
      </c>
      <c r="N55" s="1">
        <v>1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1.01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1</v>
      </c>
      <c r="AE55" s="1">
        <v>1.006</v>
      </c>
      <c r="AF55" s="1">
        <v>1</v>
      </c>
      <c r="AG55" s="1">
        <v>1.04</v>
      </c>
      <c r="AH55" s="1">
        <v>1</v>
      </c>
      <c r="AI55" s="1">
        <v>1</v>
      </c>
      <c r="AJ55" s="1">
        <v>1</v>
      </c>
      <c r="AK55" s="1">
        <v>0</v>
      </c>
      <c r="AL55" s="1">
        <v>1</v>
      </c>
      <c r="AM55" s="1">
        <v>1</v>
      </c>
      <c r="AN55" s="1">
        <v>1.1200000000000001</v>
      </c>
    </row>
    <row r="56" spans="1:40">
      <c r="A56" s="1">
        <v>202</v>
      </c>
      <c r="C56" s="1">
        <v>1.0620000000000001</v>
      </c>
      <c r="D56" s="1">
        <v>1.0620000000000001</v>
      </c>
      <c r="E56" s="1">
        <v>1.0620000000000001</v>
      </c>
      <c r="F56" s="1">
        <v>1.0620000000000001</v>
      </c>
      <c r="G56" s="1">
        <v>1.08</v>
      </c>
      <c r="H56" s="1">
        <v>1</v>
      </c>
      <c r="I56" s="1">
        <v>1</v>
      </c>
      <c r="J56" s="1">
        <v>0.56000000000000005</v>
      </c>
      <c r="K56" s="1">
        <v>1.9</v>
      </c>
      <c r="L56" s="1">
        <v>1.08</v>
      </c>
      <c r="M56" s="1">
        <v>1.08</v>
      </c>
      <c r="N56" s="1">
        <v>1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1.01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2</v>
      </c>
      <c r="AE56" s="1">
        <v>1.0620000000000001</v>
      </c>
      <c r="AF56" s="1">
        <v>1</v>
      </c>
      <c r="AG56" s="1">
        <v>1.08</v>
      </c>
      <c r="AH56" s="1">
        <v>1</v>
      </c>
      <c r="AI56" s="1">
        <v>1.2</v>
      </c>
      <c r="AJ56" s="1">
        <v>1</v>
      </c>
      <c r="AK56" s="1">
        <v>0</v>
      </c>
      <c r="AL56" s="1">
        <v>1</v>
      </c>
      <c r="AM56" s="1">
        <v>1</v>
      </c>
      <c r="AN56" s="1">
        <v>1.24</v>
      </c>
    </row>
    <row r="57" spans="1:40">
      <c r="A57" s="1">
        <v>203</v>
      </c>
      <c r="C57" s="1">
        <v>1.1180000000000001</v>
      </c>
      <c r="D57" s="1">
        <v>1.1180000000000001</v>
      </c>
      <c r="E57" s="1">
        <v>1.1180000000000001</v>
      </c>
      <c r="F57" s="1">
        <v>1.1180000000000001</v>
      </c>
      <c r="G57" s="1">
        <v>1.1200000000000001</v>
      </c>
      <c r="H57" s="1">
        <v>1</v>
      </c>
      <c r="I57" s="1">
        <v>1</v>
      </c>
      <c r="J57" s="1">
        <v>0.59</v>
      </c>
      <c r="K57" s="1">
        <v>1.95</v>
      </c>
      <c r="L57" s="1">
        <v>1.1200000000000001</v>
      </c>
      <c r="M57" s="1">
        <v>1.1200000000000001</v>
      </c>
      <c r="N57" s="1">
        <v>1</v>
      </c>
      <c r="O57" s="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>
        <v>1</v>
      </c>
      <c r="V57" s="1">
        <v>1.02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3</v>
      </c>
      <c r="AE57" s="1">
        <v>1.1180000000000001</v>
      </c>
      <c r="AF57" s="1">
        <v>1</v>
      </c>
      <c r="AG57" s="1">
        <v>1.1200000000000001</v>
      </c>
      <c r="AH57" s="1">
        <v>1</v>
      </c>
      <c r="AI57" s="1">
        <v>1.4</v>
      </c>
      <c r="AJ57" s="1">
        <v>1</v>
      </c>
      <c r="AK57" s="1">
        <v>0</v>
      </c>
      <c r="AL57" s="1">
        <v>1</v>
      </c>
      <c r="AM57" s="1">
        <v>1</v>
      </c>
      <c r="AN57" s="1">
        <v>1.36</v>
      </c>
    </row>
    <row r="58" spans="1:40">
      <c r="A58" s="1">
        <v>204</v>
      </c>
      <c r="C58" s="1">
        <v>1.1739999999999999</v>
      </c>
      <c r="D58" s="1">
        <v>1.1739999999999999</v>
      </c>
      <c r="E58" s="1">
        <v>1.1739999999999999</v>
      </c>
      <c r="F58" s="1">
        <v>1.1739999999999999</v>
      </c>
      <c r="G58" s="1">
        <v>1.1599999999999999</v>
      </c>
      <c r="H58" s="1">
        <v>1</v>
      </c>
      <c r="I58" s="1">
        <v>1</v>
      </c>
      <c r="J58" s="1">
        <v>0.62</v>
      </c>
      <c r="K58" s="1">
        <v>2</v>
      </c>
      <c r="L58" s="1">
        <v>1.1599999999999999</v>
      </c>
      <c r="M58" s="1">
        <v>1.1599999999999999</v>
      </c>
      <c r="N58" s="1">
        <v>1</v>
      </c>
      <c r="O58" s="1">
        <v>1</v>
      </c>
      <c r="P58" s="1">
        <v>1</v>
      </c>
      <c r="Q58" s="1">
        <v>1</v>
      </c>
      <c r="R58" s="1">
        <v>1</v>
      </c>
      <c r="S58" s="1">
        <v>1</v>
      </c>
      <c r="T58" s="1">
        <v>1</v>
      </c>
      <c r="U58" s="1">
        <v>1</v>
      </c>
      <c r="V58" s="1">
        <v>1.02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4</v>
      </c>
      <c r="AE58" s="1">
        <v>1.1739999999999999</v>
      </c>
      <c r="AF58" s="1">
        <v>1</v>
      </c>
      <c r="AG58" s="1">
        <v>1.1599999999999999</v>
      </c>
      <c r="AH58" s="1">
        <v>1</v>
      </c>
      <c r="AI58" s="1">
        <v>1.6</v>
      </c>
      <c r="AJ58" s="1">
        <v>1</v>
      </c>
      <c r="AK58" s="1">
        <v>0</v>
      </c>
      <c r="AL58" s="1">
        <v>1</v>
      </c>
      <c r="AM58" s="1">
        <v>1</v>
      </c>
      <c r="AN58" s="1">
        <v>1.48</v>
      </c>
    </row>
    <row r="59" spans="1:40">
      <c r="A59" s="1">
        <v>205</v>
      </c>
      <c r="C59" s="1">
        <v>1.23</v>
      </c>
      <c r="D59" s="1">
        <v>1.23</v>
      </c>
      <c r="E59" s="1">
        <v>1.23</v>
      </c>
      <c r="F59" s="1">
        <v>1.23</v>
      </c>
      <c r="G59" s="1">
        <v>1.2</v>
      </c>
      <c r="H59" s="1">
        <v>1</v>
      </c>
      <c r="I59" s="1">
        <v>1</v>
      </c>
      <c r="J59" s="1">
        <v>0.65</v>
      </c>
      <c r="K59" s="1">
        <v>2.0499999999999998</v>
      </c>
      <c r="L59" s="1">
        <v>1.2</v>
      </c>
      <c r="M59" s="1">
        <v>1.2</v>
      </c>
      <c r="N59" s="1">
        <v>1</v>
      </c>
      <c r="O59" s="1">
        <v>1</v>
      </c>
      <c r="P59" s="1">
        <v>1</v>
      </c>
      <c r="Q59" s="1">
        <v>1</v>
      </c>
      <c r="R59" s="1">
        <v>1</v>
      </c>
      <c r="S59" s="1">
        <v>1</v>
      </c>
      <c r="T59" s="1">
        <v>1</v>
      </c>
      <c r="U59" s="1">
        <v>1</v>
      </c>
      <c r="V59" s="1">
        <v>1.03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5</v>
      </c>
      <c r="AD59" s="1">
        <v>5</v>
      </c>
      <c r="AE59" s="1">
        <v>1.23</v>
      </c>
      <c r="AF59" s="1">
        <v>1</v>
      </c>
      <c r="AG59" s="1">
        <v>1.2</v>
      </c>
      <c r="AH59" s="1">
        <v>1</v>
      </c>
      <c r="AI59" s="1">
        <v>1.8</v>
      </c>
      <c r="AJ59" s="1">
        <v>1</v>
      </c>
      <c r="AK59" s="1">
        <v>0</v>
      </c>
      <c r="AL59" s="1">
        <v>1</v>
      </c>
      <c r="AM59" s="1">
        <v>1</v>
      </c>
      <c r="AN59" s="1">
        <v>1.6</v>
      </c>
    </row>
    <row r="60" spans="1:40">
      <c r="A60" s="1">
        <v>206</v>
      </c>
      <c r="C60" s="1">
        <v>1.286</v>
      </c>
      <c r="D60" s="1">
        <v>1.286</v>
      </c>
      <c r="E60" s="1">
        <v>1.286</v>
      </c>
      <c r="F60" s="1">
        <v>1.286</v>
      </c>
      <c r="G60" s="1">
        <v>1.24</v>
      </c>
      <c r="H60" s="1">
        <v>1</v>
      </c>
      <c r="I60" s="1">
        <v>1</v>
      </c>
      <c r="J60" s="1">
        <v>0.68</v>
      </c>
      <c r="K60" s="1">
        <v>2.1</v>
      </c>
      <c r="L60" s="1">
        <v>1.24</v>
      </c>
      <c r="M60" s="1">
        <v>1.24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1.03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6</v>
      </c>
      <c r="AD60" s="1">
        <v>6</v>
      </c>
      <c r="AE60" s="1">
        <v>1.286</v>
      </c>
      <c r="AF60" s="1">
        <v>1</v>
      </c>
      <c r="AG60" s="1">
        <v>1.24</v>
      </c>
      <c r="AH60" s="1">
        <v>1</v>
      </c>
      <c r="AI60" s="1">
        <v>2</v>
      </c>
      <c r="AJ60" s="1">
        <v>1</v>
      </c>
      <c r="AK60" s="1">
        <v>0</v>
      </c>
      <c r="AL60" s="1">
        <v>1</v>
      </c>
      <c r="AM60" s="1">
        <v>1</v>
      </c>
      <c r="AN60" s="1">
        <v>1.72</v>
      </c>
    </row>
    <row r="61" spans="1:40">
      <c r="A61" s="1">
        <v>207</v>
      </c>
      <c r="C61" s="1">
        <v>1.3420000000000001</v>
      </c>
      <c r="D61" s="1">
        <v>1.3420000000000001</v>
      </c>
      <c r="E61" s="1">
        <v>1.3420000000000001</v>
      </c>
      <c r="F61" s="1">
        <v>1.3420000000000001</v>
      </c>
      <c r="G61" s="1">
        <v>1.28</v>
      </c>
      <c r="H61" s="1">
        <v>1</v>
      </c>
      <c r="I61" s="1">
        <v>1</v>
      </c>
      <c r="J61" s="1">
        <v>0.71</v>
      </c>
      <c r="K61" s="1">
        <v>2.15</v>
      </c>
      <c r="L61" s="1">
        <v>1.28</v>
      </c>
      <c r="M61" s="1">
        <v>1.28</v>
      </c>
      <c r="N61" s="1">
        <v>1</v>
      </c>
      <c r="O61" s="1">
        <v>1</v>
      </c>
      <c r="P61" s="1">
        <v>1</v>
      </c>
      <c r="Q61" s="1">
        <v>1</v>
      </c>
      <c r="R61" s="1">
        <v>1</v>
      </c>
      <c r="S61" s="1">
        <v>1</v>
      </c>
      <c r="T61" s="1">
        <v>1</v>
      </c>
      <c r="U61" s="1">
        <v>1</v>
      </c>
      <c r="V61" s="1">
        <v>1.04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7</v>
      </c>
      <c r="AD61" s="1">
        <v>7</v>
      </c>
      <c r="AE61" s="1">
        <v>1.3420000000000001</v>
      </c>
      <c r="AF61" s="1">
        <v>1</v>
      </c>
      <c r="AG61" s="1">
        <v>1.28</v>
      </c>
      <c r="AH61" s="1">
        <v>1</v>
      </c>
      <c r="AI61" s="1">
        <v>2.2000000000000002</v>
      </c>
      <c r="AJ61" s="1">
        <v>1</v>
      </c>
      <c r="AK61" s="1">
        <v>0</v>
      </c>
      <c r="AL61" s="1">
        <v>1</v>
      </c>
      <c r="AM61" s="1">
        <v>1</v>
      </c>
      <c r="AN61" s="1">
        <v>1.84</v>
      </c>
    </row>
    <row r="62" spans="1:40">
      <c r="A62" s="1">
        <v>208</v>
      </c>
      <c r="C62" s="1">
        <v>1.3979999999999999</v>
      </c>
      <c r="D62" s="1">
        <v>1.3979999999999999</v>
      </c>
      <c r="E62" s="1">
        <v>1.3979999999999999</v>
      </c>
      <c r="F62" s="1">
        <v>1.3979999999999999</v>
      </c>
      <c r="G62" s="1">
        <v>1.32</v>
      </c>
      <c r="H62" s="1">
        <v>1</v>
      </c>
      <c r="I62" s="1">
        <v>1</v>
      </c>
      <c r="J62" s="1">
        <v>0.74</v>
      </c>
      <c r="K62" s="1">
        <v>2.2000000000000002</v>
      </c>
      <c r="L62" s="1">
        <v>1.32</v>
      </c>
      <c r="M62" s="1">
        <v>1.32</v>
      </c>
      <c r="N62" s="1">
        <v>1</v>
      </c>
      <c r="O62" s="1">
        <v>1</v>
      </c>
      <c r="P62" s="1">
        <v>1</v>
      </c>
      <c r="Q62" s="1">
        <v>1</v>
      </c>
      <c r="R62" s="1">
        <v>1</v>
      </c>
      <c r="S62" s="1">
        <v>1</v>
      </c>
      <c r="T62" s="1">
        <v>1</v>
      </c>
      <c r="U62" s="1">
        <v>1</v>
      </c>
      <c r="V62" s="1">
        <v>1.04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8</v>
      </c>
      <c r="AD62" s="1">
        <v>8</v>
      </c>
      <c r="AE62" s="1">
        <v>1.3979999999999999</v>
      </c>
      <c r="AF62" s="1">
        <v>1</v>
      </c>
      <c r="AG62" s="1">
        <v>1.32</v>
      </c>
      <c r="AH62" s="1">
        <v>1</v>
      </c>
      <c r="AI62" s="1">
        <v>2.4</v>
      </c>
      <c r="AJ62" s="1">
        <v>1</v>
      </c>
      <c r="AK62" s="1">
        <v>0</v>
      </c>
      <c r="AL62" s="1">
        <v>1</v>
      </c>
      <c r="AM62" s="1">
        <v>1</v>
      </c>
      <c r="AN62" s="1">
        <v>1.96</v>
      </c>
    </row>
    <row r="63" spans="1:40">
      <c r="A63" s="1">
        <v>209</v>
      </c>
      <c r="C63" s="1">
        <v>1.454</v>
      </c>
      <c r="D63" s="1">
        <v>1.454</v>
      </c>
      <c r="E63" s="1">
        <v>1.454</v>
      </c>
      <c r="F63" s="1">
        <v>1.454</v>
      </c>
      <c r="G63" s="1">
        <v>1.36</v>
      </c>
      <c r="H63" s="1">
        <v>1</v>
      </c>
      <c r="I63" s="1">
        <v>1</v>
      </c>
      <c r="J63" s="1">
        <v>0.77</v>
      </c>
      <c r="K63" s="1">
        <v>2.25</v>
      </c>
      <c r="L63" s="1">
        <v>1.36</v>
      </c>
      <c r="M63" s="1">
        <v>1.36</v>
      </c>
      <c r="N63" s="1">
        <v>1</v>
      </c>
      <c r="O63" s="1">
        <v>1</v>
      </c>
      <c r="P63" s="1">
        <v>1</v>
      </c>
      <c r="Q63" s="1">
        <v>1</v>
      </c>
      <c r="R63" s="1">
        <v>1</v>
      </c>
      <c r="S63" s="1">
        <v>1</v>
      </c>
      <c r="T63" s="1">
        <v>1</v>
      </c>
      <c r="U63" s="1">
        <v>1</v>
      </c>
      <c r="V63" s="1">
        <v>1.04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9</v>
      </c>
      <c r="AD63" s="1">
        <v>9</v>
      </c>
      <c r="AE63" s="1">
        <v>1.454</v>
      </c>
      <c r="AF63" s="1">
        <v>1</v>
      </c>
      <c r="AG63" s="1">
        <v>1.36</v>
      </c>
      <c r="AH63" s="1">
        <v>1</v>
      </c>
      <c r="AI63" s="1">
        <v>2.6</v>
      </c>
      <c r="AJ63" s="1">
        <v>1</v>
      </c>
      <c r="AK63" s="1">
        <v>0</v>
      </c>
      <c r="AL63" s="1">
        <v>1</v>
      </c>
      <c r="AM63" s="1">
        <v>1</v>
      </c>
      <c r="AN63" s="1">
        <v>2.08</v>
      </c>
    </row>
    <row r="64" spans="1:40">
      <c r="A64" s="1">
        <v>210</v>
      </c>
      <c r="C64" s="1">
        <v>1.51</v>
      </c>
      <c r="D64" s="1">
        <v>1.51</v>
      </c>
      <c r="E64" s="1">
        <v>1.51</v>
      </c>
      <c r="F64" s="1">
        <v>1.51</v>
      </c>
      <c r="G64" s="1">
        <v>1.4</v>
      </c>
      <c r="H64" s="1">
        <v>1</v>
      </c>
      <c r="I64" s="1">
        <v>1</v>
      </c>
      <c r="J64" s="1">
        <v>0.8</v>
      </c>
      <c r="K64" s="1">
        <v>2.2999999999999998</v>
      </c>
      <c r="L64" s="1">
        <v>1.4</v>
      </c>
      <c r="M64" s="1">
        <v>1.4</v>
      </c>
      <c r="N64" s="1">
        <v>1</v>
      </c>
      <c r="O64" s="1">
        <v>1</v>
      </c>
      <c r="P64" s="1">
        <v>1</v>
      </c>
      <c r="Q64" s="1">
        <v>1</v>
      </c>
      <c r="R64" s="1">
        <v>1</v>
      </c>
      <c r="S64" s="1">
        <v>1</v>
      </c>
      <c r="T64" s="1">
        <v>1</v>
      </c>
      <c r="U64" s="1">
        <v>1</v>
      </c>
      <c r="V64" s="1">
        <v>1.05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10</v>
      </c>
      <c r="AD64" s="1">
        <v>10</v>
      </c>
      <c r="AE64" s="1">
        <v>1.51</v>
      </c>
      <c r="AF64" s="1">
        <v>1</v>
      </c>
      <c r="AG64" s="1">
        <v>1.4</v>
      </c>
      <c r="AH64" s="1">
        <v>1</v>
      </c>
      <c r="AI64" s="1">
        <v>2.8</v>
      </c>
      <c r="AJ64" s="1">
        <v>1</v>
      </c>
      <c r="AK64" s="1">
        <v>0</v>
      </c>
      <c r="AL64" s="1">
        <v>1</v>
      </c>
      <c r="AM64" s="1">
        <v>1</v>
      </c>
      <c r="AN64" s="1">
        <v>2.2000000000000002</v>
      </c>
    </row>
    <row r="65" spans="1:40">
      <c r="A65" s="1">
        <v>211</v>
      </c>
      <c r="C65" s="1">
        <v>1.5660000000000001</v>
      </c>
      <c r="D65" s="1">
        <v>1.5660000000000001</v>
      </c>
      <c r="E65" s="1">
        <v>1.5660000000000001</v>
      </c>
      <c r="F65" s="1">
        <v>1.5660000000000001</v>
      </c>
      <c r="G65" s="1">
        <v>1.44</v>
      </c>
      <c r="H65" s="1">
        <v>1</v>
      </c>
      <c r="I65" s="1">
        <v>1</v>
      </c>
      <c r="J65" s="1">
        <v>0.82</v>
      </c>
      <c r="K65" s="1">
        <v>2.34</v>
      </c>
      <c r="L65" s="1">
        <v>1.43</v>
      </c>
      <c r="M65" s="1">
        <v>1.43</v>
      </c>
      <c r="N65" s="1">
        <v>1</v>
      </c>
      <c r="O65" s="1">
        <v>1</v>
      </c>
      <c r="P65" s="1">
        <v>1</v>
      </c>
      <c r="Q65" s="1">
        <v>1</v>
      </c>
      <c r="R65" s="1">
        <v>1</v>
      </c>
      <c r="S65" s="1">
        <v>1</v>
      </c>
      <c r="T65" s="1">
        <v>1</v>
      </c>
      <c r="U65" s="1">
        <v>1</v>
      </c>
      <c r="V65" s="1">
        <v>1.05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11</v>
      </c>
      <c r="AD65" s="1">
        <v>11</v>
      </c>
      <c r="AE65" s="1">
        <v>1.5660000000000001</v>
      </c>
      <c r="AF65" s="1">
        <v>1</v>
      </c>
      <c r="AG65" s="1">
        <v>1.43</v>
      </c>
      <c r="AH65" s="1">
        <v>1</v>
      </c>
      <c r="AI65" s="1">
        <v>3</v>
      </c>
      <c r="AJ65" s="1">
        <v>1</v>
      </c>
      <c r="AK65" s="1">
        <v>0</v>
      </c>
      <c r="AL65" s="1">
        <v>1</v>
      </c>
      <c r="AM65" s="1">
        <v>1</v>
      </c>
      <c r="AN65" s="1">
        <v>2.3199999999999998</v>
      </c>
    </row>
    <row r="66" spans="1:40">
      <c r="A66" s="1">
        <v>212</v>
      </c>
      <c r="C66" s="1">
        <v>1.6220000000000001</v>
      </c>
      <c r="D66" s="1">
        <v>1.6220000000000001</v>
      </c>
      <c r="E66" s="1">
        <v>1.6220000000000001</v>
      </c>
      <c r="F66" s="1">
        <v>1.6220000000000001</v>
      </c>
      <c r="G66" s="1">
        <v>1.48</v>
      </c>
      <c r="H66" s="1">
        <v>1</v>
      </c>
      <c r="I66" s="1">
        <v>1</v>
      </c>
      <c r="J66" s="1">
        <v>0.84</v>
      </c>
      <c r="K66" s="1">
        <v>2.38</v>
      </c>
      <c r="L66" s="1">
        <v>1.46</v>
      </c>
      <c r="M66" s="1">
        <v>1.46</v>
      </c>
      <c r="N66" s="1">
        <v>1</v>
      </c>
      <c r="O66" s="1">
        <v>1</v>
      </c>
      <c r="P66" s="1">
        <v>1</v>
      </c>
      <c r="Q66" s="1">
        <v>1</v>
      </c>
      <c r="R66" s="1">
        <v>1</v>
      </c>
      <c r="S66" s="1">
        <v>1</v>
      </c>
      <c r="T66" s="1">
        <v>1</v>
      </c>
      <c r="U66" s="1">
        <v>1</v>
      </c>
      <c r="V66" s="1">
        <v>1.05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12</v>
      </c>
      <c r="AD66" s="1">
        <v>12</v>
      </c>
      <c r="AE66" s="1">
        <v>1.6220000000000001</v>
      </c>
      <c r="AF66" s="1">
        <v>1</v>
      </c>
      <c r="AG66" s="1">
        <v>1.46</v>
      </c>
      <c r="AH66" s="1">
        <v>1</v>
      </c>
      <c r="AI66" s="1">
        <v>3.2</v>
      </c>
      <c r="AJ66" s="1">
        <v>1</v>
      </c>
      <c r="AK66" s="1">
        <v>0</v>
      </c>
      <c r="AL66" s="1">
        <v>1</v>
      </c>
      <c r="AM66" s="1">
        <v>1</v>
      </c>
      <c r="AN66" s="1">
        <v>2.44</v>
      </c>
    </row>
    <row r="67" spans="1:40">
      <c r="A67" s="1">
        <v>213</v>
      </c>
      <c r="C67" s="1">
        <v>1.6779999999999999</v>
      </c>
      <c r="D67" s="1">
        <v>1.6779999999999999</v>
      </c>
      <c r="E67" s="1">
        <v>1.6779999999999999</v>
      </c>
      <c r="F67" s="1">
        <v>1.6779999999999999</v>
      </c>
      <c r="G67" s="1">
        <v>1.52</v>
      </c>
      <c r="H67" s="1">
        <v>1</v>
      </c>
      <c r="I67" s="1">
        <v>1</v>
      </c>
      <c r="J67" s="1">
        <v>0.86</v>
      </c>
      <c r="K67" s="1">
        <v>2.42</v>
      </c>
      <c r="L67" s="1">
        <v>1.49</v>
      </c>
      <c r="M67" s="1">
        <v>1.49</v>
      </c>
      <c r="N67" s="1">
        <v>1</v>
      </c>
      <c r="O67" s="1">
        <v>1</v>
      </c>
      <c r="P67" s="1">
        <v>1</v>
      </c>
      <c r="Q67" s="1">
        <v>1</v>
      </c>
      <c r="R67" s="1">
        <v>1</v>
      </c>
      <c r="S67" s="1">
        <v>1</v>
      </c>
      <c r="T67" s="1">
        <v>1</v>
      </c>
      <c r="U67" s="1">
        <v>1</v>
      </c>
      <c r="V67" s="1">
        <v>1.06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13</v>
      </c>
      <c r="AD67" s="1">
        <v>13</v>
      </c>
      <c r="AE67" s="1">
        <v>1.6779999999999999</v>
      </c>
      <c r="AF67" s="1">
        <v>1</v>
      </c>
      <c r="AG67" s="1">
        <v>1.49</v>
      </c>
      <c r="AH67" s="1">
        <v>1</v>
      </c>
      <c r="AI67" s="1">
        <v>3.4</v>
      </c>
      <c r="AJ67" s="1">
        <v>1</v>
      </c>
      <c r="AK67" s="1">
        <v>0</v>
      </c>
      <c r="AL67" s="1">
        <v>1</v>
      </c>
      <c r="AM67" s="1">
        <v>1</v>
      </c>
      <c r="AN67" s="1">
        <v>2.56</v>
      </c>
    </row>
    <row r="68" spans="1:40">
      <c r="A68" s="1">
        <v>214</v>
      </c>
      <c r="C68" s="1">
        <v>1.734</v>
      </c>
      <c r="D68" s="1">
        <v>1.734</v>
      </c>
      <c r="E68" s="1">
        <v>1.734</v>
      </c>
      <c r="F68" s="1">
        <v>1.734</v>
      </c>
      <c r="G68" s="1">
        <v>1.56</v>
      </c>
      <c r="H68" s="1">
        <v>1</v>
      </c>
      <c r="I68" s="1">
        <v>1</v>
      </c>
      <c r="J68" s="1">
        <v>0.88</v>
      </c>
      <c r="K68" s="1">
        <v>2.46</v>
      </c>
      <c r="L68" s="1">
        <v>1.52</v>
      </c>
      <c r="M68" s="1">
        <v>1.52</v>
      </c>
      <c r="N68" s="1">
        <v>1</v>
      </c>
      <c r="O68" s="1">
        <v>1</v>
      </c>
      <c r="P68" s="1">
        <v>1</v>
      </c>
      <c r="Q68" s="1">
        <v>1</v>
      </c>
      <c r="R68" s="1">
        <v>1</v>
      </c>
      <c r="S68" s="1">
        <v>1</v>
      </c>
      <c r="T68" s="1">
        <v>1</v>
      </c>
      <c r="U68" s="1">
        <v>1</v>
      </c>
      <c r="V68" s="1">
        <v>1.06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14</v>
      </c>
      <c r="AD68" s="1">
        <v>14</v>
      </c>
      <c r="AE68" s="1">
        <v>1.734</v>
      </c>
      <c r="AF68" s="1">
        <v>1</v>
      </c>
      <c r="AG68" s="1">
        <v>1.52</v>
      </c>
      <c r="AH68" s="1">
        <v>1</v>
      </c>
      <c r="AI68" s="1">
        <v>3.6</v>
      </c>
      <c r="AJ68" s="1">
        <v>1</v>
      </c>
      <c r="AK68" s="1">
        <v>0</v>
      </c>
      <c r="AL68" s="1">
        <v>1</v>
      </c>
      <c r="AM68" s="1">
        <v>1</v>
      </c>
      <c r="AN68" s="1">
        <v>2.68</v>
      </c>
    </row>
    <row r="69" spans="1:40">
      <c r="A69" s="1">
        <v>215</v>
      </c>
      <c r="C69" s="1">
        <v>1.79</v>
      </c>
      <c r="D69" s="1">
        <v>1.79</v>
      </c>
      <c r="E69" s="1">
        <v>1.79</v>
      </c>
      <c r="F69" s="1">
        <v>1.79</v>
      </c>
      <c r="G69" s="1">
        <v>1.6</v>
      </c>
      <c r="H69" s="1">
        <v>1</v>
      </c>
      <c r="I69" s="1">
        <v>1</v>
      </c>
      <c r="J69" s="1">
        <v>0.9</v>
      </c>
      <c r="K69" s="1">
        <v>2.5</v>
      </c>
      <c r="L69" s="1">
        <v>1.55</v>
      </c>
      <c r="M69" s="1">
        <v>1.55</v>
      </c>
      <c r="N69" s="1">
        <v>1</v>
      </c>
      <c r="O69" s="1">
        <v>1</v>
      </c>
      <c r="P69" s="1">
        <v>1</v>
      </c>
      <c r="Q69" s="1">
        <v>1</v>
      </c>
      <c r="R69" s="1">
        <v>1</v>
      </c>
      <c r="S69" s="1">
        <v>1</v>
      </c>
      <c r="T69" s="1">
        <v>1</v>
      </c>
      <c r="U69" s="1">
        <v>1</v>
      </c>
      <c r="V69" s="1">
        <v>1.06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15</v>
      </c>
      <c r="AD69" s="1">
        <v>15</v>
      </c>
      <c r="AE69" s="1">
        <v>1.79</v>
      </c>
      <c r="AF69" s="1">
        <v>1</v>
      </c>
      <c r="AG69" s="1">
        <v>1.55</v>
      </c>
      <c r="AH69" s="1">
        <v>1</v>
      </c>
      <c r="AI69" s="1">
        <v>3.8</v>
      </c>
      <c r="AJ69" s="1">
        <v>1</v>
      </c>
      <c r="AK69" s="1">
        <v>0</v>
      </c>
      <c r="AL69" s="1">
        <v>1</v>
      </c>
      <c r="AM69" s="1">
        <v>1</v>
      </c>
      <c r="AN69" s="1">
        <v>2.8</v>
      </c>
    </row>
    <row r="70" spans="1:40">
      <c r="A70" s="1">
        <v>216</v>
      </c>
      <c r="C70" s="1">
        <v>1.8460000000000001</v>
      </c>
      <c r="D70" s="1">
        <v>1.8460000000000001</v>
      </c>
      <c r="E70" s="1">
        <v>1.8460000000000001</v>
      </c>
      <c r="F70" s="1">
        <v>1.8460000000000001</v>
      </c>
      <c r="G70" s="1">
        <v>1.64</v>
      </c>
      <c r="H70" s="1">
        <v>1</v>
      </c>
      <c r="I70" s="1">
        <v>1</v>
      </c>
      <c r="J70" s="1">
        <v>0.92</v>
      </c>
      <c r="K70" s="1">
        <v>2.54</v>
      </c>
      <c r="L70" s="1">
        <v>1.58</v>
      </c>
      <c r="M70" s="1">
        <v>1.58</v>
      </c>
      <c r="N70" s="1">
        <v>1</v>
      </c>
      <c r="O70" s="1">
        <v>1</v>
      </c>
      <c r="P70" s="1">
        <v>1</v>
      </c>
      <c r="Q70" s="1">
        <v>1</v>
      </c>
      <c r="R70" s="1">
        <v>1</v>
      </c>
      <c r="S70" s="1">
        <v>1</v>
      </c>
      <c r="T70" s="1">
        <v>1</v>
      </c>
      <c r="U70" s="1">
        <v>1</v>
      </c>
      <c r="V70" s="1">
        <v>1.07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16</v>
      </c>
      <c r="AD70" s="1">
        <v>16</v>
      </c>
      <c r="AE70" s="1">
        <v>1.8460000000000001</v>
      </c>
      <c r="AF70" s="1">
        <v>1</v>
      </c>
      <c r="AG70" s="1">
        <v>1.58</v>
      </c>
      <c r="AH70" s="1">
        <v>1</v>
      </c>
      <c r="AI70" s="1">
        <v>4</v>
      </c>
      <c r="AJ70" s="1">
        <v>1</v>
      </c>
      <c r="AK70" s="1">
        <v>0</v>
      </c>
      <c r="AL70" s="1">
        <v>1</v>
      </c>
      <c r="AM70" s="1">
        <v>1</v>
      </c>
      <c r="AN70" s="1">
        <v>2.92</v>
      </c>
    </row>
    <row r="71" spans="1:40">
      <c r="A71" s="1">
        <v>217</v>
      </c>
      <c r="C71" s="1">
        <v>1.9019999999999999</v>
      </c>
      <c r="D71" s="1">
        <v>1.9019999999999999</v>
      </c>
      <c r="E71" s="1">
        <v>1.9019999999999999</v>
      </c>
      <c r="F71" s="1">
        <v>1.9019999999999999</v>
      </c>
      <c r="G71" s="1">
        <v>1.68</v>
      </c>
      <c r="H71" s="1">
        <v>1</v>
      </c>
      <c r="I71" s="1">
        <v>1</v>
      </c>
      <c r="J71" s="1">
        <v>0.94</v>
      </c>
      <c r="K71" s="1">
        <v>2.58</v>
      </c>
      <c r="L71" s="1">
        <v>1.61</v>
      </c>
      <c r="M71" s="1">
        <v>1.61</v>
      </c>
      <c r="N71" s="1">
        <v>1</v>
      </c>
      <c r="O71" s="1">
        <v>1</v>
      </c>
      <c r="P71" s="1">
        <v>1</v>
      </c>
      <c r="Q71" s="1">
        <v>1</v>
      </c>
      <c r="R71" s="1">
        <v>1</v>
      </c>
      <c r="S71" s="1">
        <v>1</v>
      </c>
      <c r="T71" s="1">
        <v>1</v>
      </c>
      <c r="U71" s="1">
        <v>1</v>
      </c>
      <c r="V71" s="1">
        <v>1.07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17</v>
      </c>
      <c r="AD71" s="1">
        <v>17</v>
      </c>
      <c r="AE71" s="1">
        <v>1.9019999999999999</v>
      </c>
      <c r="AF71" s="1">
        <v>1</v>
      </c>
      <c r="AG71" s="1">
        <v>1.61</v>
      </c>
      <c r="AH71" s="1">
        <v>1</v>
      </c>
      <c r="AI71" s="1">
        <v>4.2</v>
      </c>
      <c r="AJ71" s="1">
        <v>1</v>
      </c>
      <c r="AK71" s="1">
        <v>0</v>
      </c>
      <c r="AL71" s="1">
        <v>1</v>
      </c>
      <c r="AM71" s="1">
        <v>1</v>
      </c>
      <c r="AN71" s="1">
        <v>3.04</v>
      </c>
    </row>
    <row r="72" spans="1:40">
      <c r="A72" s="1">
        <v>218</v>
      </c>
      <c r="C72" s="1">
        <v>1.958</v>
      </c>
      <c r="D72" s="1">
        <v>1.958</v>
      </c>
      <c r="E72" s="1">
        <v>1.958</v>
      </c>
      <c r="F72" s="1">
        <v>1.958</v>
      </c>
      <c r="G72" s="1">
        <v>1.72</v>
      </c>
      <c r="H72" s="1">
        <v>1</v>
      </c>
      <c r="I72" s="1">
        <v>1</v>
      </c>
      <c r="J72" s="1">
        <v>0.96</v>
      </c>
      <c r="K72" s="1">
        <v>2.62</v>
      </c>
      <c r="L72" s="1">
        <v>1.64</v>
      </c>
      <c r="M72" s="1">
        <v>1.64</v>
      </c>
      <c r="N72" s="1">
        <v>1</v>
      </c>
      <c r="O72" s="1">
        <v>1</v>
      </c>
      <c r="P72" s="1">
        <v>1</v>
      </c>
      <c r="Q72" s="1">
        <v>1</v>
      </c>
      <c r="R72" s="1">
        <v>1</v>
      </c>
      <c r="S72" s="1">
        <v>1</v>
      </c>
      <c r="T72" s="1">
        <v>1</v>
      </c>
      <c r="U72" s="1">
        <v>1</v>
      </c>
      <c r="V72" s="1">
        <v>1.07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18</v>
      </c>
      <c r="AD72" s="1">
        <v>18</v>
      </c>
      <c r="AE72" s="1">
        <v>1.958</v>
      </c>
      <c r="AF72" s="1">
        <v>1</v>
      </c>
      <c r="AG72" s="1">
        <v>1.64</v>
      </c>
      <c r="AH72" s="1">
        <v>1</v>
      </c>
      <c r="AI72" s="1">
        <v>4.4000000000000004</v>
      </c>
      <c r="AJ72" s="1">
        <v>1</v>
      </c>
      <c r="AK72" s="1">
        <v>0</v>
      </c>
      <c r="AL72" s="1">
        <v>1</v>
      </c>
      <c r="AM72" s="1">
        <v>1</v>
      </c>
      <c r="AN72" s="1">
        <v>3.16</v>
      </c>
    </row>
    <row r="73" spans="1:40">
      <c r="A73" s="1">
        <v>219</v>
      </c>
      <c r="C73" s="1">
        <v>2.0139999999999998</v>
      </c>
      <c r="D73" s="1">
        <v>2.0139999999999998</v>
      </c>
      <c r="E73" s="1">
        <v>2.0139999999999998</v>
      </c>
      <c r="F73" s="1">
        <v>2.0139999999999998</v>
      </c>
      <c r="G73" s="1">
        <v>1.76</v>
      </c>
      <c r="H73" s="1">
        <v>1</v>
      </c>
      <c r="I73" s="1">
        <v>1</v>
      </c>
      <c r="J73" s="1">
        <v>0.98</v>
      </c>
      <c r="K73" s="1">
        <v>2.66</v>
      </c>
      <c r="L73" s="1">
        <v>1.67</v>
      </c>
      <c r="M73" s="1">
        <v>1.67</v>
      </c>
      <c r="N73" s="1">
        <v>1</v>
      </c>
      <c r="O73" s="1">
        <v>1</v>
      </c>
      <c r="P73" s="1">
        <v>1</v>
      </c>
      <c r="Q73" s="1">
        <v>1</v>
      </c>
      <c r="R73" s="1">
        <v>1</v>
      </c>
      <c r="S73" s="1">
        <v>1</v>
      </c>
      <c r="T73" s="1">
        <v>1</v>
      </c>
      <c r="U73" s="1">
        <v>1</v>
      </c>
      <c r="V73" s="1">
        <v>1.08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19</v>
      </c>
      <c r="AD73" s="1">
        <v>19</v>
      </c>
      <c r="AE73" s="1">
        <v>2.0139999999999998</v>
      </c>
      <c r="AF73" s="1">
        <v>1</v>
      </c>
      <c r="AG73" s="1">
        <v>1.67</v>
      </c>
      <c r="AH73" s="1">
        <v>1</v>
      </c>
      <c r="AI73" s="1">
        <v>4.5999999999999996</v>
      </c>
      <c r="AJ73" s="1">
        <v>1</v>
      </c>
      <c r="AK73" s="1">
        <v>0</v>
      </c>
      <c r="AL73" s="1">
        <v>1</v>
      </c>
      <c r="AM73" s="1">
        <v>1</v>
      </c>
      <c r="AN73" s="1">
        <v>3.28</v>
      </c>
    </row>
    <row r="74" spans="1:40">
      <c r="A74" s="1">
        <v>220</v>
      </c>
      <c r="C74" s="1">
        <v>2.0699999999999998</v>
      </c>
      <c r="D74" s="1">
        <v>2.0699999999999998</v>
      </c>
      <c r="E74" s="1">
        <v>2.0699999999999998</v>
      </c>
      <c r="F74" s="1">
        <v>2.0699999999999998</v>
      </c>
      <c r="G74" s="1">
        <v>1.8</v>
      </c>
      <c r="H74" s="1">
        <v>1</v>
      </c>
      <c r="I74" s="1">
        <v>1</v>
      </c>
      <c r="J74" s="1">
        <v>1</v>
      </c>
      <c r="K74" s="1">
        <v>2.7</v>
      </c>
      <c r="L74" s="1">
        <v>1.7</v>
      </c>
      <c r="M74" s="1">
        <v>1.7</v>
      </c>
      <c r="N74" s="1">
        <v>1</v>
      </c>
      <c r="O74" s="1">
        <v>1</v>
      </c>
      <c r="P74" s="1">
        <v>1</v>
      </c>
      <c r="Q74" s="1">
        <v>1</v>
      </c>
      <c r="R74" s="1">
        <v>1</v>
      </c>
      <c r="S74" s="1">
        <v>1</v>
      </c>
      <c r="T74" s="1">
        <v>1</v>
      </c>
      <c r="U74" s="1">
        <v>1</v>
      </c>
      <c r="V74" s="1">
        <v>1.08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20</v>
      </c>
      <c r="AD74" s="1">
        <v>20</v>
      </c>
      <c r="AE74" s="1">
        <v>2.0699999999999998</v>
      </c>
      <c r="AF74" s="1">
        <v>1</v>
      </c>
      <c r="AG74" s="1">
        <v>1.7</v>
      </c>
      <c r="AH74" s="1">
        <v>1</v>
      </c>
      <c r="AI74" s="1">
        <v>4.8</v>
      </c>
      <c r="AJ74" s="1">
        <v>1</v>
      </c>
      <c r="AK74" s="1">
        <v>0</v>
      </c>
      <c r="AL74" s="1">
        <v>1</v>
      </c>
      <c r="AM74" s="1">
        <v>1</v>
      </c>
      <c r="AN74" s="1">
        <v>3.4</v>
      </c>
    </row>
    <row r="75" spans="1:40">
      <c r="A75" s="1">
        <v>221</v>
      </c>
      <c r="C75" s="1">
        <v>2.1259999999999999</v>
      </c>
      <c r="D75" s="1">
        <v>2.1259999999999999</v>
      </c>
      <c r="E75" s="1">
        <v>2.1259999999999999</v>
      </c>
      <c r="F75" s="1">
        <v>2.1259999999999999</v>
      </c>
      <c r="G75" s="1">
        <v>1.84</v>
      </c>
      <c r="H75" s="1">
        <v>1</v>
      </c>
      <c r="I75" s="1">
        <v>1</v>
      </c>
      <c r="J75" s="1">
        <v>1.06</v>
      </c>
      <c r="K75" s="1">
        <v>2.72</v>
      </c>
      <c r="L75" s="1">
        <v>1.72</v>
      </c>
      <c r="M75" s="1">
        <v>1.72</v>
      </c>
      <c r="N75" s="1">
        <v>1</v>
      </c>
      <c r="O75" s="1">
        <v>1</v>
      </c>
      <c r="P75" s="1">
        <v>1</v>
      </c>
      <c r="Q75" s="1">
        <v>1</v>
      </c>
      <c r="R75" s="1">
        <v>1</v>
      </c>
      <c r="S75" s="1">
        <v>1</v>
      </c>
      <c r="T75" s="1">
        <v>1</v>
      </c>
      <c r="U75" s="1">
        <v>1</v>
      </c>
      <c r="V75" s="1">
        <v>1.08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21</v>
      </c>
      <c r="AD75" s="1">
        <v>21</v>
      </c>
      <c r="AE75" s="1">
        <v>2.1259999999999999</v>
      </c>
      <c r="AF75" s="1">
        <v>1</v>
      </c>
      <c r="AG75" s="1">
        <v>1.72</v>
      </c>
      <c r="AH75" s="1">
        <v>1</v>
      </c>
      <c r="AI75" s="1">
        <v>5</v>
      </c>
      <c r="AJ75" s="1">
        <v>1</v>
      </c>
      <c r="AK75" s="1">
        <v>0</v>
      </c>
      <c r="AL75" s="1">
        <v>1</v>
      </c>
      <c r="AM75" s="1">
        <v>1</v>
      </c>
      <c r="AN75" s="1">
        <v>3.52</v>
      </c>
    </row>
    <row r="76" spans="1:40">
      <c r="A76" s="1">
        <v>222</v>
      </c>
      <c r="C76" s="1">
        <v>2.1819999999999999</v>
      </c>
      <c r="D76" s="1">
        <v>2.1819999999999999</v>
      </c>
      <c r="E76" s="1">
        <v>2.1819999999999999</v>
      </c>
      <c r="F76" s="1">
        <v>2.1819999999999999</v>
      </c>
      <c r="G76" s="1">
        <v>1.88</v>
      </c>
      <c r="H76" s="1">
        <v>1</v>
      </c>
      <c r="I76" s="1">
        <v>1</v>
      </c>
      <c r="J76" s="1">
        <v>1.1200000000000001</v>
      </c>
      <c r="K76" s="1">
        <v>2.74</v>
      </c>
      <c r="L76" s="1">
        <v>1.74</v>
      </c>
      <c r="M76" s="1">
        <v>1.74</v>
      </c>
      <c r="N76" s="1">
        <v>1</v>
      </c>
      <c r="O76" s="1">
        <v>1</v>
      </c>
      <c r="P76" s="1">
        <v>1</v>
      </c>
      <c r="Q76" s="1">
        <v>1</v>
      </c>
      <c r="R76" s="1">
        <v>1</v>
      </c>
      <c r="S76" s="1">
        <v>1</v>
      </c>
      <c r="T76" s="1">
        <v>1</v>
      </c>
      <c r="U76" s="1">
        <v>1</v>
      </c>
      <c r="V76" s="1">
        <v>1.0900000000000001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22</v>
      </c>
      <c r="AD76" s="1">
        <v>22</v>
      </c>
      <c r="AE76" s="1">
        <v>2.1819999999999999</v>
      </c>
      <c r="AF76" s="1">
        <v>1</v>
      </c>
      <c r="AG76" s="1">
        <v>1.74</v>
      </c>
      <c r="AH76" s="1">
        <v>1</v>
      </c>
      <c r="AI76" s="1">
        <v>5.2</v>
      </c>
      <c r="AJ76" s="1">
        <v>1</v>
      </c>
      <c r="AK76" s="1">
        <v>0</v>
      </c>
      <c r="AL76" s="1">
        <v>1</v>
      </c>
      <c r="AM76" s="1">
        <v>1</v>
      </c>
      <c r="AN76" s="1">
        <v>3.64</v>
      </c>
    </row>
    <row r="77" spans="1:40">
      <c r="A77" s="1">
        <v>223</v>
      </c>
      <c r="C77" s="1">
        <v>2.238</v>
      </c>
      <c r="D77" s="1">
        <v>2.238</v>
      </c>
      <c r="E77" s="1">
        <v>2.238</v>
      </c>
      <c r="F77" s="1">
        <v>2.238</v>
      </c>
      <c r="G77" s="1">
        <v>1.92</v>
      </c>
      <c r="H77" s="1">
        <v>1</v>
      </c>
      <c r="I77" s="1">
        <v>1</v>
      </c>
      <c r="J77" s="1">
        <v>1.18</v>
      </c>
      <c r="K77" s="1">
        <v>2.76</v>
      </c>
      <c r="L77" s="1">
        <v>1.76</v>
      </c>
      <c r="M77" s="1">
        <v>1.76</v>
      </c>
      <c r="N77" s="1">
        <v>1</v>
      </c>
      <c r="O77" s="1">
        <v>1</v>
      </c>
      <c r="P77" s="1">
        <v>1</v>
      </c>
      <c r="Q77" s="1">
        <v>1</v>
      </c>
      <c r="R77" s="1">
        <v>1</v>
      </c>
      <c r="S77" s="1">
        <v>1</v>
      </c>
      <c r="T77" s="1">
        <v>1</v>
      </c>
      <c r="U77" s="1">
        <v>1</v>
      </c>
      <c r="V77" s="1">
        <v>1.0900000000000001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23</v>
      </c>
      <c r="AD77" s="1">
        <v>23</v>
      </c>
      <c r="AE77" s="1">
        <v>2.238</v>
      </c>
      <c r="AF77" s="1">
        <v>1</v>
      </c>
      <c r="AG77" s="1">
        <v>1.76</v>
      </c>
      <c r="AH77" s="1">
        <v>1</v>
      </c>
      <c r="AI77" s="1">
        <v>5.4</v>
      </c>
      <c r="AJ77" s="1">
        <v>1</v>
      </c>
      <c r="AK77" s="1">
        <v>0</v>
      </c>
      <c r="AL77" s="1">
        <v>1</v>
      </c>
      <c r="AM77" s="1">
        <v>1</v>
      </c>
      <c r="AN77" s="1">
        <v>3.76</v>
      </c>
    </row>
    <row r="78" spans="1:40">
      <c r="A78" s="1">
        <v>224</v>
      </c>
      <c r="C78" s="1">
        <v>2.294</v>
      </c>
      <c r="D78" s="1">
        <v>2.294</v>
      </c>
      <c r="E78" s="1">
        <v>2.294</v>
      </c>
      <c r="F78" s="1">
        <v>2.294</v>
      </c>
      <c r="G78" s="1">
        <v>1.96</v>
      </c>
      <c r="H78" s="1">
        <v>1</v>
      </c>
      <c r="I78" s="1">
        <v>1</v>
      </c>
      <c r="J78" s="1">
        <v>1.24</v>
      </c>
      <c r="K78" s="1">
        <v>2.78</v>
      </c>
      <c r="L78" s="1">
        <v>1.78</v>
      </c>
      <c r="M78" s="1">
        <v>1.78</v>
      </c>
      <c r="N78" s="1">
        <v>1</v>
      </c>
      <c r="O78" s="1">
        <v>1</v>
      </c>
      <c r="P78" s="1">
        <v>1</v>
      </c>
      <c r="Q78" s="1">
        <v>1</v>
      </c>
      <c r="R78" s="1">
        <v>1</v>
      </c>
      <c r="S78" s="1">
        <v>1</v>
      </c>
      <c r="T78" s="1">
        <v>1</v>
      </c>
      <c r="U78" s="1">
        <v>1</v>
      </c>
      <c r="V78" s="1">
        <v>1.0900000000000001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24</v>
      </c>
      <c r="AD78" s="1">
        <v>24</v>
      </c>
      <c r="AE78" s="1">
        <v>2.294</v>
      </c>
      <c r="AF78" s="1">
        <v>1</v>
      </c>
      <c r="AG78" s="1">
        <v>1.78</v>
      </c>
      <c r="AH78" s="1">
        <v>1</v>
      </c>
      <c r="AI78" s="1">
        <v>5.6</v>
      </c>
      <c r="AJ78" s="1">
        <v>1</v>
      </c>
      <c r="AK78" s="1">
        <v>0</v>
      </c>
      <c r="AL78" s="1">
        <v>1</v>
      </c>
      <c r="AM78" s="1">
        <v>1</v>
      </c>
      <c r="AN78" s="1">
        <v>3.88</v>
      </c>
    </row>
    <row r="79" spans="1:40">
      <c r="A79" s="1">
        <v>225</v>
      </c>
      <c r="C79" s="1">
        <v>2.35</v>
      </c>
      <c r="D79" s="1">
        <v>2.35</v>
      </c>
      <c r="E79" s="1">
        <v>2.35</v>
      </c>
      <c r="F79" s="1">
        <v>2.35</v>
      </c>
      <c r="G79" s="1">
        <v>2</v>
      </c>
      <c r="H79" s="1">
        <v>1</v>
      </c>
      <c r="I79" s="1">
        <v>1</v>
      </c>
      <c r="J79" s="1">
        <v>1.3</v>
      </c>
      <c r="K79" s="1">
        <v>2.8</v>
      </c>
      <c r="L79" s="1">
        <v>1.8</v>
      </c>
      <c r="M79" s="1">
        <v>1.8</v>
      </c>
      <c r="N79" s="1">
        <v>1</v>
      </c>
      <c r="O79" s="1">
        <v>1</v>
      </c>
      <c r="P79" s="1">
        <v>1</v>
      </c>
      <c r="Q79" s="1">
        <v>1</v>
      </c>
      <c r="R79" s="1">
        <v>1</v>
      </c>
      <c r="S79" s="1">
        <v>1</v>
      </c>
      <c r="T79" s="1">
        <v>1</v>
      </c>
      <c r="U79" s="1">
        <v>1</v>
      </c>
      <c r="V79" s="1">
        <v>1.1000000000000001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25</v>
      </c>
      <c r="AD79" s="1">
        <v>25</v>
      </c>
      <c r="AE79" s="1">
        <v>2.35</v>
      </c>
      <c r="AF79" s="1">
        <v>1</v>
      </c>
      <c r="AG79" s="1">
        <v>1.8</v>
      </c>
      <c r="AH79" s="1">
        <v>1</v>
      </c>
      <c r="AI79" s="1">
        <v>5.8</v>
      </c>
      <c r="AJ79" s="1">
        <v>1</v>
      </c>
      <c r="AK79" s="1">
        <v>0</v>
      </c>
      <c r="AL79" s="1">
        <v>1</v>
      </c>
      <c r="AM79" s="1">
        <v>1</v>
      </c>
      <c r="AN79" s="1">
        <v>4</v>
      </c>
    </row>
    <row r="80" spans="1:40">
      <c r="A80" s="1">
        <v>300</v>
      </c>
      <c r="C80" s="1">
        <v>0.9</v>
      </c>
      <c r="D80" s="1">
        <v>0.9</v>
      </c>
      <c r="E80" s="1">
        <v>0.9</v>
      </c>
      <c r="F80" s="1">
        <v>0.9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0.9</v>
      </c>
      <c r="AF80" s="1">
        <v>1</v>
      </c>
      <c r="AG80" s="1">
        <v>1</v>
      </c>
      <c r="AH80" s="1">
        <v>1</v>
      </c>
      <c r="AI80" s="1">
        <v>1</v>
      </c>
      <c r="AJ80" s="1">
        <v>1</v>
      </c>
      <c r="AK80" s="1">
        <v>0</v>
      </c>
      <c r="AL80" s="1">
        <v>1</v>
      </c>
      <c r="AM80" s="1">
        <v>1</v>
      </c>
      <c r="AN80" s="1">
        <v>1</v>
      </c>
    </row>
    <row r="81" spans="1:40">
      <c r="A81" s="1">
        <v>301</v>
      </c>
      <c r="C81" s="1">
        <v>0.94599999999999995</v>
      </c>
      <c r="D81" s="1">
        <v>0.94599999999999995</v>
      </c>
      <c r="E81" s="1">
        <v>0.94599999999999995</v>
      </c>
      <c r="F81" s="1">
        <v>0.94599999999999995</v>
      </c>
      <c r="G81" s="1">
        <v>1.04</v>
      </c>
      <c r="H81" s="1">
        <v>1</v>
      </c>
      <c r="I81" s="1">
        <v>1</v>
      </c>
      <c r="J81" s="1">
        <v>1.05</v>
      </c>
      <c r="K81" s="1">
        <v>1.05</v>
      </c>
      <c r="L81" s="1">
        <v>1.04</v>
      </c>
      <c r="M81" s="1">
        <v>1.04</v>
      </c>
      <c r="N81" s="1">
        <v>1</v>
      </c>
      <c r="O81" s="1">
        <v>1</v>
      </c>
      <c r="P81" s="1">
        <v>1</v>
      </c>
      <c r="Q81" s="1">
        <v>1</v>
      </c>
      <c r="R81" s="1">
        <v>1</v>
      </c>
      <c r="S81" s="1">
        <v>1</v>
      </c>
      <c r="T81" s="1">
        <v>1</v>
      </c>
      <c r="U81" s="1">
        <v>1</v>
      </c>
      <c r="V81" s="1">
        <v>1.01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1</v>
      </c>
      <c r="AD81" s="1">
        <v>1</v>
      </c>
      <c r="AE81" s="1">
        <v>0.94599999999999995</v>
      </c>
      <c r="AF81" s="1">
        <v>1</v>
      </c>
      <c r="AG81" s="1">
        <v>1.04</v>
      </c>
      <c r="AH81" s="1">
        <v>1</v>
      </c>
      <c r="AI81" s="1">
        <v>1</v>
      </c>
      <c r="AJ81" s="1">
        <v>1</v>
      </c>
      <c r="AK81" s="1">
        <v>0</v>
      </c>
      <c r="AL81" s="1">
        <v>1</v>
      </c>
      <c r="AM81" s="1">
        <v>1</v>
      </c>
      <c r="AN81" s="1">
        <v>1.1200000000000001</v>
      </c>
    </row>
    <row r="82" spans="1:40">
      <c r="A82" s="1">
        <v>302</v>
      </c>
      <c r="C82" s="1">
        <v>0.99199999999999999</v>
      </c>
      <c r="D82" s="1">
        <v>0.99199999999999999</v>
      </c>
      <c r="E82" s="1">
        <v>0.99199999999999999</v>
      </c>
      <c r="F82" s="1">
        <v>0.99199999999999999</v>
      </c>
      <c r="G82" s="1">
        <v>1.08</v>
      </c>
      <c r="H82" s="1">
        <v>1</v>
      </c>
      <c r="I82" s="1">
        <v>1</v>
      </c>
      <c r="J82" s="1">
        <v>1.1000000000000001</v>
      </c>
      <c r="K82" s="1">
        <v>1.1000000000000001</v>
      </c>
      <c r="L82" s="1">
        <v>1.08</v>
      </c>
      <c r="M82" s="1">
        <v>1.08</v>
      </c>
      <c r="N82" s="1">
        <v>1</v>
      </c>
      <c r="O82" s="1">
        <v>1</v>
      </c>
      <c r="P82" s="1">
        <v>1</v>
      </c>
      <c r="Q82" s="1">
        <v>1</v>
      </c>
      <c r="R82" s="1">
        <v>1</v>
      </c>
      <c r="S82" s="1">
        <v>1</v>
      </c>
      <c r="T82" s="1">
        <v>1</v>
      </c>
      <c r="U82" s="1">
        <v>1</v>
      </c>
      <c r="V82" s="1">
        <v>1.01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2</v>
      </c>
      <c r="AD82" s="1">
        <v>2</v>
      </c>
      <c r="AE82" s="1">
        <v>0.99199999999999999</v>
      </c>
      <c r="AF82" s="1">
        <v>1</v>
      </c>
      <c r="AG82" s="1">
        <v>1.08</v>
      </c>
      <c r="AH82" s="1">
        <v>1</v>
      </c>
      <c r="AI82" s="1">
        <v>1.2</v>
      </c>
      <c r="AJ82" s="1">
        <v>1</v>
      </c>
      <c r="AK82" s="1">
        <v>0</v>
      </c>
      <c r="AL82" s="1">
        <v>1</v>
      </c>
      <c r="AM82" s="1">
        <v>1</v>
      </c>
      <c r="AN82" s="1">
        <v>1.24</v>
      </c>
    </row>
    <row r="83" spans="1:40">
      <c r="A83" s="1">
        <v>303</v>
      </c>
      <c r="C83" s="1">
        <v>1.038</v>
      </c>
      <c r="D83" s="1">
        <v>1.038</v>
      </c>
      <c r="E83" s="1">
        <v>1.038</v>
      </c>
      <c r="F83" s="1">
        <v>1.038</v>
      </c>
      <c r="G83" s="1">
        <v>1.1200000000000001</v>
      </c>
      <c r="H83" s="1">
        <v>1</v>
      </c>
      <c r="I83" s="1">
        <v>1</v>
      </c>
      <c r="J83" s="1">
        <v>1.1499999999999999</v>
      </c>
      <c r="K83" s="1">
        <v>1.1499999999999999</v>
      </c>
      <c r="L83" s="1">
        <v>1.1200000000000001</v>
      </c>
      <c r="M83" s="1">
        <v>1.1200000000000001</v>
      </c>
      <c r="N83" s="1">
        <v>1</v>
      </c>
      <c r="O83" s="1">
        <v>1</v>
      </c>
      <c r="P83" s="1">
        <v>1</v>
      </c>
      <c r="Q83" s="1">
        <v>1</v>
      </c>
      <c r="R83" s="1">
        <v>1</v>
      </c>
      <c r="S83" s="1">
        <v>1</v>
      </c>
      <c r="T83" s="1">
        <v>1</v>
      </c>
      <c r="U83" s="1">
        <v>1</v>
      </c>
      <c r="V83" s="1">
        <v>1.02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3</v>
      </c>
      <c r="AD83" s="1">
        <v>3</v>
      </c>
      <c r="AE83" s="1">
        <v>1.038</v>
      </c>
      <c r="AF83" s="1">
        <v>1</v>
      </c>
      <c r="AG83" s="1">
        <v>1.1200000000000001</v>
      </c>
      <c r="AH83" s="1">
        <v>1</v>
      </c>
      <c r="AI83" s="1">
        <v>1.4</v>
      </c>
      <c r="AJ83" s="1">
        <v>1</v>
      </c>
      <c r="AK83" s="1">
        <v>0</v>
      </c>
      <c r="AL83" s="1">
        <v>1</v>
      </c>
      <c r="AM83" s="1">
        <v>1</v>
      </c>
      <c r="AN83" s="1">
        <v>1.36</v>
      </c>
    </row>
    <row r="84" spans="1:40">
      <c r="A84" s="1">
        <v>304</v>
      </c>
      <c r="C84" s="1">
        <v>1.0840000000000001</v>
      </c>
      <c r="D84" s="1">
        <v>1.0840000000000001</v>
      </c>
      <c r="E84" s="1">
        <v>1.0840000000000001</v>
      </c>
      <c r="F84" s="1">
        <v>1.0840000000000001</v>
      </c>
      <c r="G84" s="1">
        <v>1.1599999999999999</v>
      </c>
      <c r="H84" s="1">
        <v>1</v>
      </c>
      <c r="I84" s="1">
        <v>1</v>
      </c>
      <c r="J84" s="1">
        <v>1.2</v>
      </c>
      <c r="K84" s="1">
        <v>1.2</v>
      </c>
      <c r="L84" s="1">
        <v>1.1599999999999999</v>
      </c>
      <c r="M84" s="1">
        <v>1.1599999999999999</v>
      </c>
      <c r="N84" s="1">
        <v>1</v>
      </c>
      <c r="O84" s="1">
        <v>1</v>
      </c>
      <c r="P84" s="1">
        <v>1</v>
      </c>
      <c r="Q84" s="1">
        <v>1</v>
      </c>
      <c r="R84" s="1">
        <v>1</v>
      </c>
      <c r="S84" s="1">
        <v>1</v>
      </c>
      <c r="T84" s="1">
        <v>1</v>
      </c>
      <c r="U84" s="1">
        <v>1</v>
      </c>
      <c r="V84" s="1">
        <v>1.02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4</v>
      </c>
      <c r="AE84" s="1">
        <v>1.0840000000000001</v>
      </c>
      <c r="AF84" s="1">
        <v>1</v>
      </c>
      <c r="AG84" s="1">
        <v>1.1599999999999999</v>
      </c>
      <c r="AH84" s="1">
        <v>1</v>
      </c>
      <c r="AI84" s="1">
        <v>1.6</v>
      </c>
      <c r="AJ84" s="1">
        <v>1</v>
      </c>
      <c r="AK84" s="1">
        <v>0</v>
      </c>
      <c r="AL84" s="1">
        <v>1</v>
      </c>
      <c r="AM84" s="1">
        <v>1</v>
      </c>
      <c r="AN84" s="1">
        <v>1.48</v>
      </c>
    </row>
    <row r="85" spans="1:40">
      <c r="A85" s="1">
        <v>305</v>
      </c>
      <c r="C85" s="1">
        <v>1.1299999999999999</v>
      </c>
      <c r="D85" s="1">
        <v>1.1299999999999999</v>
      </c>
      <c r="E85" s="1">
        <v>1.1299999999999999</v>
      </c>
      <c r="F85" s="1">
        <v>1.1299999999999999</v>
      </c>
      <c r="G85" s="1">
        <v>1.2</v>
      </c>
      <c r="H85" s="1">
        <v>1</v>
      </c>
      <c r="I85" s="1">
        <v>1</v>
      </c>
      <c r="J85" s="1">
        <v>1.25</v>
      </c>
      <c r="K85" s="1">
        <v>1.25</v>
      </c>
      <c r="L85" s="1">
        <v>1.2</v>
      </c>
      <c r="M85" s="1">
        <v>1.2</v>
      </c>
      <c r="N85" s="1">
        <v>1</v>
      </c>
      <c r="O85" s="1">
        <v>1</v>
      </c>
      <c r="P85" s="1">
        <v>1</v>
      </c>
      <c r="Q85" s="1">
        <v>1</v>
      </c>
      <c r="R85" s="1">
        <v>1</v>
      </c>
      <c r="S85" s="1">
        <v>1</v>
      </c>
      <c r="T85" s="1">
        <v>1</v>
      </c>
      <c r="U85" s="1">
        <v>1</v>
      </c>
      <c r="V85" s="1">
        <v>1.03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5</v>
      </c>
      <c r="AD85" s="1">
        <v>5</v>
      </c>
      <c r="AE85" s="1">
        <v>1.1299999999999999</v>
      </c>
      <c r="AF85" s="1">
        <v>1</v>
      </c>
      <c r="AG85" s="1">
        <v>1.2</v>
      </c>
      <c r="AH85" s="1">
        <v>1</v>
      </c>
      <c r="AI85" s="1">
        <v>1.8</v>
      </c>
      <c r="AJ85" s="1">
        <v>1</v>
      </c>
      <c r="AK85" s="1">
        <v>0</v>
      </c>
      <c r="AL85" s="1">
        <v>1</v>
      </c>
      <c r="AM85" s="1">
        <v>1</v>
      </c>
      <c r="AN85" s="1">
        <v>1.6</v>
      </c>
    </row>
    <row r="86" spans="1:40">
      <c r="A86" s="1">
        <v>306</v>
      </c>
      <c r="C86" s="1">
        <v>1.1759999999999999</v>
      </c>
      <c r="D86" s="1">
        <v>1.1759999999999999</v>
      </c>
      <c r="E86" s="1">
        <v>1.1759999999999999</v>
      </c>
      <c r="F86" s="1">
        <v>1.1759999999999999</v>
      </c>
      <c r="G86" s="1">
        <v>1.24</v>
      </c>
      <c r="H86" s="1">
        <v>1</v>
      </c>
      <c r="I86" s="1">
        <v>1</v>
      </c>
      <c r="J86" s="1">
        <v>1.3</v>
      </c>
      <c r="K86" s="1">
        <v>1.3</v>
      </c>
      <c r="L86" s="1">
        <v>1.24</v>
      </c>
      <c r="M86" s="1">
        <v>1.24</v>
      </c>
      <c r="N86" s="1">
        <v>1</v>
      </c>
      <c r="O86" s="1">
        <v>1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U86" s="1">
        <v>1</v>
      </c>
      <c r="V86" s="1">
        <v>1.03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6</v>
      </c>
      <c r="AD86" s="1">
        <v>6</v>
      </c>
      <c r="AE86" s="1">
        <v>1.1759999999999999</v>
      </c>
      <c r="AF86" s="1">
        <v>1</v>
      </c>
      <c r="AG86" s="1">
        <v>1.24</v>
      </c>
      <c r="AH86" s="1">
        <v>1</v>
      </c>
      <c r="AI86" s="1">
        <v>2</v>
      </c>
      <c r="AJ86" s="1">
        <v>1</v>
      </c>
      <c r="AK86" s="1">
        <v>0</v>
      </c>
      <c r="AL86" s="1">
        <v>1</v>
      </c>
      <c r="AM86" s="1">
        <v>1</v>
      </c>
      <c r="AN86" s="1">
        <v>1.72</v>
      </c>
    </row>
    <row r="87" spans="1:40">
      <c r="A87" s="1">
        <v>307</v>
      </c>
      <c r="C87" s="1">
        <v>1.222</v>
      </c>
      <c r="D87" s="1">
        <v>1.222</v>
      </c>
      <c r="E87" s="1">
        <v>1.222</v>
      </c>
      <c r="F87" s="1">
        <v>1.222</v>
      </c>
      <c r="G87" s="1">
        <v>1.28</v>
      </c>
      <c r="H87" s="1">
        <v>1</v>
      </c>
      <c r="I87" s="1">
        <v>1</v>
      </c>
      <c r="J87" s="1">
        <v>1.35</v>
      </c>
      <c r="K87" s="1">
        <v>1.35</v>
      </c>
      <c r="L87" s="1">
        <v>1.28</v>
      </c>
      <c r="M87" s="1">
        <v>1.28</v>
      </c>
      <c r="N87" s="1">
        <v>1</v>
      </c>
      <c r="O87" s="1">
        <v>1</v>
      </c>
      <c r="P87" s="1">
        <v>1</v>
      </c>
      <c r="Q87" s="1">
        <v>1</v>
      </c>
      <c r="R87" s="1">
        <v>1</v>
      </c>
      <c r="S87" s="1">
        <v>1</v>
      </c>
      <c r="T87" s="1">
        <v>1</v>
      </c>
      <c r="U87" s="1">
        <v>1</v>
      </c>
      <c r="V87" s="1">
        <v>1.04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7</v>
      </c>
      <c r="AD87" s="1">
        <v>7</v>
      </c>
      <c r="AE87" s="1">
        <v>1.222</v>
      </c>
      <c r="AF87" s="1">
        <v>1</v>
      </c>
      <c r="AG87" s="1">
        <v>1.28</v>
      </c>
      <c r="AH87" s="1">
        <v>1</v>
      </c>
      <c r="AI87" s="1">
        <v>2.2000000000000002</v>
      </c>
      <c r="AJ87" s="1">
        <v>1</v>
      </c>
      <c r="AK87" s="1">
        <v>0</v>
      </c>
      <c r="AL87" s="1">
        <v>1</v>
      </c>
      <c r="AM87" s="1">
        <v>1</v>
      </c>
      <c r="AN87" s="1">
        <v>1.84</v>
      </c>
    </row>
    <row r="88" spans="1:40">
      <c r="A88" s="1">
        <v>308</v>
      </c>
      <c r="C88" s="1">
        <v>1.268</v>
      </c>
      <c r="D88" s="1">
        <v>1.268</v>
      </c>
      <c r="E88" s="1">
        <v>1.268</v>
      </c>
      <c r="F88" s="1">
        <v>1.268</v>
      </c>
      <c r="G88" s="1">
        <v>1.32</v>
      </c>
      <c r="H88" s="1">
        <v>1</v>
      </c>
      <c r="I88" s="1">
        <v>1</v>
      </c>
      <c r="J88" s="1">
        <v>1.4</v>
      </c>
      <c r="K88" s="1">
        <v>1.4</v>
      </c>
      <c r="L88" s="1">
        <v>1.32</v>
      </c>
      <c r="M88" s="1">
        <v>1.32</v>
      </c>
      <c r="N88" s="1">
        <v>1</v>
      </c>
      <c r="O88" s="1">
        <v>1</v>
      </c>
      <c r="P88" s="1">
        <v>1</v>
      </c>
      <c r="Q88" s="1">
        <v>1</v>
      </c>
      <c r="R88" s="1">
        <v>1</v>
      </c>
      <c r="S88" s="1">
        <v>1</v>
      </c>
      <c r="T88" s="1">
        <v>1</v>
      </c>
      <c r="U88" s="1">
        <v>1</v>
      </c>
      <c r="V88" s="1">
        <v>1.04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8</v>
      </c>
      <c r="AD88" s="1">
        <v>8</v>
      </c>
      <c r="AE88" s="1">
        <v>1.268</v>
      </c>
      <c r="AF88" s="1">
        <v>1</v>
      </c>
      <c r="AG88" s="1">
        <v>1.32</v>
      </c>
      <c r="AH88" s="1">
        <v>1</v>
      </c>
      <c r="AI88" s="1">
        <v>2.4</v>
      </c>
      <c r="AJ88" s="1">
        <v>1</v>
      </c>
      <c r="AK88" s="1">
        <v>0</v>
      </c>
      <c r="AL88" s="1">
        <v>1</v>
      </c>
      <c r="AM88" s="1">
        <v>1</v>
      </c>
      <c r="AN88" s="1">
        <v>1.96</v>
      </c>
    </row>
    <row r="89" spans="1:40">
      <c r="A89" s="1">
        <v>309</v>
      </c>
      <c r="C89" s="1">
        <v>1.3140000000000001</v>
      </c>
      <c r="D89" s="1">
        <v>1.3140000000000001</v>
      </c>
      <c r="E89" s="1">
        <v>1.3140000000000001</v>
      </c>
      <c r="F89" s="1">
        <v>1.3140000000000001</v>
      </c>
      <c r="G89" s="1">
        <v>1.36</v>
      </c>
      <c r="H89" s="1">
        <v>1</v>
      </c>
      <c r="I89" s="1">
        <v>1</v>
      </c>
      <c r="J89" s="1">
        <v>1.45</v>
      </c>
      <c r="K89" s="1">
        <v>1.45</v>
      </c>
      <c r="L89" s="1">
        <v>1.36</v>
      </c>
      <c r="M89" s="1">
        <v>1.36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1.04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9</v>
      </c>
      <c r="AD89" s="1">
        <v>9</v>
      </c>
      <c r="AE89" s="1">
        <v>1.3140000000000001</v>
      </c>
      <c r="AF89" s="1">
        <v>1</v>
      </c>
      <c r="AG89" s="1">
        <v>1.36</v>
      </c>
      <c r="AH89" s="1">
        <v>1</v>
      </c>
      <c r="AI89" s="1">
        <v>2.6</v>
      </c>
      <c r="AJ89" s="1">
        <v>1</v>
      </c>
      <c r="AK89" s="1">
        <v>0</v>
      </c>
      <c r="AL89" s="1">
        <v>1</v>
      </c>
      <c r="AM89" s="1">
        <v>1</v>
      </c>
      <c r="AN89" s="1">
        <v>2.08</v>
      </c>
    </row>
    <row r="90" spans="1:40">
      <c r="A90" s="1">
        <v>310</v>
      </c>
      <c r="C90" s="1">
        <v>1.36</v>
      </c>
      <c r="D90" s="1">
        <v>1.36</v>
      </c>
      <c r="E90" s="1">
        <v>1.36</v>
      </c>
      <c r="F90" s="1">
        <v>1.36</v>
      </c>
      <c r="G90" s="1">
        <v>1.4</v>
      </c>
      <c r="H90" s="1">
        <v>1</v>
      </c>
      <c r="I90" s="1">
        <v>1</v>
      </c>
      <c r="J90" s="1">
        <v>1.5</v>
      </c>
      <c r="K90" s="1">
        <v>1.5</v>
      </c>
      <c r="L90" s="1">
        <v>1.4</v>
      </c>
      <c r="M90" s="1">
        <v>1.4</v>
      </c>
      <c r="N90" s="1">
        <v>1</v>
      </c>
      <c r="O90" s="1">
        <v>1</v>
      </c>
      <c r="P90" s="1">
        <v>1</v>
      </c>
      <c r="Q90" s="1">
        <v>1</v>
      </c>
      <c r="R90" s="1">
        <v>1</v>
      </c>
      <c r="S90" s="1">
        <v>1</v>
      </c>
      <c r="T90" s="1">
        <v>1</v>
      </c>
      <c r="U90" s="1">
        <v>1</v>
      </c>
      <c r="V90" s="1">
        <v>1.05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10</v>
      </c>
      <c r="AD90" s="1">
        <v>10</v>
      </c>
      <c r="AE90" s="1">
        <v>1.36</v>
      </c>
      <c r="AF90" s="1">
        <v>1</v>
      </c>
      <c r="AG90" s="1">
        <v>1.4</v>
      </c>
      <c r="AH90" s="1">
        <v>1</v>
      </c>
      <c r="AI90" s="1">
        <v>2.8</v>
      </c>
      <c r="AJ90" s="1">
        <v>1</v>
      </c>
      <c r="AK90" s="1">
        <v>0</v>
      </c>
      <c r="AL90" s="1">
        <v>1</v>
      </c>
      <c r="AM90" s="1">
        <v>1</v>
      </c>
      <c r="AN90" s="1">
        <v>2.2000000000000002</v>
      </c>
    </row>
    <row r="91" spans="1:40">
      <c r="A91" s="1">
        <v>311</v>
      </c>
      <c r="C91" s="1">
        <v>1.4059999999999999</v>
      </c>
      <c r="D91" s="1">
        <v>1.4059999999999999</v>
      </c>
      <c r="E91" s="1">
        <v>1.4059999999999999</v>
      </c>
      <c r="F91" s="1">
        <v>1.4059999999999999</v>
      </c>
      <c r="G91" s="1">
        <v>1.44</v>
      </c>
      <c r="H91" s="1">
        <v>1</v>
      </c>
      <c r="I91" s="1">
        <v>1</v>
      </c>
      <c r="J91" s="1">
        <v>1.53</v>
      </c>
      <c r="K91" s="1">
        <v>1.53</v>
      </c>
      <c r="L91" s="1">
        <v>1.43</v>
      </c>
      <c r="M91" s="1">
        <v>1.43</v>
      </c>
      <c r="N91" s="1">
        <v>1</v>
      </c>
      <c r="O91" s="1">
        <v>1</v>
      </c>
      <c r="P91" s="1">
        <v>1</v>
      </c>
      <c r="Q91" s="1">
        <v>1</v>
      </c>
      <c r="R91" s="1">
        <v>1</v>
      </c>
      <c r="S91" s="1">
        <v>1</v>
      </c>
      <c r="T91" s="1">
        <v>1</v>
      </c>
      <c r="U91" s="1">
        <v>1</v>
      </c>
      <c r="V91" s="1">
        <v>1.05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11</v>
      </c>
      <c r="AD91" s="1">
        <v>11</v>
      </c>
      <c r="AE91" s="1">
        <v>1.4059999999999999</v>
      </c>
      <c r="AF91" s="1">
        <v>1</v>
      </c>
      <c r="AG91" s="1">
        <v>1.43</v>
      </c>
      <c r="AH91" s="1">
        <v>1</v>
      </c>
      <c r="AI91" s="1">
        <v>3</v>
      </c>
      <c r="AJ91" s="1">
        <v>1</v>
      </c>
      <c r="AK91" s="1">
        <v>0</v>
      </c>
      <c r="AL91" s="1">
        <v>1</v>
      </c>
      <c r="AM91" s="1">
        <v>1</v>
      </c>
      <c r="AN91" s="1">
        <v>2.3199999999999998</v>
      </c>
    </row>
    <row r="92" spans="1:40">
      <c r="A92" s="1">
        <v>312</v>
      </c>
      <c r="C92" s="1">
        <v>1.452</v>
      </c>
      <c r="D92" s="1">
        <v>1.452</v>
      </c>
      <c r="E92" s="1">
        <v>1.452</v>
      </c>
      <c r="F92" s="1">
        <v>1.452</v>
      </c>
      <c r="G92" s="1">
        <v>1.48</v>
      </c>
      <c r="H92" s="1">
        <v>1</v>
      </c>
      <c r="I92" s="1">
        <v>1</v>
      </c>
      <c r="J92" s="1">
        <v>1.56</v>
      </c>
      <c r="K92" s="1">
        <v>1.56</v>
      </c>
      <c r="L92" s="1">
        <v>1.46</v>
      </c>
      <c r="M92" s="1">
        <v>1.46</v>
      </c>
      <c r="N92" s="1">
        <v>1</v>
      </c>
      <c r="O92" s="1">
        <v>1</v>
      </c>
      <c r="P92" s="1">
        <v>1</v>
      </c>
      <c r="Q92" s="1">
        <v>1</v>
      </c>
      <c r="R92" s="1">
        <v>1</v>
      </c>
      <c r="S92" s="1">
        <v>1</v>
      </c>
      <c r="T92" s="1">
        <v>1</v>
      </c>
      <c r="U92" s="1">
        <v>1</v>
      </c>
      <c r="V92" s="1">
        <v>1.05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12</v>
      </c>
      <c r="AD92" s="1">
        <v>12</v>
      </c>
      <c r="AE92" s="1">
        <v>1.452</v>
      </c>
      <c r="AF92" s="1">
        <v>1</v>
      </c>
      <c r="AG92" s="1">
        <v>1.46</v>
      </c>
      <c r="AH92" s="1">
        <v>1</v>
      </c>
      <c r="AI92" s="1">
        <v>3.2</v>
      </c>
      <c r="AJ92" s="1">
        <v>1</v>
      </c>
      <c r="AK92" s="1">
        <v>0</v>
      </c>
      <c r="AL92" s="1">
        <v>1</v>
      </c>
      <c r="AM92" s="1">
        <v>1</v>
      </c>
      <c r="AN92" s="1">
        <v>2.44</v>
      </c>
    </row>
    <row r="93" spans="1:40">
      <c r="A93" s="1">
        <v>313</v>
      </c>
      <c r="C93" s="1">
        <v>1.498</v>
      </c>
      <c r="D93" s="1">
        <v>1.498</v>
      </c>
      <c r="E93" s="1">
        <v>1.498</v>
      </c>
      <c r="F93" s="1">
        <v>1.498</v>
      </c>
      <c r="G93" s="1">
        <v>1.52</v>
      </c>
      <c r="H93" s="1">
        <v>1</v>
      </c>
      <c r="I93" s="1">
        <v>1</v>
      </c>
      <c r="J93" s="1">
        <v>1.59</v>
      </c>
      <c r="K93" s="1">
        <v>1.59</v>
      </c>
      <c r="L93" s="1">
        <v>1.49</v>
      </c>
      <c r="M93" s="1">
        <v>1.49</v>
      </c>
      <c r="N93" s="1">
        <v>1</v>
      </c>
      <c r="O93" s="1">
        <v>1</v>
      </c>
      <c r="P93" s="1">
        <v>1</v>
      </c>
      <c r="Q93" s="1">
        <v>1</v>
      </c>
      <c r="R93" s="1">
        <v>1</v>
      </c>
      <c r="S93" s="1">
        <v>1</v>
      </c>
      <c r="T93" s="1">
        <v>1</v>
      </c>
      <c r="U93" s="1">
        <v>1</v>
      </c>
      <c r="V93" s="1">
        <v>1.06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13</v>
      </c>
      <c r="AD93" s="1">
        <v>13</v>
      </c>
      <c r="AE93" s="1">
        <v>1.498</v>
      </c>
      <c r="AF93" s="1">
        <v>1</v>
      </c>
      <c r="AG93" s="1">
        <v>1.49</v>
      </c>
      <c r="AH93" s="1">
        <v>1</v>
      </c>
      <c r="AI93" s="1">
        <v>3.4</v>
      </c>
      <c r="AJ93" s="1">
        <v>1</v>
      </c>
      <c r="AK93" s="1">
        <v>0</v>
      </c>
      <c r="AL93" s="1">
        <v>1</v>
      </c>
      <c r="AM93" s="1">
        <v>1</v>
      </c>
      <c r="AN93" s="1">
        <v>2.56</v>
      </c>
    </row>
    <row r="94" spans="1:40">
      <c r="A94" s="1">
        <v>314</v>
      </c>
      <c r="C94" s="1">
        <v>1.544</v>
      </c>
      <c r="D94" s="1">
        <v>1.544</v>
      </c>
      <c r="E94" s="1">
        <v>1.544</v>
      </c>
      <c r="F94" s="1">
        <v>1.544</v>
      </c>
      <c r="G94" s="1">
        <v>1.56</v>
      </c>
      <c r="H94" s="1">
        <v>1</v>
      </c>
      <c r="I94" s="1">
        <v>1</v>
      </c>
      <c r="J94" s="1">
        <v>1.62</v>
      </c>
      <c r="K94" s="1">
        <v>1.62</v>
      </c>
      <c r="L94" s="1">
        <v>1.52</v>
      </c>
      <c r="M94" s="1">
        <v>1.52</v>
      </c>
      <c r="N94" s="1">
        <v>1</v>
      </c>
      <c r="O94" s="1">
        <v>1</v>
      </c>
      <c r="P94" s="1">
        <v>1</v>
      </c>
      <c r="Q94" s="1">
        <v>1</v>
      </c>
      <c r="R94" s="1">
        <v>1</v>
      </c>
      <c r="S94" s="1">
        <v>1</v>
      </c>
      <c r="T94" s="1">
        <v>1</v>
      </c>
      <c r="U94" s="1">
        <v>1</v>
      </c>
      <c r="V94" s="1">
        <v>1.06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14</v>
      </c>
      <c r="AD94" s="1">
        <v>14</v>
      </c>
      <c r="AE94" s="1">
        <v>1.544</v>
      </c>
      <c r="AF94" s="1">
        <v>1</v>
      </c>
      <c r="AG94" s="1">
        <v>1.52</v>
      </c>
      <c r="AH94" s="1">
        <v>1</v>
      </c>
      <c r="AI94" s="1">
        <v>3.6</v>
      </c>
      <c r="AJ94" s="1">
        <v>1</v>
      </c>
      <c r="AK94" s="1">
        <v>0</v>
      </c>
      <c r="AL94" s="1">
        <v>1</v>
      </c>
      <c r="AM94" s="1">
        <v>1</v>
      </c>
      <c r="AN94" s="1">
        <v>2.68</v>
      </c>
    </row>
    <row r="95" spans="1:40">
      <c r="A95" s="1">
        <v>315</v>
      </c>
      <c r="C95" s="1">
        <v>1.59</v>
      </c>
      <c r="D95" s="1">
        <v>1.59</v>
      </c>
      <c r="E95" s="1">
        <v>1.59</v>
      </c>
      <c r="F95" s="1">
        <v>1.59</v>
      </c>
      <c r="G95" s="1">
        <v>1.6</v>
      </c>
      <c r="H95" s="1">
        <v>1</v>
      </c>
      <c r="I95" s="1">
        <v>1</v>
      </c>
      <c r="J95" s="1">
        <v>1.65</v>
      </c>
      <c r="K95" s="1">
        <v>1.65</v>
      </c>
      <c r="L95" s="1">
        <v>1.55</v>
      </c>
      <c r="M95" s="1">
        <v>1.55</v>
      </c>
      <c r="N95" s="1">
        <v>1</v>
      </c>
      <c r="O95" s="1">
        <v>1</v>
      </c>
      <c r="P95" s="1">
        <v>1</v>
      </c>
      <c r="Q95" s="1">
        <v>1</v>
      </c>
      <c r="R95" s="1">
        <v>1</v>
      </c>
      <c r="S95" s="1">
        <v>1</v>
      </c>
      <c r="T95" s="1">
        <v>1</v>
      </c>
      <c r="U95" s="1">
        <v>1</v>
      </c>
      <c r="V95" s="1">
        <v>1.06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15</v>
      </c>
      <c r="AD95" s="1">
        <v>15</v>
      </c>
      <c r="AE95" s="1">
        <v>1.59</v>
      </c>
      <c r="AF95" s="1">
        <v>1</v>
      </c>
      <c r="AG95" s="1">
        <v>1.55</v>
      </c>
      <c r="AH95" s="1">
        <v>1</v>
      </c>
      <c r="AI95" s="1">
        <v>3.8</v>
      </c>
      <c r="AJ95" s="1">
        <v>1</v>
      </c>
      <c r="AK95" s="1">
        <v>0</v>
      </c>
      <c r="AL95" s="1">
        <v>1</v>
      </c>
      <c r="AM95" s="1">
        <v>1</v>
      </c>
      <c r="AN95" s="1">
        <v>2.8</v>
      </c>
    </row>
    <row r="96" spans="1:40">
      <c r="A96" s="1">
        <v>316</v>
      </c>
      <c r="C96" s="1">
        <v>1.6359999999999999</v>
      </c>
      <c r="D96" s="1">
        <v>1.6359999999999999</v>
      </c>
      <c r="E96" s="1">
        <v>1.6359999999999999</v>
      </c>
      <c r="F96" s="1">
        <v>1.6359999999999999</v>
      </c>
      <c r="G96" s="1">
        <v>1.64</v>
      </c>
      <c r="H96" s="1">
        <v>1</v>
      </c>
      <c r="I96" s="1">
        <v>1</v>
      </c>
      <c r="J96" s="1">
        <v>1.68</v>
      </c>
      <c r="K96" s="1">
        <v>1.68</v>
      </c>
      <c r="L96" s="1">
        <v>1.58</v>
      </c>
      <c r="M96" s="1">
        <v>1.58</v>
      </c>
      <c r="N96" s="1">
        <v>1</v>
      </c>
      <c r="O96" s="1">
        <v>1</v>
      </c>
      <c r="P96" s="1">
        <v>1</v>
      </c>
      <c r="Q96" s="1">
        <v>1</v>
      </c>
      <c r="R96" s="1">
        <v>1</v>
      </c>
      <c r="S96" s="1">
        <v>1</v>
      </c>
      <c r="T96" s="1">
        <v>1</v>
      </c>
      <c r="U96" s="1">
        <v>1</v>
      </c>
      <c r="V96" s="1">
        <v>1.07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16</v>
      </c>
      <c r="AD96" s="1">
        <v>16</v>
      </c>
      <c r="AE96" s="1">
        <v>1.6359999999999999</v>
      </c>
      <c r="AF96" s="1">
        <v>1</v>
      </c>
      <c r="AG96" s="1">
        <v>1.58</v>
      </c>
      <c r="AH96" s="1">
        <v>1</v>
      </c>
      <c r="AI96" s="1">
        <v>4</v>
      </c>
      <c r="AJ96" s="1">
        <v>1</v>
      </c>
      <c r="AK96" s="1">
        <v>0</v>
      </c>
      <c r="AL96" s="1">
        <v>1</v>
      </c>
      <c r="AM96" s="1">
        <v>1</v>
      </c>
      <c r="AN96" s="1">
        <v>2.92</v>
      </c>
    </row>
    <row r="97" spans="1:40">
      <c r="A97" s="1">
        <v>317</v>
      </c>
      <c r="C97" s="1">
        <v>1.6819999999999999</v>
      </c>
      <c r="D97" s="1">
        <v>1.6819999999999999</v>
      </c>
      <c r="E97" s="1">
        <v>1.6819999999999999</v>
      </c>
      <c r="F97" s="1">
        <v>1.6819999999999999</v>
      </c>
      <c r="G97" s="1">
        <v>1.68</v>
      </c>
      <c r="H97" s="1">
        <v>1</v>
      </c>
      <c r="I97" s="1">
        <v>1</v>
      </c>
      <c r="J97" s="1">
        <v>1.71</v>
      </c>
      <c r="K97" s="1">
        <v>1.71</v>
      </c>
      <c r="L97" s="1">
        <v>1.61</v>
      </c>
      <c r="M97" s="1">
        <v>1.61</v>
      </c>
      <c r="N97" s="1">
        <v>1</v>
      </c>
      <c r="O97" s="1">
        <v>1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U97" s="1">
        <v>1</v>
      </c>
      <c r="V97" s="1">
        <v>1.07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17</v>
      </c>
      <c r="AD97" s="1">
        <v>17</v>
      </c>
      <c r="AE97" s="1">
        <v>1.6819999999999999</v>
      </c>
      <c r="AF97" s="1">
        <v>1</v>
      </c>
      <c r="AG97" s="1">
        <v>1.61</v>
      </c>
      <c r="AH97" s="1">
        <v>1</v>
      </c>
      <c r="AI97" s="1">
        <v>4.2</v>
      </c>
      <c r="AJ97" s="1">
        <v>1</v>
      </c>
      <c r="AK97" s="1">
        <v>0</v>
      </c>
      <c r="AL97" s="1">
        <v>1</v>
      </c>
      <c r="AM97" s="1">
        <v>1</v>
      </c>
      <c r="AN97" s="1">
        <v>3.04</v>
      </c>
    </row>
    <row r="98" spans="1:40">
      <c r="A98" s="1">
        <v>318</v>
      </c>
      <c r="C98" s="1">
        <v>1.728</v>
      </c>
      <c r="D98" s="1">
        <v>1.728</v>
      </c>
      <c r="E98" s="1">
        <v>1.728</v>
      </c>
      <c r="F98" s="1">
        <v>1.728</v>
      </c>
      <c r="G98" s="1">
        <v>1.72</v>
      </c>
      <c r="H98" s="1">
        <v>1</v>
      </c>
      <c r="I98" s="1">
        <v>1</v>
      </c>
      <c r="J98" s="1">
        <v>1.74</v>
      </c>
      <c r="K98" s="1">
        <v>1.74</v>
      </c>
      <c r="L98" s="1">
        <v>1.64</v>
      </c>
      <c r="M98" s="1">
        <v>1.64</v>
      </c>
      <c r="N98" s="1">
        <v>1</v>
      </c>
      <c r="O98" s="1">
        <v>1</v>
      </c>
      <c r="P98" s="1">
        <v>1</v>
      </c>
      <c r="Q98" s="1">
        <v>1</v>
      </c>
      <c r="R98" s="1">
        <v>1</v>
      </c>
      <c r="S98" s="1">
        <v>1</v>
      </c>
      <c r="T98" s="1">
        <v>1</v>
      </c>
      <c r="U98" s="1">
        <v>1</v>
      </c>
      <c r="V98" s="1">
        <v>1.07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18</v>
      </c>
      <c r="AD98" s="1">
        <v>18</v>
      </c>
      <c r="AE98" s="1">
        <v>1.728</v>
      </c>
      <c r="AF98" s="1">
        <v>1</v>
      </c>
      <c r="AG98" s="1">
        <v>1.64</v>
      </c>
      <c r="AH98" s="1">
        <v>1</v>
      </c>
      <c r="AI98" s="1">
        <v>4.4000000000000004</v>
      </c>
      <c r="AJ98" s="1">
        <v>1</v>
      </c>
      <c r="AK98" s="1">
        <v>0</v>
      </c>
      <c r="AL98" s="1">
        <v>1</v>
      </c>
      <c r="AM98" s="1">
        <v>1</v>
      </c>
      <c r="AN98" s="1">
        <v>3.16</v>
      </c>
    </row>
    <row r="99" spans="1:40">
      <c r="A99" s="1">
        <v>319</v>
      </c>
      <c r="C99" s="1">
        <v>1.774</v>
      </c>
      <c r="D99" s="1">
        <v>1.774</v>
      </c>
      <c r="E99" s="1">
        <v>1.774</v>
      </c>
      <c r="F99" s="1">
        <v>1.774</v>
      </c>
      <c r="G99" s="1">
        <v>1.76</v>
      </c>
      <c r="H99" s="1">
        <v>1</v>
      </c>
      <c r="I99" s="1">
        <v>1</v>
      </c>
      <c r="J99" s="1">
        <v>1.77</v>
      </c>
      <c r="K99" s="1">
        <v>1.77</v>
      </c>
      <c r="L99" s="1">
        <v>1.67</v>
      </c>
      <c r="M99" s="1">
        <v>1.67</v>
      </c>
      <c r="N99" s="1">
        <v>1</v>
      </c>
      <c r="O99" s="1">
        <v>1</v>
      </c>
      <c r="P99" s="1">
        <v>1</v>
      </c>
      <c r="Q99" s="1">
        <v>1</v>
      </c>
      <c r="R99" s="1">
        <v>1</v>
      </c>
      <c r="S99" s="1">
        <v>1</v>
      </c>
      <c r="T99" s="1">
        <v>1</v>
      </c>
      <c r="U99" s="1">
        <v>1</v>
      </c>
      <c r="V99" s="1">
        <v>1.08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19</v>
      </c>
      <c r="AD99" s="1">
        <v>19</v>
      </c>
      <c r="AE99" s="1">
        <v>1.774</v>
      </c>
      <c r="AF99" s="1">
        <v>1</v>
      </c>
      <c r="AG99" s="1">
        <v>1.67</v>
      </c>
      <c r="AH99" s="1">
        <v>1</v>
      </c>
      <c r="AI99" s="1">
        <v>4.5999999999999996</v>
      </c>
      <c r="AJ99" s="1">
        <v>1</v>
      </c>
      <c r="AK99" s="1">
        <v>0</v>
      </c>
      <c r="AL99" s="1">
        <v>1</v>
      </c>
      <c r="AM99" s="1">
        <v>1</v>
      </c>
      <c r="AN99" s="1">
        <v>3.28</v>
      </c>
    </row>
    <row r="100" spans="1:40">
      <c r="A100" s="1">
        <v>320</v>
      </c>
      <c r="C100" s="1">
        <v>1.82</v>
      </c>
      <c r="D100" s="1">
        <v>1.82</v>
      </c>
      <c r="E100" s="1">
        <v>1.82</v>
      </c>
      <c r="F100" s="1">
        <v>1.82</v>
      </c>
      <c r="G100" s="1">
        <v>1.8</v>
      </c>
      <c r="H100" s="1">
        <v>1</v>
      </c>
      <c r="I100" s="1">
        <v>1</v>
      </c>
      <c r="J100" s="1">
        <v>1.8</v>
      </c>
      <c r="K100" s="1">
        <v>1.8</v>
      </c>
      <c r="L100" s="1">
        <v>1.7</v>
      </c>
      <c r="M100" s="1">
        <v>1.7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1.08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20</v>
      </c>
      <c r="AD100" s="1">
        <v>20</v>
      </c>
      <c r="AE100" s="1">
        <v>1.82</v>
      </c>
      <c r="AF100" s="1">
        <v>1</v>
      </c>
      <c r="AG100" s="1">
        <v>1.7</v>
      </c>
      <c r="AH100" s="1">
        <v>1</v>
      </c>
      <c r="AI100" s="1">
        <v>4.8</v>
      </c>
      <c r="AJ100" s="1">
        <v>1</v>
      </c>
      <c r="AK100" s="1">
        <v>0</v>
      </c>
      <c r="AL100" s="1">
        <v>1</v>
      </c>
      <c r="AM100" s="1">
        <v>1</v>
      </c>
      <c r="AN100" s="1">
        <v>3.4</v>
      </c>
    </row>
    <row r="101" spans="1:40">
      <c r="A101" s="1">
        <v>321</v>
      </c>
      <c r="C101" s="1">
        <v>1.8660000000000001</v>
      </c>
      <c r="D101" s="1">
        <v>1.8660000000000001</v>
      </c>
      <c r="E101" s="1">
        <v>1.8660000000000001</v>
      </c>
      <c r="F101" s="1">
        <v>1.8660000000000001</v>
      </c>
      <c r="G101" s="1">
        <v>1.84</v>
      </c>
      <c r="H101" s="1">
        <v>1</v>
      </c>
      <c r="I101" s="1">
        <v>1</v>
      </c>
      <c r="J101" s="1">
        <v>1.82</v>
      </c>
      <c r="K101" s="1">
        <v>1.82</v>
      </c>
      <c r="L101" s="1">
        <v>1.72</v>
      </c>
      <c r="M101" s="1">
        <v>1.72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1.08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21</v>
      </c>
      <c r="AD101" s="1">
        <v>21</v>
      </c>
      <c r="AE101" s="1">
        <v>1.8660000000000001</v>
      </c>
      <c r="AF101" s="1">
        <v>1</v>
      </c>
      <c r="AG101" s="1">
        <v>1.72</v>
      </c>
      <c r="AH101" s="1">
        <v>1</v>
      </c>
      <c r="AI101" s="1">
        <v>5</v>
      </c>
      <c r="AJ101" s="1">
        <v>1</v>
      </c>
      <c r="AK101" s="1">
        <v>0</v>
      </c>
      <c r="AL101" s="1">
        <v>1</v>
      </c>
      <c r="AM101" s="1">
        <v>1</v>
      </c>
      <c r="AN101" s="1">
        <v>3.52</v>
      </c>
    </row>
    <row r="102" spans="1:40">
      <c r="A102" s="1">
        <v>322</v>
      </c>
      <c r="C102" s="1">
        <v>1.9119999999999999</v>
      </c>
      <c r="D102" s="1">
        <v>1.9119999999999999</v>
      </c>
      <c r="E102" s="1">
        <v>1.9119999999999999</v>
      </c>
      <c r="F102" s="1">
        <v>1.9119999999999999</v>
      </c>
      <c r="G102" s="1">
        <v>1.88</v>
      </c>
      <c r="H102" s="1">
        <v>1</v>
      </c>
      <c r="I102" s="1">
        <v>1</v>
      </c>
      <c r="J102" s="1">
        <v>1.84</v>
      </c>
      <c r="K102" s="1">
        <v>1.84</v>
      </c>
      <c r="L102" s="1">
        <v>1.74</v>
      </c>
      <c r="M102" s="1">
        <v>1.74</v>
      </c>
      <c r="N102" s="1">
        <v>1</v>
      </c>
      <c r="O102" s="1">
        <v>1</v>
      </c>
      <c r="P102" s="1">
        <v>1</v>
      </c>
      <c r="Q102" s="1">
        <v>1</v>
      </c>
      <c r="R102" s="1">
        <v>1</v>
      </c>
      <c r="S102" s="1">
        <v>1</v>
      </c>
      <c r="T102" s="1">
        <v>1</v>
      </c>
      <c r="U102" s="1">
        <v>1</v>
      </c>
      <c r="V102" s="1">
        <v>1.0900000000000001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22</v>
      </c>
      <c r="AD102" s="1">
        <v>22</v>
      </c>
      <c r="AE102" s="1">
        <v>1.9119999999999999</v>
      </c>
      <c r="AF102" s="1">
        <v>1</v>
      </c>
      <c r="AG102" s="1">
        <v>1.74</v>
      </c>
      <c r="AH102" s="1">
        <v>1</v>
      </c>
      <c r="AI102" s="1">
        <v>5.2</v>
      </c>
      <c r="AJ102" s="1">
        <v>1</v>
      </c>
      <c r="AK102" s="1">
        <v>0</v>
      </c>
      <c r="AL102" s="1">
        <v>1</v>
      </c>
      <c r="AM102" s="1">
        <v>1</v>
      </c>
      <c r="AN102" s="1">
        <v>3.64</v>
      </c>
    </row>
    <row r="103" spans="1:40">
      <c r="A103" s="1">
        <v>323</v>
      </c>
      <c r="C103" s="1">
        <v>1.958</v>
      </c>
      <c r="D103" s="1">
        <v>1.958</v>
      </c>
      <c r="E103" s="1">
        <v>1.958</v>
      </c>
      <c r="F103" s="1">
        <v>1.958</v>
      </c>
      <c r="G103" s="1">
        <v>1.92</v>
      </c>
      <c r="H103" s="1">
        <v>1</v>
      </c>
      <c r="I103" s="1">
        <v>1</v>
      </c>
      <c r="J103" s="1">
        <v>1.86</v>
      </c>
      <c r="K103" s="1">
        <v>1.86</v>
      </c>
      <c r="L103" s="1">
        <v>1.76</v>
      </c>
      <c r="M103" s="1">
        <v>1.76</v>
      </c>
      <c r="N103" s="1">
        <v>1</v>
      </c>
      <c r="O103" s="1">
        <v>1</v>
      </c>
      <c r="P103" s="1">
        <v>1</v>
      </c>
      <c r="Q103" s="1">
        <v>1</v>
      </c>
      <c r="R103" s="1">
        <v>1</v>
      </c>
      <c r="S103" s="1">
        <v>1</v>
      </c>
      <c r="T103" s="1">
        <v>1</v>
      </c>
      <c r="U103" s="1">
        <v>1</v>
      </c>
      <c r="V103" s="1">
        <v>1.0900000000000001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23</v>
      </c>
      <c r="AD103" s="1">
        <v>23</v>
      </c>
      <c r="AE103" s="1">
        <v>1.958</v>
      </c>
      <c r="AF103" s="1">
        <v>1</v>
      </c>
      <c r="AG103" s="1">
        <v>1.76</v>
      </c>
      <c r="AH103" s="1">
        <v>1</v>
      </c>
      <c r="AI103" s="1">
        <v>5.4</v>
      </c>
      <c r="AJ103" s="1">
        <v>1</v>
      </c>
      <c r="AK103" s="1">
        <v>0</v>
      </c>
      <c r="AL103" s="1">
        <v>1</v>
      </c>
      <c r="AM103" s="1">
        <v>1</v>
      </c>
      <c r="AN103" s="1">
        <v>3.76</v>
      </c>
    </row>
    <row r="104" spans="1:40">
      <c r="A104" s="1">
        <v>324</v>
      </c>
      <c r="C104" s="1">
        <v>2.004</v>
      </c>
      <c r="D104" s="1">
        <v>2.004</v>
      </c>
      <c r="E104" s="1">
        <v>2.004</v>
      </c>
      <c r="F104" s="1">
        <v>2.004</v>
      </c>
      <c r="G104" s="1">
        <v>1.96</v>
      </c>
      <c r="H104" s="1">
        <v>1</v>
      </c>
      <c r="I104" s="1">
        <v>1</v>
      </c>
      <c r="J104" s="1">
        <v>1.88</v>
      </c>
      <c r="K104" s="1">
        <v>1.88</v>
      </c>
      <c r="L104" s="1">
        <v>1.78</v>
      </c>
      <c r="M104" s="1">
        <v>1.78</v>
      </c>
      <c r="N104" s="1">
        <v>1</v>
      </c>
      <c r="O104" s="1">
        <v>1</v>
      </c>
      <c r="P104" s="1">
        <v>1</v>
      </c>
      <c r="Q104" s="1">
        <v>1</v>
      </c>
      <c r="R104" s="1">
        <v>1</v>
      </c>
      <c r="S104" s="1">
        <v>1</v>
      </c>
      <c r="T104" s="1">
        <v>1</v>
      </c>
      <c r="U104" s="1">
        <v>1</v>
      </c>
      <c r="V104" s="1">
        <v>1.0900000000000001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24</v>
      </c>
      <c r="AD104" s="1">
        <v>24</v>
      </c>
      <c r="AE104" s="1">
        <v>2.004</v>
      </c>
      <c r="AF104" s="1">
        <v>1</v>
      </c>
      <c r="AG104" s="1">
        <v>1.78</v>
      </c>
      <c r="AH104" s="1">
        <v>1</v>
      </c>
      <c r="AI104" s="1">
        <v>5.6</v>
      </c>
      <c r="AJ104" s="1">
        <v>1</v>
      </c>
      <c r="AK104" s="1">
        <v>0</v>
      </c>
      <c r="AL104" s="1">
        <v>1</v>
      </c>
      <c r="AM104" s="1">
        <v>1</v>
      </c>
      <c r="AN104" s="1">
        <v>3.88</v>
      </c>
    </row>
    <row r="105" spans="1:40">
      <c r="A105" s="1">
        <v>325</v>
      </c>
      <c r="C105" s="1">
        <v>2.0499999999999998</v>
      </c>
      <c r="D105" s="1">
        <v>2.0499999999999998</v>
      </c>
      <c r="E105" s="1">
        <v>2.0499999999999998</v>
      </c>
      <c r="F105" s="1">
        <v>2.0499999999999998</v>
      </c>
      <c r="G105" s="1">
        <v>2</v>
      </c>
      <c r="H105" s="1">
        <v>1</v>
      </c>
      <c r="I105" s="1">
        <v>1</v>
      </c>
      <c r="J105" s="1">
        <v>1.9</v>
      </c>
      <c r="K105" s="1">
        <v>1.9</v>
      </c>
      <c r="L105" s="1">
        <v>1.8</v>
      </c>
      <c r="M105" s="1">
        <v>1.8</v>
      </c>
      <c r="N105" s="1">
        <v>1</v>
      </c>
      <c r="O105" s="1">
        <v>1</v>
      </c>
      <c r="P105" s="1">
        <v>1</v>
      </c>
      <c r="Q105" s="1">
        <v>1</v>
      </c>
      <c r="R105" s="1">
        <v>1</v>
      </c>
      <c r="S105" s="1">
        <v>1</v>
      </c>
      <c r="T105" s="1">
        <v>1</v>
      </c>
      <c r="U105" s="1">
        <v>1</v>
      </c>
      <c r="V105" s="1">
        <v>1.1000000000000001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25</v>
      </c>
      <c r="AD105" s="1">
        <v>25</v>
      </c>
      <c r="AE105" s="1">
        <v>2.0499999999999998</v>
      </c>
      <c r="AF105" s="1">
        <v>1</v>
      </c>
      <c r="AG105" s="1">
        <v>1.8</v>
      </c>
      <c r="AH105" s="1">
        <v>1</v>
      </c>
      <c r="AI105" s="1">
        <v>5.8</v>
      </c>
      <c r="AJ105" s="1">
        <v>1</v>
      </c>
      <c r="AK105" s="1">
        <v>0</v>
      </c>
      <c r="AL105" s="1">
        <v>1</v>
      </c>
      <c r="AM105" s="1">
        <v>1</v>
      </c>
      <c r="AN105" s="1">
        <v>4</v>
      </c>
    </row>
    <row r="106" spans="1:40">
      <c r="A106" s="1">
        <v>400</v>
      </c>
      <c r="C106" s="1">
        <v>0.8</v>
      </c>
      <c r="D106" s="1">
        <v>0.8</v>
      </c>
      <c r="E106" s="1">
        <v>0.8</v>
      </c>
      <c r="F106" s="1">
        <v>0.8</v>
      </c>
      <c r="G106" s="1">
        <v>1</v>
      </c>
      <c r="H106" s="1">
        <v>1</v>
      </c>
      <c r="I106" s="1">
        <v>1</v>
      </c>
      <c r="J106" s="1">
        <v>1.3</v>
      </c>
      <c r="K106" s="1">
        <v>0.5</v>
      </c>
      <c r="L106" s="1">
        <v>1</v>
      </c>
      <c r="M106" s="1">
        <v>1</v>
      </c>
      <c r="N106" s="1">
        <v>0.95</v>
      </c>
      <c r="O106" s="1">
        <v>0.95</v>
      </c>
      <c r="P106" s="1">
        <v>1.1499999999999999</v>
      </c>
      <c r="Q106" s="1">
        <v>1.05</v>
      </c>
      <c r="R106" s="1">
        <v>0.95</v>
      </c>
      <c r="S106" s="1">
        <v>0.95</v>
      </c>
      <c r="T106" s="1">
        <v>0.95</v>
      </c>
      <c r="U106" s="1">
        <v>0.95</v>
      </c>
      <c r="V106" s="1">
        <v>1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0.8</v>
      </c>
      <c r="AF106" s="1">
        <v>0.95</v>
      </c>
      <c r="AG106" s="1">
        <v>1</v>
      </c>
      <c r="AH106" s="1">
        <v>0.95</v>
      </c>
      <c r="AI106" s="1">
        <v>1</v>
      </c>
      <c r="AJ106" s="1">
        <v>1</v>
      </c>
      <c r="AK106" s="1">
        <v>0</v>
      </c>
      <c r="AL106" s="1">
        <v>0.95</v>
      </c>
      <c r="AM106" s="1">
        <v>0.95</v>
      </c>
      <c r="AN106" s="1">
        <v>1</v>
      </c>
    </row>
    <row r="107" spans="1:40">
      <c r="A107" s="1">
        <v>401</v>
      </c>
      <c r="C107" s="1">
        <v>0.83599999999999997</v>
      </c>
      <c r="D107" s="1">
        <v>0.83599999999999997</v>
      </c>
      <c r="E107" s="1">
        <v>0.83599999999999997</v>
      </c>
      <c r="F107" s="1">
        <v>0.83599999999999997</v>
      </c>
      <c r="G107" s="1">
        <v>1.04</v>
      </c>
      <c r="H107" s="1">
        <v>1</v>
      </c>
      <c r="I107" s="1">
        <v>1</v>
      </c>
      <c r="J107" s="1">
        <v>1.34</v>
      </c>
      <c r="K107" s="1">
        <v>0.53</v>
      </c>
      <c r="L107" s="1">
        <v>1.04</v>
      </c>
      <c r="M107" s="1">
        <v>1.04</v>
      </c>
      <c r="N107" s="1">
        <v>0.95</v>
      </c>
      <c r="O107" s="1">
        <v>0.95</v>
      </c>
      <c r="P107" s="1">
        <v>1.1499999999999999</v>
      </c>
      <c r="Q107" s="1">
        <v>1.05</v>
      </c>
      <c r="R107" s="1">
        <v>0.95</v>
      </c>
      <c r="S107" s="1">
        <v>0.95</v>
      </c>
      <c r="T107" s="1">
        <v>0.95</v>
      </c>
      <c r="U107" s="1">
        <v>0.95</v>
      </c>
      <c r="V107" s="1">
        <v>1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0.83599999999999997</v>
      </c>
      <c r="AF107" s="1">
        <v>0.95</v>
      </c>
      <c r="AG107" s="1">
        <v>1.04</v>
      </c>
      <c r="AH107" s="1">
        <v>0.95</v>
      </c>
      <c r="AI107" s="1">
        <v>1</v>
      </c>
      <c r="AJ107" s="1">
        <v>1</v>
      </c>
      <c r="AK107" s="1">
        <v>0</v>
      </c>
      <c r="AL107" s="1">
        <v>0.95</v>
      </c>
      <c r="AM107" s="1">
        <v>0.95</v>
      </c>
      <c r="AN107" s="1">
        <v>1.1200000000000001</v>
      </c>
    </row>
    <row r="108" spans="1:40">
      <c r="A108" s="1">
        <v>402</v>
      </c>
      <c r="C108" s="1">
        <v>0.872</v>
      </c>
      <c r="D108" s="1">
        <v>0.872</v>
      </c>
      <c r="E108" s="1">
        <v>0.872</v>
      </c>
      <c r="F108" s="1">
        <v>0.872</v>
      </c>
      <c r="G108" s="1">
        <v>1.08</v>
      </c>
      <c r="H108" s="1">
        <v>1</v>
      </c>
      <c r="I108" s="1">
        <v>1</v>
      </c>
      <c r="J108" s="1">
        <v>1.38</v>
      </c>
      <c r="K108" s="1">
        <v>0.56000000000000005</v>
      </c>
      <c r="L108" s="1">
        <v>1.08</v>
      </c>
      <c r="M108" s="1">
        <v>1.08</v>
      </c>
      <c r="N108" s="1">
        <v>0.95</v>
      </c>
      <c r="O108" s="1">
        <v>0.95</v>
      </c>
      <c r="P108" s="1">
        <v>1.1599999999999999</v>
      </c>
      <c r="Q108" s="1">
        <v>1.06</v>
      </c>
      <c r="R108" s="1">
        <v>0.95</v>
      </c>
      <c r="S108" s="1">
        <v>0.95</v>
      </c>
      <c r="T108" s="1">
        <v>0.95</v>
      </c>
      <c r="U108" s="1">
        <v>0.95</v>
      </c>
      <c r="V108" s="1">
        <v>1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2</v>
      </c>
      <c r="AD108" s="1">
        <v>2</v>
      </c>
      <c r="AE108" s="1">
        <v>0.872</v>
      </c>
      <c r="AF108" s="1">
        <v>0.95</v>
      </c>
      <c r="AG108" s="1">
        <v>1.08</v>
      </c>
      <c r="AH108" s="1">
        <v>0.95</v>
      </c>
      <c r="AI108" s="1">
        <v>1.2</v>
      </c>
      <c r="AJ108" s="1">
        <v>1</v>
      </c>
      <c r="AK108" s="1">
        <v>0</v>
      </c>
      <c r="AL108" s="1">
        <v>0.95</v>
      </c>
      <c r="AM108" s="1">
        <v>0.95</v>
      </c>
      <c r="AN108" s="1">
        <v>1.24</v>
      </c>
    </row>
    <row r="109" spans="1:40">
      <c r="A109" s="1">
        <v>403</v>
      </c>
      <c r="C109" s="1">
        <v>0.90800000000000003</v>
      </c>
      <c r="D109" s="1">
        <v>0.90800000000000003</v>
      </c>
      <c r="E109" s="1">
        <v>0.90800000000000003</v>
      </c>
      <c r="F109" s="1">
        <v>0.90800000000000003</v>
      </c>
      <c r="G109" s="1">
        <v>1.1200000000000001</v>
      </c>
      <c r="H109" s="1">
        <v>1</v>
      </c>
      <c r="I109" s="1">
        <v>1</v>
      </c>
      <c r="J109" s="1">
        <v>1.42</v>
      </c>
      <c r="K109" s="1">
        <v>0.59</v>
      </c>
      <c r="L109" s="1">
        <v>1.1200000000000001</v>
      </c>
      <c r="M109" s="1">
        <v>1.1200000000000001</v>
      </c>
      <c r="N109" s="1">
        <v>0.95</v>
      </c>
      <c r="O109" s="1">
        <v>0.95</v>
      </c>
      <c r="P109" s="1">
        <v>1.1599999999999999</v>
      </c>
      <c r="Q109" s="1">
        <v>1.06</v>
      </c>
      <c r="R109" s="1">
        <v>0.95</v>
      </c>
      <c r="S109" s="1">
        <v>0.95</v>
      </c>
      <c r="T109" s="1">
        <v>0.95</v>
      </c>
      <c r="U109" s="1">
        <v>0.95</v>
      </c>
      <c r="V109" s="1">
        <v>1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3</v>
      </c>
      <c r="AD109" s="1">
        <v>3</v>
      </c>
      <c r="AE109" s="1">
        <v>0.90800000000000003</v>
      </c>
      <c r="AF109" s="1">
        <v>0.95</v>
      </c>
      <c r="AG109" s="1">
        <v>1.1200000000000001</v>
      </c>
      <c r="AH109" s="1">
        <v>0.95</v>
      </c>
      <c r="AI109" s="1">
        <v>1.4</v>
      </c>
      <c r="AJ109" s="1">
        <v>1</v>
      </c>
      <c r="AK109" s="1">
        <v>0</v>
      </c>
      <c r="AL109" s="1">
        <v>0.95</v>
      </c>
      <c r="AM109" s="1">
        <v>0.95</v>
      </c>
      <c r="AN109" s="1">
        <v>1.36</v>
      </c>
    </row>
    <row r="110" spans="1:40">
      <c r="A110" s="1">
        <v>404</v>
      </c>
      <c r="C110" s="1">
        <v>0.94399999999999995</v>
      </c>
      <c r="D110" s="1">
        <v>0.94399999999999995</v>
      </c>
      <c r="E110" s="1">
        <v>0.94399999999999995</v>
      </c>
      <c r="F110" s="1">
        <v>0.94399999999999995</v>
      </c>
      <c r="G110" s="1">
        <v>1.1599999999999999</v>
      </c>
      <c r="H110" s="1">
        <v>1</v>
      </c>
      <c r="I110" s="1">
        <v>1</v>
      </c>
      <c r="J110" s="1">
        <v>1.46</v>
      </c>
      <c r="K110" s="1">
        <v>0.62</v>
      </c>
      <c r="L110" s="1">
        <v>1.1599999999999999</v>
      </c>
      <c r="M110" s="1">
        <v>1.1599999999999999</v>
      </c>
      <c r="N110" s="1">
        <v>0.95</v>
      </c>
      <c r="O110" s="1">
        <v>0.95</v>
      </c>
      <c r="P110" s="1">
        <v>1.17</v>
      </c>
      <c r="Q110" s="1">
        <v>1.07</v>
      </c>
      <c r="R110" s="1">
        <v>0.95</v>
      </c>
      <c r="S110" s="1">
        <v>0.95</v>
      </c>
      <c r="T110" s="1">
        <v>0.95</v>
      </c>
      <c r="U110" s="1">
        <v>0.95</v>
      </c>
      <c r="V110" s="1">
        <v>1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4</v>
      </c>
      <c r="AD110" s="1">
        <v>4</v>
      </c>
      <c r="AE110" s="1">
        <v>0.94399999999999995</v>
      </c>
      <c r="AF110" s="1">
        <v>0.95</v>
      </c>
      <c r="AG110" s="1">
        <v>1.1599999999999999</v>
      </c>
      <c r="AH110" s="1">
        <v>0.95</v>
      </c>
      <c r="AI110" s="1">
        <v>1.6</v>
      </c>
      <c r="AJ110" s="1">
        <v>1</v>
      </c>
      <c r="AK110" s="1">
        <v>0</v>
      </c>
      <c r="AL110" s="1">
        <v>0.95</v>
      </c>
      <c r="AM110" s="1">
        <v>0.95</v>
      </c>
      <c r="AN110" s="1">
        <v>1.48</v>
      </c>
    </row>
    <row r="111" spans="1:40">
      <c r="A111" s="1">
        <v>405</v>
      </c>
      <c r="C111" s="1">
        <v>0.98</v>
      </c>
      <c r="D111" s="1">
        <v>0.98</v>
      </c>
      <c r="E111" s="1">
        <v>0.98</v>
      </c>
      <c r="F111" s="1">
        <v>0.98</v>
      </c>
      <c r="G111" s="1">
        <v>1.2</v>
      </c>
      <c r="H111" s="1">
        <v>1</v>
      </c>
      <c r="I111" s="1">
        <v>1</v>
      </c>
      <c r="J111" s="1">
        <v>1.5</v>
      </c>
      <c r="K111" s="1">
        <v>0.65</v>
      </c>
      <c r="L111" s="1">
        <v>1.2</v>
      </c>
      <c r="M111" s="1">
        <v>1.2</v>
      </c>
      <c r="N111" s="1">
        <v>0.95</v>
      </c>
      <c r="O111" s="1">
        <v>0.95</v>
      </c>
      <c r="P111" s="1">
        <v>1.17</v>
      </c>
      <c r="Q111" s="1">
        <v>1.07</v>
      </c>
      <c r="R111" s="1">
        <v>0.95</v>
      </c>
      <c r="S111" s="1">
        <v>0.95</v>
      </c>
      <c r="T111" s="1">
        <v>0.95</v>
      </c>
      <c r="U111" s="1">
        <v>0.95</v>
      </c>
      <c r="V111" s="1">
        <v>1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5</v>
      </c>
      <c r="AD111" s="1">
        <v>5</v>
      </c>
      <c r="AE111" s="1">
        <v>0.98</v>
      </c>
      <c r="AF111" s="1">
        <v>0.95</v>
      </c>
      <c r="AG111" s="1">
        <v>1.2</v>
      </c>
      <c r="AH111" s="1">
        <v>0.95</v>
      </c>
      <c r="AI111" s="1">
        <v>1.8</v>
      </c>
      <c r="AJ111" s="1">
        <v>1</v>
      </c>
      <c r="AK111" s="1">
        <v>0</v>
      </c>
      <c r="AL111" s="1">
        <v>0.95</v>
      </c>
      <c r="AM111" s="1">
        <v>0.95</v>
      </c>
      <c r="AN111" s="1">
        <v>1.6</v>
      </c>
    </row>
    <row r="112" spans="1:40">
      <c r="A112" s="1">
        <v>406</v>
      </c>
      <c r="C112" s="1">
        <v>1.016</v>
      </c>
      <c r="D112" s="1">
        <v>1.016</v>
      </c>
      <c r="E112" s="1">
        <v>1.016</v>
      </c>
      <c r="F112" s="1">
        <v>1.016</v>
      </c>
      <c r="G112" s="1">
        <v>1.24</v>
      </c>
      <c r="H112" s="1">
        <v>1</v>
      </c>
      <c r="I112" s="1">
        <v>1</v>
      </c>
      <c r="J112" s="1">
        <v>1.54</v>
      </c>
      <c r="K112" s="1">
        <v>0.68</v>
      </c>
      <c r="L112" s="1">
        <v>1.24</v>
      </c>
      <c r="M112" s="1">
        <v>1.24</v>
      </c>
      <c r="N112" s="1">
        <v>0.95</v>
      </c>
      <c r="O112" s="1">
        <v>0.95</v>
      </c>
      <c r="P112" s="1">
        <v>1.18</v>
      </c>
      <c r="Q112" s="1">
        <v>1.08</v>
      </c>
      <c r="R112" s="1">
        <v>0.95</v>
      </c>
      <c r="S112" s="1">
        <v>0.95</v>
      </c>
      <c r="T112" s="1">
        <v>0.95</v>
      </c>
      <c r="U112" s="1">
        <v>0.95</v>
      </c>
      <c r="V112" s="1">
        <v>1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6</v>
      </c>
      <c r="AD112" s="1">
        <v>6</v>
      </c>
      <c r="AE112" s="1">
        <v>1.016</v>
      </c>
      <c r="AF112" s="1">
        <v>0.95</v>
      </c>
      <c r="AG112" s="1">
        <v>1.24</v>
      </c>
      <c r="AH112" s="1">
        <v>0.95</v>
      </c>
      <c r="AI112" s="1">
        <v>2</v>
      </c>
      <c r="AJ112" s="1">
        <v>1</v>
      </c>
      <c r="AK112" s="1">
        <v>0</v>
      </c>
      <c r="AL112" s="1">
        <v>0.95</v>
      </c>
      <c r="AM112" s="1">
        <v>0.95</v>
      </c>
      <c r="AN112" s="1">
        <v>1.72</v>
      </c>
    </row>
    <row r="113" spans="1:40">
      <c r="A113" s="1">
        <v>407</v>
      </c>
      <c r="C113" s="1">
        <v>1.052</v>
      </c>
      <c r="D113" s="1">
        <v>1.052</v>
      </c>
      <c r="E113" s="1">
        <v>1.052</v>
      </c>
      <c r="F113" s="1">
        <v>1.052</v>
      </c>
      <c r="G113" s="1">
        <v>1.28</v>
      </c>
      <c r="H113" s="1">
        <v>1</v>
      </c>
      <c r="I113" s="1">
        <v>1</v>
      </c>
      <c r="J113" s="1">
        <v>1.58</v>
      </c>
      <c r="K113" s="1">
        <v>0.71</v>
      </c>
      <c r="L113" s="1">
        <v>1.28</v>
      </c>
      <c r="M113" s="1">
        <v>1.28</v>
      </c>
      <c r="N113" s="1">
        <v>0.95</v>
      </c>
      <c r="O113" s="1">
        <v>0.95</v>
      </c>
      <c r="P113" s="1">
        <v>1.18</v>
      </c>
      <c r="Q113" s="1">
        <v>1.08</v>
      </c>
      <c r="R113" s="1">
        <v>0.95</v>
      </c>
      <c r="S113" s="1">
        <v>0.95</v>
      </c>
      <c r="T113" s="1">
        <v>0.95</v>
      </c>
      <c r="U113" s="1">
        <v>0.95</v>
      </c>
      <c r="V113" s="1">
        <v>1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7</v>
      </c>
      <c r="AD113" s="1">
        <v>7</v>
      </c>
      <c r="AE113" s="1">
        <v>1.052</v>
      </c>
      <c r="AF113" s="1">
        <v>0.95</v>
      </c>
      <c r="AG113" s="1">
        <v>1.28</v>
      </c>
      <c r="AH113" s="1">
        <v>0.95</v>
      </c>
      <c r="AI113" s="1">
        <v>2.2000000000000002</v>
      </c>
      <c r="AJ113" s="1">
        <v>1</v>
      </c>
      <c r="AK113" s="1">
        <v>0</v>
      </c>
      <c r="AL113" s="1">
        <v>0.95</v>
      </c>
      <c r="AM113" s="1">
        <v>0.95</v>
      </c>
      <c r="AN113" s="1">
        <v>1.84</v>
      </c>
    </row>
    <row r="114" spans="1:40">
      <c r="A114" s="1">
        <v>408</v>
      </c>
      <c r="C114" s="1">
        <v>1.0880000000000001</v>
      </c>
      <c r="D114" s="1">
        <v>1.0880000000000001</v>
      </c>
      <c r="E114" s="1">
        <v>1.0880000000000001</v>
      </c>
      <c r="F114" s="1">
        <v>1.0880000000000001</v>
      </c>
      <c r="G114" s="1">
        <v>1.32</v>
      </c>
      <c r="H114" s="1">
        <v>1</v>
      </c>
      <c r="I114" s="1">
        <v>1</v>
      </c>
      <c r="J114" s="1">
        <v>1.62</v>
      </c>
      <c r="K114" s="1">
        <v>0.74</v>
      </c>
      <c r="L114" s="1">
        <v>1.32</v>
      </c>
      <c r="M114" s="1">
        <v>1.32</v>
      </c>
      <c r="N114" s="1">
        <v>0.95</v>
      </c>
      <c r="O114" s="1">
        <v>0.95</v>
      </c>
      <c r="P114" s="1">
        <v>1.19</v>
      </c>
      <c r="Q114" s="1">
        <v>1.0900000000000001</v>
      </c>
      <c r="R114" s="1">
        <v>0.95</v>
      </c>
      <c r="S114" s="1">
        <v>0.95</v>
      </c>
      <c r="T114" s="1">
        <v>0.95</v>
      </c>
      <c r="U114" s="1">
        <v>0.95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8</v>
      </c>
      <c r="AD114" s="1">
        <v>8</v>
      </c>
      <c r="AE114" s="1">
        <v>1.0880000000000001</v>
      </c>
      <c r="AF114" s="1">
        <v>0.95</v>
      </c>
      <c r="AG114" s="1">
        <v>1.32</v>
      </c>
      <c r="AH114" s="1">
        <v>0.95</v>
      </c>
      <c r="AI114" s="1">
        <v>2.4</v>
      </c>
      <c r="AJ114" s="1">
        <v>1</v>
      </c>
      <c r="AK114" s="1">
        <v>0</v>
      </c>
      <c r="AL114" s="1">
        <v>0.95</v>
      </c>
      <c r="AM114" s="1">
        <v>0.95</v>
      </c>
      <c r="AN114" s="1">
        <v>1.96</v>
      </c>
    </row>
    <row r="115" spans="1:40">
      <c r="A115" s="1">
        <v>409</v>
      </c>
      <c r="C115" s="1">
        <v>1.1240000000000001</v>
      </c>
      <c r="D115" s="1">
        <v>1.1240000000000001</v>
      </c>
      <c r="E115" s="1">
        <v>1.1240000000000001</v>
      </c>
      <c r="F115" s="1">
        <v>1.1240000000000001</v>
      </c>
      <c r="G115" s="1">
        <v>1.36</v>
      </c>
      <c r="H115" s="1">
        <v>1</v>
      </c>
      <c r="I115" s="1">
        <v>1</v>
      </c>
      <c r="J115" s="1">
        <v>1.66</v>
      </c>
      <c r="K115" s="1">
        <v>0.77</v>
      </c>
      <c r="L115" s="1">
        <v>1.36</v>
      </c>
      <c r="M115" s="1">
        <v>1.36</v>
      </c>
      <c r="N115" s="1">
        <v>0.95</v>
      </c>
      <c r="O115" s="1">
        <v>0.95</v>
      </c>
      <c r="P115" s="1">
        <v>1.19</v>
      </c>
      <c r="Q115" s="1">
        <v>1.0900000000000001</v>
      </c>
      <c r="R115" s="1">
        <v>0.95</v>
      </c>
      <c r="S115" s="1">
        <v>0.95</v>
      </c>
      <c r="T115" s="1">
        <v>0.95</v>
      </c>
      <c r="U115" s="1">
        <v>0.95</v>
      </c>
      <c r="V115" s="1">
        <v>1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9</v>
      </c>
      <c r="AD115" s="1">
        <v>9</v>
      </c>
      <c r="AE115" s="1">
        <v>1.1240000000000001</v>
      </c>
      <c r="AF115" s="1">
        <v>0.95</v>
      </c>
      <c r="AG115" s="1">
        <v>1.36</v>
      </c>
      <c r="AH115" s="1">
        <v>0.95</v>
      </c>
      <c r="AI115" s="1">
        <v>2.6</v>
      </c>
      <c r="AJ115" s="1">
        <v>1</v>
      </c>
      <c r="AK115" s="1">
        <v>0</v>
      </c>
      <c r="AL115" s="1">
        <v>0.95</v>
      </c>
      <c r="AM115" s="1">
        <v>0.95</v>
      </c>
      <c r="AN115" s="1">
        <v>2.08</v>
      </c>
    </row>
    <row r="116" spans="1:40">
      <c r="A116" s="1">
        <v>410</v>
      </c>
      <c r="C116" s="1">
        <v>1.1599999999999999</v>
      </c>
      <c r="D116" s="1">
        <v>1.1599999999999999</v>
      </c>
      <c r="E116" s="1">
        <v>1.1599999999999999</v>
      </c>
      <c r="F116" s="1">
        <v>1.1599999999999999</v>
      </c>
      <c r="G116" s="1">
        <v>1.4</v>
      </c>
      <c r="H116" s="1">
        <v>1</v>
      </c>
      <c r="I116" s="1">
        <v>1</v>
      </c>
      <c r="J116" s="1">
        <v>1.7</v>
      </c>
      <c r="K116" s="1">
        <v>0.8</v>
      </c>
      <c r="L116" s="1">
        <v>1.4</v>
      </c>
      <c r="M116" s="1">
        <v>1.4</v>
      </c>
      <c r="N116" s="1">
        <v>0.95</v>
      </c>
      <c r="O116" s="1">
        <v>0.95</v>
      </c>
      <c r="P116" s="1">
        <v>1.2</v>
      </c>
      <c r="Q116" s="1">
        <v>1.1000000000000001</v>
      </c>
      <c r="R116" s="1">
        <v>0.95</v>
      </c>
      <c r="S116" s="1">
        <v>0.95</v>
      </c>
      <c r="T116" s="1">
        <v>0.95</v>
      </c>
      <c r="U116" s="1">
        <v>0.95</v>
      </c>
      <c r="V116" s="1">
        <v>1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10</v>
      </c>
      <c r="AD116" s="1">
        <v>10</v>
      </c>
      <c r="AE116" s="1">
        <v>1.1599999999999999</v>
      </c>
      <c r="AF116" s="1">
        <v>0.95</v>
      </c>
      <c r="AG116" s="1">
        <v>1.4</v>
      </c>
      <c r="AH116" s="1">
        <v>0.95</v>
      </c>
      <c r="AI116" s="1">
        <v>2.8</v>
      </c>
      <c r="AJ116" s="1">
        <v>1</v>
      </c>
      <c r="AK116" s="1">
        <v>0</v>
      </c>
      <c r="AL116" s="1">
        <v>0.95</v>
      </c>
      <c r="AM116" s="1">
        <v>0.95</v>
      </c>
      <c r="AN116" s="1">
        <v>2.2000000000000002</v>
      </c>
    </row>
    <row r="117" spans="1:40">
      <c r="A117" s="1">
        <v>411</v>
      </c>
      <c r="C117" s="1">
        <v>1.196</v>
      </c>
      <c r="D117" s="1">
        <v>1.196</v>
      </c>
      <c r="E117" s="1">
        <v>1.196</v>
      </c>
      <c r="F117" s="1">
        <v>1.196</v>
      </c>
      <c r="G117" s="1">
        <v>1.44</v>
      </c>
      <c r="H117" s="1">
        <v>1</v>
      </c>
      <c r="I117" s="1">
        <v>1</v>
      </c>
      <c r="J117" s="1">
        <v>1.73</v>
      </c>
      <c r="K117" s="1">
        <v>0.83</v>
      </c>
      <c r="L117" s="1">
        <v>1.43</v>
      </c>
      <c r="M117" s="1">
        <v>1.43</v>
      </c>
      <c r="N117" s="1">
        <v>0.95</v>
      </c>
      <c r="O117" s="1">
        <v>0.95</v>
      </c>
      <c r="P117" s="1">
        <v>1.2</v>
      </c>
      <c r="Q117" s="1">
        <v>1.1000000000000001</v>
      </c>
      <c r="R117" s="1">
        <v>0.95</v>
      </c>
      <c r="S117" s="1">
        <v>0.95</v>
      </c>
      <c r="T117" s="1">
        <v>0.95</v>
      </c>
      <c r="U117" s="1">
        <v>0.95</v>
      </c>
      <c r="V117" s="1">
        <v>1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11</v>
      </c>
      <c r="AD117" s="1">
        <v>11</v>
      </c>
      <c r="AE117" s="1">
        <v>1.196</v>
      </c>
      <c r="AF117" s="1">
        <v>0.95</v>
      </c>
      <c r="AG117" s="1">
        <v>1.43</v>
      </c>
      <c r="AH117" s="1">
        <v>0.95</v>
      </c>
      <c r="AI117" s="1">
        <v>3</v>
      </c>
      <c r="AJ117" s="1">
        <v>1</v>
      </c>
      <c r="AK117" s="1">
        <v>0</v>
      </c>
      <c r="AL117" s="1">
        <v>0.95</v>
      </c>
      <c r="AM117" s="1">
        <v>0.95</v>
      </c>
      <c r="AN117" s="1">
        <v>2.3199999999999998</v>
      </c>
    </row>
    <row r="118" spans="1:40">
      <c r="A118" s="1">
        <v>412</v>
      </c>
      <c r="C118" s="1">
        <v>1.232</v>
      </c>
      <c r="D118" s="1">
        <v>1.232</v>
      </c>
      <c r="E118" s="1">
        <v>1.232</v>
      </c>
      <c r="F118" s="1">
        <v>1.232</v>
      </c>
      <c r="G118" s="1">
        <v>1.48</v>
      </c>
      <c r="H118" s="1">
        <v>1</v>
      </c>
      <c r="I118" s="1">
        <v>1</v>
      </c>
      <c r="J118" s="1">
        <v>1.76</v>
      </c>
      <c r="K118" s="1">
        <v>0.86</v>
      </c>
      <c r="L118" s="1">
        <v>1.46</v>
      </c>
      <c r="M118" s="1">
        <v>1.46</v>
      </c>
      <c r="N118" s="1">
        <v>0.95</v>
      </c>
      <c r="O118" s="1">
        <v>0.95</v>
      </c>
      <c r="P118" s="1">
        <v>1.21</v>
      </c>
      <c r="Q118" s="1">
        <v>1.1100000000000001</v>
      </c>
      <c r="R118" s="1">
        <v>0.95</v>
      </c>
      <c r="S118" s="1">
        <v>0.95</v>
      </c>
      <c r="T118" s="1">
        <v>0.95</v>
      </c>
      <c r="U118" s="1">
        <v>0.95</v>
      </c>
      <c r="V118" s="1">
        <v>1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12</v>
      </c>
      <c r="AD118" s="1">
        <v>12</v>
      </c>
      <c r="AE118" s="1">
        <v>1.232</v>
      </c>
      <c r="AF118" s="1">
        <v>0.95</v>
      </c>
      <c r="AG118" s="1">
        <v>1.46</v>
      </c>
      <c r="AH118" s="1">
        <v>0.95</v>
      </c>
      <c r="AI118" s="1">
        <v>3.2</v>
      </c>
      <c r="AJ118" s="1">
        <v>1</v>
      </c>
      <c r="AK118" s="1">
        <v>0</v>
      </c>
      <c r="AL118" s="1">
        <v>0.95</v>
      </c>
      <c r="AM118" s="1">
        <v>0.95</v>
      </c>
      <c r="AN118" s="1">
        <v>2.44</v>
      </c>
    </row>
    <row r="119" spans="1:40">
      <c r="A119" s="1">
        <v>413</v>
      </c>
      <c r="C119" s="1">
        <v>1.268</v>
      </c>
      <c r="D119" s="1">
        <v>1.268</v>
      </c>
      <c r="E119" s="1">
        <v>1.268</v>
      </c>
      <c r="F119" s="1">
        <v>1.268</v>
      </c>
      <c r="G119" s="1">
        <v>1.52</v>
      </c>
      <c r="H119" s="1">
        <v>1</v>
      </c>
      <c r="I119" s="1">
        <v>1</v>
      </c>
      <c r="J119" s="1">
        <v>1.79</v>
      </c>
      <c r="K119" s="1">
        <v>0.89</v>
      </c>
      <c r="L119" s="1">
        <v>1.49</v>
      </c>
      <c r="M119" s="1">
        <v>1.49</v>
      </c>
      <c r="N119" s="1">
        <v>0.95</v>
      </c>
      <c r="O119" s="1">
        <v>0.95</v>
      </c>
      <c r="P119" s="1">
        <v>1.21</v>
      </c>
      <c r="Q119" s="1">
        <v>1.1100000000000001</v>
      </c>
      <c r="R119" s="1">
        <v>0.95</v>
      </c>
      <c r="S119" s="1">
        <v>0.95</v>
      </c>
      <c r="T119" s="1">
        <v>0.95</v>
      </c>
      <c r="U119" s="1">
        <v>0.95</v>
      </c>
      <c r="V119" s="1">
        <v>1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13</v>
      </c>
      <c r="AD119" s="1">
        <v>13</v>
      </c>
      <c r="AE119" s="1">
        <v>1.268</v>
      </c>
      <c r="AF119" s="1">
        <v>0.95</v>
      </c>
      <c r="AG119" s="1">
        <v>1.49</v>
      </c>
      <c r="AH119" s="1">
        <v>0.95</v>
      </c>
      <c r="AI119" s="1">
        <v>3.4</v>
      </c>
      <c r="AJ119" s="1">
        <v>1</v>
      </c>
      <c r="AK119" s="1">
        <v>0</v>
      </c>
      <c r="AL119" s="1">
        <v>0.95</v>
      </c>
      <c r="AM119" s="1">
        <v>0.95</v>
      </c>
      <c r="AN119" s="1">
        <v>2.56</v>
      </c>
    </row>
    <row r="120" spans="1:40">
      <c r="A120" s="1">
        <v>414</v>
      </c>
      <c r="C120" s="1">
        <v>1.304</v>
      </c>
      <c r="D120" s="1">
        <v>1.304</v>
      </c>
      <c r="E120" s="1">
        <v>1.304</v>
      </c>
      <c r="F120" s="1">
        <v>1.304</v>
      </c>
      <c r="G120" s="1">
        <v>1.56</v>
      </c>
      <c r="H120" s="1">
        <v>1</v>
      </c>
      <c r="I120" s="1">
        <v>1</v>
      </c>
      <c r="J120" s="1">
        <v>1.82</v>
      </c>
      <c r="K120" s="1">
        <v>0.92</v>
      </c>
      <c r="L120" s="1">
        <v>1.52</v>
      </c>
      <c r="M120" s="1">
        <v>1.52</v>
      </c>
      <c r="N120" s="1">
        <v>0.95</v>
      </c>
      <c r="O120" s="1">
        <v>0.95</v>
      </c>
      <c r="P120" s="1">
        <v>1.21</v>
      </c>
      <c r="Q120" s="1">
        <v>1.1100000000000001</v>
      </c>
      <c r="R120" s="1">
        <v>0.95</v>
      </c>
      <c r="S120" s="1">
        <v>0.95</v>
      </c>
      <c r="T120" s="1">
        <v>0.95</v>
      </c>
      <c r="U120" s="1">
        <v>0.95</v>
      </c>
      <c r="V120" s="1">
        <v>1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14</v>
      </c>
      <c r="AD120" s="1">
        <v>14</v>
      </c>
      <c r="AE120" s="1">
        <v>1.304</v>
      </c>
      <c r="AF120" s="1">
        <v>0.95</v>
      </c>
      <c r="AG120" s="1">
        <v>1.52</v>
      </c>
      <c r="AH120" s="1">
        <v>0.95</v>
      </c>
      <c r="AI120" s="1">
        <v>3.6</v>
      </c>
      <c r="AJ120" s="1">
        <v>1</v>
      </c>
      <c r="AK120" s="1">
        <v>0</v>
      </c>
      <c r="AL120" s="1">
        <v>0.95</v>
      </c>
      <c r="AM120" s="1">
        <v>0.95</v>
      </c>
      <c r="AN120" s="1">
        <v>2.68</v>
      </c>
    </row>
    <row r="121" spans="1:40">
      <c r="A121" s="1">
        <v>415</v>
      </c>
      <c r="C121" s="1">
        <v>1.34</v>
      </c>
      <c r="D121" s="1">
        <v>1.34</v>
      </c>
      <c r="E121" s="1">
        <v>1.34</v>
      </c>
      <c r="F121" s="1">
        <v>1.34</v>
      </c>
      <c r="G121" s="1">
        <v>1.6</v>
      </c>
      <c r="H121" s="1">
        <v>1</v>
      </c>
      <c r="I121" s="1">
        <v>1</v>
      </c>
      <c r="J121" s="1">
        <v>1.85</v>
      </c>
      <c r="K121" s="1">
        <v>0.95</v>
      </c>
      <c r="L121" s="1">
        <v>1.55</v>
      </c>
      <c r="M121" s="1">
        <v>1.55</v>
      </c>
      <c r="N121" s="1">
        <v>0.95</v>
      </c>
      <c r="O121" s="1">
        <v>0.95</v>
      </c>
      <c r="P121" s="1">
        <v>1.22</v>
      </c>
      <c r="Q121" s="1">
        <v>1.1200000000000001</v>
      </c>
      <c r="R121" s="1">
        <v>0.95</v>
      </c>
      <c r="S121" s="1">
        <v>0.95</v>
      </c>
      <c r="T121" s="1">
        <v>0.95</v>
      </c>
      <c r="U121" s="1">
        <v>0.95</v>
      </c>
      <c r="V121" s="1">
        <v>1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15</v>
      </c>
      <c r="AD121" s="1">
        <v>15</v>
      </c>
      <c r="AE121" s="1">
        <v>1.34</v>
      </c>
      <c r="AF121" s="1">
        <v>0.95</v>
      </c>
      <c r="AG121" s="1">
        <v>1.55</v>
      </c>
      <c r="AH121" s="1">
        <v>0.95</v>
      </c>
      <c r="AI121" s="1">
        <v>3.8</v>
      </c>
      <c r="AJ121" s="1">
        <v>1</v>
      </c>
      <c r="AK121" s="1">
        <v>0</v>
      </c>
      <c r="AL121" s="1">
        <v>0.95</v>
      </c>
      <c r="AM121" s="1">
        <v>0.95</v>
      </c>
      <c r="AN121" s="1">
        <v>2.8</v>
      </c>
    </row>
    <row r="122" spans="1:40">
      <c r="A122" s="1">
        <v>416</v>
      </c>
      <c r="C122" s="1">
        <v>1.3759999999999999</v>
      </c>
      <c r="D122" s="1">
        <v>1.3759999999999999</v>
      </c>
      <c r="E122" s="1">
        <v>1.3759999999999999</v>
      </c>
      <c r="F122" s="1">
        <v>1.3759999999999999</v>
      </c>
      <c r="G122" s="1">
        <v>1.64</v>
      </c>
      <c r="H122" s="1">
        <v>1</v>
      </c>
      <c r="I122" s="1">
        <v>1</v>
      </c>
      <c r="J122" s="1">
        <v>1.88</v>
      </c>
      <c r="K122" s="1">
        <v>0.98</v>
      </c>
      <c r="L122" s="1">
        <v>1.58</v>
      </c>
      <c r="M122" s="1">
        <v>1.58</v>
      </c>
      <c r="N122" s="1">
        <v>0.95</v>
      </c>
      <c r="O122" s="1">
        <v>0.95</v>
      </c>
      <c r="P122" s="1">
        <v>1.22</v>
      </c>
      <c r="Q122" s="1">
        <v>1.1200000000000001</v>
      </c>
      <c r="R122" s="1">
        <v>0.95</v>
      </c>
      <c r="S122" s="1">
        <v>0.95</v>
      </c>
      <c r="T122" s="1">
        <v>0.95</v>
      </c>
      <c r="U122" s="1">
        <v>0.95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16</v>
      </c>
      <c r="AD122" s="1">
        <v>16</v>
      </c>
      <c r="AE122" s="1">
        <v>1.3759999999999999</v>
      </c>
      <c r="AF122" s="1">
        <v>0.95</v>
      </c>
      <c r="AG122" s="1">
        <v>1.58</v>
      </c>
      <c r="AH122" s="1">
        <v>0.95</v>
      </c>
      <c r="AI122" s="1">
        <v>4</v>
      </c>
      <c r="AJ122" s="1">
        <v>1</v>
      </c>
      <c r="AK122" s="1">
        <v>0</v>
      </c>
      <c r="AL122" s="1">
        <v>0.95</v>
      </c>
      <c r="AM122" s="1">
        <v>0.95</v>
      </c>
      <c r="AN122" s="1">
        <v>2.92</v>
      </c>
    </row>
    <row r="123" spans="1:40">
      <c r="A123" s="1">
        <v>417</v>
      </c>
      <c r="C123" s="1">
        <v>1.4119999999999999</v>
      </c>
      <c r="D123" s="1">
        <v>1.4119999999999999</v>
      </c>
      <c r="E123" s="1">
        <v>1.4119999999999999</v>
      </c>
      <c r="F123" s="1">
        <v>1.4119999999999999</v>
      </c>
      <c r="G123" s="1">
        <v>1.68</v>
      </c>
      <c r="H123" s="1">
        <v>1</v>
      </c>
      <c r="I123" s="1">
        <v>1</v>
      </c>
      <c r="J123" s="1">
        <v>1.91</v>
      </c>
      <c r="K123" s="1">
        <v>1.01</v>
      </c>
      <c r="L123" s="1">
        <v>1.61</v>
      </c>
      <c r="M123" s="1">
        <v>1.61</v>
      </c>
      <c r="N123" s="1">
        <v>0.95</v>
      </c>
      <c r="O123" s="1">
        <v>0.95</v>
      </c>
      <c r="P123" s="1">
        <v>1.22</v>
      </c>
      <c r="Q123" s="1">
        <v>1.1200000000000001</v>
      </c>
      <c r="R123" s="1">
        <v>0.95</v>
      </c>
      <c r="S123" s="1">
        <v>0.95</v>
      </c>
      <c r="T123" s="1">
        <v>0.95</v>
      </c>
      <c r="U123" s="1">
        <v>0.95</v>
      </c>
      <c r="V123" s="1">
        <v>1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17</v>
      </c>
      <c r="AD123" s="1">
        <v>17</v>
      </c>
      <c r="AE123" s="1">
        <v>1.4119999999999999</v>
      </c>
      <c r="AF123" s="1">
        <v>0.95</v>
      </c>
      <c r="AG123" s="1">
        <v>1.61</v>
      </c>
      <c r="AH123" s="1">
        <v>0.95</v>
      </c>
      <c r="AI123" s="1">
        <v>4.2</v>
      </c>
      <c r="AJ123" s="1">
        <v>1</v>
      </c>
      <c r="AK123" s="1">
        <v>0</v>
      </c>
      <c r="AL123" s="1">
        <v>0.95</v>
      </c>
      <c r="AM123" s="1">
        <v>0.95</v>
      </c>
      <c r="AN123" s="1">
        <v>3.04</v>
      </c>
    </row>
    <row r="124" spans="1:40">
      <c r="A124" s="1">
        <v>418</v>
      </c>
      <c r="C124" s="1">
        <v>1.448</v>
      </c>
      <c r="D124" s="1">
        <v>1.448</v>
      </c>
      <c r="E124" s="1">
        <v>1.448</v>
      </c>
      <c r="F124" s="1">
        <v>1.448</v>
      </c>
      <c r="G124" s="1">
        <v>1.72</v>
      </c>
      <c r="H124" s="1">
        <v>1</v>
      </c>
      <c r="I124" s="1">
        <v>1</v>
      </c>
      <c r="J124" s="1">
        <v>1.94</v>
      </c>
      <c r="K124" s="1">
        <v>1.04</v>
      </c>
      <c r="L124" s="1">
        <v>1.64</v>
      </c>
      <c r="M124" s="1">
        <v>1.64</v>
      </c>
      <c r="N124" s="1">
        <v>0.95</v>
      </c>
      <c r="O124" s="1">
        <v>0.95</v>
      </c>
      <c r="P124" s="1">
        <v>1.23</v>
      </c>
      <c r="Q124" s="1">
        <v>1.1299999999999999</v>
      </c>
      <c r="R124" s="1">
        <v>0.95</v>
      </c>
      <c r="S124" s="1">
        <v>0.95</v>
      </c>
      <c r="T124" s="1">
        <v>0.95</v>
      </c>
      <c r="U124" s="1">
        <v>0.95</v>
      </c>
      <c r="V124" s="1">
        <v>1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18</v>
      </c>
      <c r="AD124" s="1">
        <v>18</v>
      </c>
      <c r="AE124" s="1">
        <v>1.448</v>
      </c>
      <c r="AF124" s="1">
        <v>0.95</v>
      </c>
      <c r="AG124" s="1">
        <v>1.64</v>
      </c>
      <c r="AH124" s="1">
        <v>0.95</v>
      </c>
      <c r="AI124" s="1">
        <v>4.4000000000000004</v>
      </c>
      <c r="AJ124" s="1">
        <v>1</v>
      </c>
      <c r="AK124" s="1">
        <v>0</v>
      </c>
      <c r="AL124" s="1">
        <v>0.95</v>
      </c>
      <c r="AM124" s="1">
        <v>0.95</v>
      </c>
      <c r="AN124" s="1">
        <v>3.16</v>
      </c>
    </row>
    <row r="125" spans="1:40">
      <c r="A125" s="1">
        <v>419</v>
      </c>
      <c r="C125" s="1">
        <v>1.484</v>
      </c>
      <c r="D125" s="1">
        <v>1.484</v>
      </c>
      <c r="E125" s="1">
        <v>1.484</v>
      </c>
      <c r="F125" s="1">
        <v>1.484</v>
      </c>
      <c r="G125" s="1">
        <v>1.76</v>
      </c>
      <c r="H125" s="1">
        <v>1</v>
      </c>
      <c r="I125" s="1">
        <v>1</v>
      </c>
      <c r="J125" s="1">
        <v>1.97</v>
      </c>
      <c r="K125" s="1">
        <v>1.07</v>
      </c>
      <c r="L125" s="1">
        <v>1.67</v>
      </c>
      <c r="M125" s="1">
        <v>1.67</v>
      </c>
      <c r="N125" s="1">
        <v>0.95</v>
      </c>
      <c r="O125" s="1">
        <v>0.95</v>
      </c>
      <c r="P125" s="1">
        <v>1.23</v>
      </c>
      <c r="Q125" s="1">
        <v>1.1299999999999999</v>
      </c>
      <c r="R125" s="1">
        <v>0.95</v>
      </c>
      <c r="S125" s="1">
        <v>0.95</v>
      </c>
      <c r="T125" s="1">
        <v>0.95</v>
      </c>
      <c r="U125" s="1">
        <v>0.95</v>
      </c>
      <c r="V125" s="1">
        <v>1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19</v>
      </c>
      <c r="AD125" s="1">
        <v>19</v>
      </c>
      <c r="AE125" s="1">
        <v>1.484</v>
      </c>
      <c r="AF125" s="1">
        <v>0.95</v>
      </c>
      <c r="AG125" s="1">
        <v>1.67</v>
      </c>
      <c r="AH125" s="1">
        <v>0.95</v>
      </c>
      <c r="AI125" s="1">
        <v>4.5999999999999996</v>
      </c>
      <c r="AJ125" s="1">
        <v>1</v>
      </c>
      <c r="AK125" s="1">
        <v>0</v>
      </c>
      <c r="AL125" s="1">
        <v>0.95</v>
      </c>
      <c r="AM125" s="1">
        <v>0.95</v>
      </c>
      <c r="AN125" s="1">
        <v>3.28</v>
      </c>
    </row>
    <row r="126" spans="1:40">
      <c r="A126" s="1">
        <v>420</v>
      </c>
      <c r="C126" s="1">
        <v>1.52</v>
      </c>
      <c r="D126" s="1">
        <v>1.52</v>
      </c>
      <c r="E126" s="1">
        <v>1.52</v>
      </c>
      <c r="F126" s="1">
        <v>1.52</v>
      </c>
      <c r="G126" s="1">
        <v>1.8</v>
      </c>
      <c r="H126" s="1">
        <v>1</v>
      </c>
      <c r="I126" s="1">
        <v>1</v>
      </c>
      <c r="J126" s="1">
        <v>2</v>
      </c>
      <c r="K126" s="1">
        <v>1.1000000000000001</v>
      </c>
      <c r="L126" s="1">
        <v>1.7</v>
      </c>
      <c r="M126" s="1">
        <v>1.7</v>
      </c>
      <c r="N126" s="1">
        <v>0.95</v>
      </c>
      <c r="O126" s="1">
        <v>0.95</v>
      </c>
      <c r="P126" s="1">
        <v>1.23</v>
      </c>
      <c r="Q126" s="1">
        <v>1.1299999999999999</v>
      </c>
      <c r="R126" s="1">
        <v>0.95</v>
      </c>
      <c r="S126" s="1">
        <v>0.95</v>
      </c>
      <c r="T126" s="1">
        <v>0.95</v>
      </c>
      <c r="U126" s="1">
        <v>0.95</v>
      </c>
      <c r="V126" s="1">
        <v>1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20</v>
      </c>
      <c r="AD126" s="1">
        <v>20</v>
      </c>
      <c r="AE126" s="1">
        <v>1.52</v>
      </c>
      <c r="AF126" s="1">
        <v>0.95</v>
      </c>
      <c r="AG126" s="1">
        <v>1.7</v>
      </c>
      <c r="AH126" s="1">
        <v>0.95</v>
      </c>
      <c r="AI126" s="1">
        <v>4.8</v>
      </c>
      <c r="AJ126" s="1">
        <v>1</v>
      </c>
      <c r="AK126" s="1">
        <v>0</v>
      </c>
      <c r="AL126" s="1">
        <v>0.95</v>
      </c>
      <c r="AM126" s="1">
        <v>0.95</v>
      </c>
      <c r="AN126" s="1">
        <v>3.4</v>
      </c>
    </row>
    <row r="127" spans="1:40">
      <c r="A127" s="1">
        <v>421</v>
      </c>
      <c r="C127" s="1">
        <v>1.556</v>
      </c>
      <c r="D127" s="1">
        <v>1.556</v>
      </c>
      <c r="E127" s="1">
        <v>1.556</v>
      </c>
      <c r="F127" s="1">
        <v>1.556</v>
      </c>
      <c r="G127" s="1">
        <v>1.84</v>
      </c>
      <c r="H127" s="1">
        <v>1</v>
      </c>
      <c r="I127" s="1">
        <v>1</v>
      </c>
      <c r="J127" s="1">
        <v>2.02</v>
      </c>
      <c r="K127" s="1">
        <v>1.1200000000000001</v>
      </c>
      <c r="L127" s="1">
        <v>1.72</v>
      </c>
      <c r="M127" s="1">
        <v>1.72</v>
      </c>
      <c r="N127" s="1">
        <v>0.95</v>
      </c>
      <c r="O127" s="1">
        <v>0.95</v>
      </c>
      <c r="P127" s="1">
        <v>1.24</v>
      </c>
      <c r="Q127" s="1">
        <v>1.1399999999999999</v>
      </c>
      <c r="R127" s="1">
        <v>0.95</v>
      </c>
      <c r="S127" s="1">
        <v>0.95</v>
      </c>
      <c r="T127" s="1">
        <v>0.95</v>
      </c>
      <c r="U127" s="1">
        <v>0.95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21</v>
      </c>
      <c r="AD127" s="1">
        <v>21</v>
      </c>
      <c r="AE127" s="1">
        <v>1.556</v>
      </c>
      <c r="AF127" s="1">
        <v>0.95</v>
      </c>
      <c r="AG127" s="1">
        <v>1.72</v>
      </c>
      <c r="AH127" s="1">
        <v>0.95</v>
      </c>
      <c r="AI127" s="1">
        <v>5</v>
      </c>
      <c r="AJ127" s="1">
        <v>1</v>
      </c>
      <c r="AK127" s="1">
        <v>0</v>
      </c>
      <c r="AL127" s="1">
        <v>0.95</v>
      </c>
      <c r="AM127" s="1">
        <v>0.95</v>
      </c>
      <c r="AN127" s="1">
        <v>3.52</v>
      </c>
    </row>
    <row r="128" spans="1:40">
      <c r="A128" s="1">
        <v>422</v>
      </c>
      <c r="C128" s="1">
        <v>1.5920000000000001</v>
      </c>
      <c r="D128" s="1">
        <v>1.5920000000000001</v>
      </c>
      <c r="E128" s="1">
        <v>1.5920000000000001</v>
      </c>
      <c r="F128" s="1">
        <v>1.5920000000000001</v>
      </c>
      <c r="G128" s="1">
        <v>1.88</v>
      </c>
      <c r="H128" s="1">
        <v>1</v>
      </c>
      <c r="I128" s="1">
        <v>1</v>
      </c>
      <c r="J128" s="1">
        <v>2.04</v>
      </c>
      <c r="K128" s="1">
        <v>1.1399999999999999</v>
      </c>
      <c r="L128" s="1">
        <v>1.74</v>
      </c>
      <c r="M128" s="1">
        <v>1.74</v>
      </c>
      <c r="N128" s="1">
        <v>0.95</v>
      </c>
      <c r="O128" s="1">
        <v>0.95</v>
      </c>
      <c r="P128" s="1">
        <v>1.24</v>
      </c>
      <c r="Q128" s="1">
        <v>1.1399999999999999</v>
      </c>
      <c r="R128" s="1">
        <v>0.95</v>
      </c>
      <c r="S128" s="1">
        <v>0.95</v>
      </c>
      <c r="T128" s="1">
        <v>0.95</v>
      </c>
      <c r="U128" s="1">
        <v>0.95</v>
      </c>
      <c r="V128" s="1">
        <v>1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22</v>
      </c>
      <c r="AD128" s="1">
        <v>22</v>
      </c>
      <c r="AE128" s="1">
        <v>1.5920000000000001</v>
      </c>
      <c r="AF128" s="1">
        <v>0.95</v>
      </c>
      <c r="AG128" s="1">
        <v>1.74</v>
      </c>
      <c r="AH128" s="1">
        <v>0.95</v>
      </c>
      <c r="AI128" s="1">
        <v>5.2</v>
      </c>
      <c r="AJ128" s="1">
        <v>1</v>
      </c>
      <c r="AK128" s="1">
        <v>0</v>
      </c>
      <c r="AL128" s="1">
        <v>0.95</v>
      </c>
      <c r="AM128" s="1">
        <v>0.95</v>
      </c>
      <c r="AN128" s="1">
        <v>3.64</v>
      </c>
    </row>
    <row r="129" spans="1:40">
      <c r="A129" s="1">
        <v>423</v>
      </c>
      <c r="C129" s="1">
        <v>1.6279999999999999</v>
      </c>
      <c r="D129" s="1">
        <v>1.6279999999999999</v>
      </c>
      <c r="E129" s="1">
        <v>1.6279999999999999</v>
      </c>
      <c r="F129" s="1">
        <v>1.6279999999999999</v>
      </c>
      <c r="G129" s="1">
        <v>1.92</v>
      </c>
      <c r="H129" s="1">
        <v>1</v>
      </c>
      <c r="I129" s="1">
        <v>1</v>
      </c>
      <c r="J129" s="1">
        <v>2.06</v>
      </c>
      <c r="K129" s="1">
        <v>1.1599999999999999</v>
      </c>
      <c r="L129" s="1">
        <v>1.76</v>
      </c>
      <c r="M129" s="1">
        <v>1.76</v>
      </c>
      <c r="N129" s="1">
        <v>0.95</v>
      </c>
      <c r="O129" s="1">
        <v>0.95</v>
      </c>
      <c r="P129" s="1">
        <v>1.24</v>
      </c>
      <c r="Q129" s="1">
        <v>1.1399999999999999</v>
      </c>
      <c r="R129" s="1">
        <v>0.95</v>
      </c>
      <c r="S129" s="1">
        <v>0.95</v>
      </c>
      <c r="T129" s="1">
        <v>0.95</v>
      </c>
      <c r="U129" s="1">
        <v>0.95</v>
      </c>
      <c r="V129" s="1">
        <v>1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23</v>
      </c>
      <c r="AD129" s="1">
        <v>23</v>
      </c>
      <c r="AE129" s="1">
        <v>1.6279999999999999</v>
      </c>
      <c r="AF129" s="1">
        <v>0.95</v>
      </c>
      <c r="AG129" s="1">
        <v>1.76</v>
      </c>
      <c r="AH129" s="1">
        <v>0.95</v>
      </c>
      <c r="AI129" s="1">
        <v>5.4</v>
      </c>
      <c r="AJ129" s="1">
        <v>1</v>
      </c>
      <c r="AK129" s="1">
        <v>0</v>
      </c>
      <c r="AL129" s="1">
        <v>0.95</v>
      </c>
      <c r="AM129" s="1">
        <v>0.95</v>
      </c>
      <c r="AN129" s="1">
        <v>3.76</v>
      </c>
    </row>
    <row r="130" spans="1:40">
      <c r="A130" s="1">
        <v>424</v>
      </c>
      <c r="C130" s="1">
        <v>1.6639999999999999</v>
      </c>
      <c r="D130" s="1">
        <v>1.6639999999999999</v>
      </c>
      <c r="E130" s="1">
        <v>1.6639999999999999</v>
      </c>
      <c r="F130" s="1">
        <v>1.6639999999999999</v>
      </c>
      <c r="G130" s="1">
        <v>1.96</v>
      </c>
      <c r="H130" s="1">
        <v>1</v>
      </c>
      <c r="I130" s="1">
        <v>1</v>
      </c>
      <c r="J130" s="1">
        <v>2.08</v>
      </c>
      <c r="K130" s="1">
        <v>1.18</v>
      </c>
      <c r="L130" s="1">
        <v>1.78</v>
      </c>
      <c r="M130" s="1">
        <v>1.78</v>
      </c>
      <c r="N130" s="1">
        <v>0.95</v>
      </c>
      <c r="O130" s="1">
        <v>0.95</v>
      </c>
      <c r="P130" s="1">
        <v>1.24</v>
      </c>
      <c r="Q130" s="1">
        <v>1.1399999999999999</v>
      </c>
      <c r="R130" s="1">
        <v>0.95</v>
      </c>
      <c r="S130" s="1">
        <v>0.95</v>
      </c>
      <c r="T130" s="1">
        <v>0.95</v>
      </c>
      <c r="U130" s="1">
        <v>0.95</v>
      </c>
      <c r="V130" s="1">
        <v>1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24</v>
      </c>
      <c r="AD130" s="1">
        <v>24</v>
      </c>
      <c r="AE130" s="1">
        <v>1.6639999999999999</v>
      </c>
      <c r="AF130" s="1">
        <v>0.95</v>
      </c>
      <c r="AG130" s="1">
        <v>1.78</v>
      </c>
      <c r="AH130" s="1">
        <v>0.95</v>
      </c>
      <c r="AI130" s="1">
        <v>5.6</v>
      </c>
      <c r="AJ130" s="1">
        <v>1</v>
      </c>
      <c r="AK130" s="1">
        <v>0</v>
      </c>
      <c r="AL130" s="1">
        <v>0.95</v>
      </c>
      <c r="AM130" s="1">
        <v>0.95</v>
      </c>
      <c r="AN130" s="1">
        <v>3.88</v>
      </c>
    </row>
    <row r="131" spans="1:40">
      <c r="A131" s="1">
        <v>425</v>
      </c>
      <c r="C131" s="1">
        <v>1.7</v>
      </c>
      <c r="D131" s="1">
        <v>1.7</v>
      </c>
      <c r="E131" s="1">
        <v>1.7</v>
      </c>
      <c r="F131" s="1">
        <v>1.7</v>
      </c>
      <c r="G131" s="1">
        <v>2</v>
      </c>
      <c r="H131" s="1">
        <v>1</v>
      </c>
      <c r="I131" s="1">
        <v>1</v>
      </c>
      <c r="J131" s="1">
        <v>2.1</v>
      </c>
      <c r="K131" s="1">
        <v>1.2</v>
      </c>
      <c r="L131" s="1">
        <v>1.8</v>
      </c>
      <c r="M131" s="1">
        <v>1.8</v>
      </c>
      <c r="N131" s="1">
        <v>0.95</v>
      </c>
      <c r="O131" s="1">
        <v>0.95</v>
      </c>
      <c r="P131" s="1">
        <v>1.25</v>
      </c>
      <c r="Q131" s="1">
        <v>1.1499999999999999</v>
      </c>
      <c r="R131" s="1">
        <v>0.95</v>
      </c>
      <c r="S131" s="1">
        <v>0.95</v>
      </c>
      <c r="T131" s="1">
        <v>0.95</v>
      </c>
      <c r="U131" s="1">
        <v>0.95</v>
      </c>
      <c r="V131" s="1">
        <v>1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25</v>
      </c>
      <c r="AD131" s="1">
        <v>25</v>
      </c>
      <c r="AE131" s="1">
        <v>1.7</v>
      </c>
      <c r="AF131" s="1">
        <v>0.95</v>
      </c>
      <c r="AG131" s="1">
        <v>1.8</v>
      </c>
      <c r="AH131" s="1">
        <v>0.95</v>
      </c>
      <c r="AI131" s="1">
        <v>5.8</v>
      </c>
      <c r="AJ131" s="1">
        <v>1</v>
      </c>
      <c r="AK131" s="1">
        <v>0</v>
      </c>
      <c r="AL131" s="1">
        <v>0.95</v>
      </c>
      <c r="AM131" s="1">
        <v>0.95</v>
      </c>
      <c r="AN131" s="1">
        <v>4</v>
      </c>
    </row>
    <row r="132" spans="1:40">
      <c r="A132" s="1">
        <v>500</v>
      </c>
      <c r="C132" s="1">
        <v>0.85</v>
      </c>
      <c r="D132" s="1">
        <v>0.85</v>
      </c>
      <c r="E132" s="1">
        <v>0.85</v>
      </c>
      <c r="F132" s="1">
        <v>0.85</v>
      </c>
      <c r="G132" s="1">
        <v>1</v>
      </c>
      <c r="H132" s="1">
        <v>1</v>
      </c>
      <c r="I132" s="1">
        <v>1</v>
      </c>
      <c r="J132" s="1">
        <v>0.8</v>
      </c>
      <c r="K132" s="1">
        <v>0.8</v>
      </c>
      <c r="L132" s="1">
        <v>1</v>
      </c>
      <c r="M132" s="1">
        <v>1</v>
      </c>
      <c r="N132" s="1">
        <v>0.95</v>
      </c>
      <c r="O132" s="1">
        <v>0.95</v>
      </c>
      <c r="P132" s="1">
        <v>1.1499999999999999</v>
      </c>
      <c r="Q132" s="1">
        <v>1.05</v>
      </c>
      <c r="R132" s="1">
        <v>0.95</v>
      </c>
      <c r="S132" s="1">
        <v>0.95</v>
      </c>
      <c r="T132" s="1">
        <v>0.95</v>
      </c>
      <c r="U132" s="1">
        <v>0.95</v>
      </c>
      <c r="V132" s="1">
        <v>1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0.85</v>
      </c>
      <c r="AF132" s="1">
        <v>0.95</v>
      </c>
      <c r="AG132" s="1">
        <v>1</v>
      </c>
      <c r="AH132" s="1">
        <v>0.95</v>
      </c>
      <c r="AI132" s="1">
        <v>1</v>
      </c>
      <c r="AJ132" s="1">
        <v>1</v>
      </c>
      <c r="AK132" s="1">
        <v>0</v>
      </c>
      <c r="AL132" s="1">
        <v>0.95</v>
      </c>
      <c r="AM132" s="1">
        <v>0.95</v>
      </c>
      <c r="AN132" s="1">
        <v>1</v>
      </c>
    </row>
    <row r="133" spans="1:40">
      <c r="A133" s="1">
        <v>501</v>
      </c>
      <c r="C133" s="1">
        <v>0.89400000000000002</v>
      </c>
      <c r="D133" s="1">
        <v>0.89400000000000002</v>
      </c>
      <c r="E133" s="1">
        <v>0.89400000000000002</v>
      </c>
      <c r="F133" s="1">
        <v>0.89400000000000002</v>
      </c>
      <c r="G133" s="1">
        <v>1.04</v>
      </c>
      <c r="H133" s="1">
        <v>1</v>
      </c>
      <c r="I133" s="1">
        <v>1</v>
      </c>
      <c r="J133" s="1">
        <v>0.85</v>
      </c>
      <c r="K133" s="1">
        <v>0.85</v>
      </c>
      <c r="L133" s="1">
        <v>1.08</v>
      </c>
      <c r="M133" s="1">
        <v>1.07</v>
      </c>
      <c r="N133" s="1">
        <v>0.95</v>
      </c>
      <c r="O133" s="1">
        <v>0.95</v>
      </c>
      <c r="P133" s="1">
        <v>1.1499999999999999</v>
      </c>
      <c r="Q133" s="1">
        <v>1.05</v>
      </c>
      <c r="R133" s="1">
        <v>0.95</v>
      </c>
      <c r="S133" s="1">
        <v>0.95</v>
      </c>
      <c r="T133" s="1">
        <v>0.95</v>
      </c>
      <c r="U133" s="1">
        <v>0.95</v>
      </c>
      <c r="V133" s="1">
        <v>1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1</v>
      </c>
      <c r="AD133" s="1">
        <v>1</v>
      </c>
      <c r="AE133" s="1">
        <v>0.89400000000000002</v>
      </c>
      <c r="AF133" s="1">
        <v>0.95</v>
      </c>
      <c r="AG133" s="1">
        <v>1.04</v>
      </c>
      <c r="AH133" s="1">
        <v>0.95</v>
      </c>
      <c r="AI133" s="1">
        <v>1</v>
      </c>
      <c r="AJ133" s="1">
        <v>1</v>
      </c>
      <c r="AK133" s="1">
        <v>0</v>
      </c>
      <c r="AL133" s="1">
        <v>0.95</v>
      </c>
      <c r="AM133" s="1">
        <v>0.95</v>
      </c>
      <c r="AN133" s="1">
        <v>1.1200000000000001</v>
      </c>
    </row>
    <row r="134" spans="1:40">
      <c r="A134" s="1">
        <v>502</v>
      </c>
      <c r="C134" s="1">
        <v>0.93799999999999994</v>
      </c>
      <c r="D134" s="1">
        <v>0.93799999999999994</v>
      </c>
      <c r="E134" s="1">
        <v>0.93799999999999994</v>
      </c>
      <c r="F134" s="1">
        <v>0.93799999999999994</v>
      </c>
      <c r="G134" s="1">
        <v>1.08</v>
      </c>
      <c r="H134" s="1">
        <v>1</v>
      </c>
      <c r="I134" s="1">
        <v>1</v>
      </c>
      <c r="J134" s="1">
        <v>0.9</v>
      </c>
      <c r="K134" s="1">
        <v>0.9</v>
      </c>
      <c r="L134" s="1">
        <v>1.1599999999999999</v>
      </c>
      <c r="M134" s="1">
        <v>1.1399999999999999</v>
      </c>
      <c r="N134" s="1">
        <v>0.95</v>
      </c>
      <c r="O134" s="1">
        <v>0.95</v>
      </c>
      <c r="P134" s="1">
        <v>1.1599999999999999</v>
      </c>
      <c r="Q134" s="1">
        <v>1.06</v>
      </c>
      <c r="R134" s="1">
        <v>0.95</v>
      </c>
      <c r="S134" s="1">
        <v>0.95</v>
      </c>
      <c r="T134" s="1">
        <v>0.95</v>
      </c>
      <c r="U134" s="1">
        <v>0.95</v>
      </c>
      <c r="V134" s="1">
        <v>1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2</v>
      </c>
      <c r="AD134" s="1">
        <v>2</v>
      </c>
      <c r="AE134" s="1">
        <v>0.93799999999999994</v>
      </c>
      <c r="AF134" s="1">
        <v>0.95</v>
      </c>
      <c r="AG134" s="1">
        <v>1.08</v>
      </c>
      <c r="AH134" s="1">
        <v>0.95</v>
      </c>
      <c r="AI134" s="1">
        <v>1.2</v>
      </c>
      <c r="AJ134" s="1">
        <v>1</v>
      </c>
      <c r="AK134" s="1">
        <v>0</v>
      </c>
      <c r="AL134" s="1">
        <v>0.95</v>
      </c>
      <c r="AM134" s="1">
        <v>0.95</v>
      </c>
      <c r="AN134" s="1">
        <v>1.24</v>
      </c>
    </row>
    <row r="135" spans="1:40">
      <c r="A135" s="1">
        <v>503</v>
      </c>
      <c r="C135" s="1">
        <v>0.98199999999999998</v>
      </c>
      <c r="D135" s="1">
        <v>0.98199999999999998</v>
      </c>
      <c r="E135" s="1">
        <v>0.98199999999999998</v>
      </c>
      <c r="F135" s="1">
        <v>0.98199999999999998</v>
      </c>
      <c r="G135" s="1">
        <v>1.1200000000000001</v>
      </c>
      <c r="H135" s="1">
        <v>1</v>
      </c>
      <c r="I135" s="1">
        <v>1</v>
      </c>
      <c r="J135" s="1">
        <v>0.95</v>
      </c>
      <c r="K135" s="1">
        <v>0.95</v>
      </c>
      <c r="L135" s="1">
        <v>1.24</v>
      </c>
      <c r="M135" s="1">
        <v>1.21</v>
      </c>
      <c r="N135" s="1">
        <v>0.95</v>
      </c>
      <c r="O135" s="1">
        <v>0.95</v>
      </c>
      <c r="P135" s="1">
        <v>1.1599999999999999</v>
      </c>
      <c r="Q135" s="1">
        <v>1.06</v>
      </c>
      <c r="R135" s="1">
        <v>0.95</v>
      </c>
      <c r="S135" s="1">
        <v>0.95</v>
      </c>
      <c r="T135" s="1">
        <v>0.95</v>
      </c>
      <c r="U135" s="1">
        <v>0.95</v>
      </c>
      <c r="V135" s="1">
        <v>1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3</v>
      </c>
      <c r="AD135" s="1">
        <v>3</v>
      </c>
      <c r="AE135" s="1">
        <v>0.98199999999999998</v>
      </c>
      <c r="AF135" s="1">
        <v>0.95</v>
      </c>
      <c r="AG135" s="1">
        <v>1.1200000000000001</v>
      </c>
      <c r="AH135" s="1">
        <v>0.95</v>
      </c>
      <c r="AI135" s="1">
        <v>1.4</v>
      </c>
      <c r="AJ135" s="1">
        <v>1</v>
      </c>
      <c r="AK135" s="1">
        <v>0</v>
      </c>
      <c r="AL135" s="1">
        <v>0.95</v>
      </c>
      <c r="AM135" s="1">
        <v>0.95</v>
      </c>
      <c r="AN135" s="1">
        <v>1.36</v>
      </c>
    </row>
    <row r="136" spans="1:40">
      <c r="A136" s="1">
        <v>504</v>
      </c>
      <c r="C136" s="1">
        <v>1.026</v>
      </c>
      <c r="D136" s="1">
        <v>1.026</v>
      </c>
      <c r="E136" s="1">
        <v>1.026</v>
      </c>
      <c r="F136" s="1">
        <v>1.026</v>
      </c>
      <c r="G136" s="1">
        <v>1.1599999999999999</v>
      </c>
      <c r="H136" s="1">
        <v>1</v>
      </c>
      <c r="I136" s="1">
        <v>1</v>
      </c>
      <c r="J136" s="1">
        <v>1</v>
      </c>
      <c r="K136" s="1">
        <v>1</v>
      </c>
      <c r="L136" s="1">
        <v>1.32</v>
      </c>
      <c r="M136" s="1">
        <v>1.28</v>
      </c>
      <c r="N136" s="1">
        <v>0.95</v>
      </c>
      <c r="O136" s="1">
        <v>0.95</v>
      </c>
      <c r="P136" s="1">
        <v>1.17</v>
      </c>
      <c r="Q136" s="1">
        <v>1.07</v>
      </c>
      <c r="R136" s="1">
        <v>0.95</v>
      </c>
      <c r="S136" s="1">
        <v>0.95</v>
      </c>
      <c r="T136" s="1">
        <v>0.95</v>
      </c>
      <c r="U136" s="1">
        <v>0.95</v>
      </c>
      <c r="V136" s="1">
        <v>1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4</v>
      </c>
      <c r="AE136" s="1">
        <v>1.026</v>
      </c>
      <c r="AF136" s="1">
        <v>0.95</v>
      </c>
      <c r="AG136" s="1">
        <v>1.1599999999999999</v>
      </c>
      <c r="AH136" s="1">
        <v>0.95</v>
      </c>
      <c r="AI136" s="1">
        <v>1.6</v>
      </c>
      <c r="AJ136" s="1">
        <v>1</v>
      </c>
      <c r="AK136" s="1">
        <v>0</v>
      </c>
      <c r="AL136" s="1">
        <v>0.95</v>
      </c>
      <c r="AM136" s="1">
        <v>0.95</v>
      </c>
      <c r="AN136" s="1">
        <v>1.48</v>
      </c>
    </row>
    <row r="137" spans="1:40">
      <c r="A137" s="1">
        <v>505</v>
      </c>
      <c r="C137" s="1">
        <v>1.07</v>
      </c>
      <c r="D137" s="1">
        <v>1.07</v>
      </c>
      <c r="E137" s="1">
        <v>1.07</v>
      </c>
      <c r="F137" s="1">
        <v>1.07</v>
      </c>
      <c r="G137" s="1">
        <v>1.2</v>
      </c>
      <c r="H137" s="1">
        <v>1</v>
      </c>
      <c r="I137" s="1">
        <v>1</v>
      </c>
      <c r="J137" s="1">
        <v>1.05</v>
      </c>
      <c r="K137" s="1">
        <v>1.05</v>
      </c>
      <c r="L137" s="1">
        <v>1.4</v>
      </c>
      <c r="M137" s="1">
        <v>1.35</v>
      </c>
      <c r="N137" s="1">
        <v>0.95</v>
      </c>
      <c r="O137" s="1">
        <v>0.95</v>
      </c>
      <c r="P137" s="1">
        <v>1.17</v>
      </c>
      <c r="Q137" s="1">
        <v>1.07</v>
      </c>
      <c r="R137" s="1">
        <v>0.95</v>
      </c>
      <c r="S137" s="1">
        <v>0.95</v>
      </c>
      <c r="T137" s="1">
        <v>0.95</v>
      </c>
      <c r="U137" s="1">
        <v>0.95</v>
      </c>
      <c r="V137" s="1">
        <v>1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5</v>
      </c>
      <c r="AD137" s="1">
        <v>5</v>
      </c>
      <c r="AE137" s="1">
        <v>1.07</v>
      </c>
      <c r="AF137" s="1">
        <v>0.95</v>
      </c>
      <c r="AG137" s="1">
        <v>1.2</v>
      </c>
      <c r="AH137" s="1">
        <v>0.95</v>
      </c>
      <c r="AI137" s="1">
        <v>1.8</v>
      </c>
      <c r="AJ137" s="1">
        <v>1</v>
      </c>
      <c r="AK137" s="1">
        <v>0</v>
      </c>
      <c r="AL137" s="1">
        <v>0.95</v>
      </c>
      <c r="AM137" s="1">
        <v>0.95</v>
      </c>
      <c r="AN137" s="1">
        <v>1.6</v>
      </c>
    </row>
    <row r="138" spans="1:40">
      <c r="A138" s="1">
        <v>506</v>
      </c>
      <c r="C138" s="1">
        <v>1.1140000000000001</v>
      </c>
      <c r="D138" s="1">
        <v>1.1140000000000001</v>
      </c>
      <c r="E138" s="1">
        <v>1.1140000000000001</v>
      </c>
      <c r="F138" s="1">
        <v>1.1140000000000001</v>
      </c>
      <c r="G138" s="1">
        <v>1.24</v>
      </c>
      <c r="H138" s="1">
        <v>1</v>
      </c>
      <c r="I138" s="1">
        <v>1</v>
      </c>
      <c r="J138" s="1">
        <v>1.1000000000000001</v>
      </c>
      <c r="K138" s="1">
        <v>1.1000000000000001</v>
      </c>
      <c r="L138" s="1">
        <v>1.48</v>
      </c>
      <c r="M138" s="1">
        <v>1.42</v>
      </c>
      <c r="N138" s="1">
        <v>0.95</v>
      </c>
      <c r="O138" s="1">
        <v>0.95</v>
      </c>
      <c r="P138" s="1">
        <v>1.18</v>
      </c>
      <c r="Q138" s="1">
        <v>1.08</v>
      </c>
      <c r="R138" s="1">
        <v>0.95</v>
      </c>
      <c r="S138" s="1">
        <v>0.95</v>
      </c>
      <c r="T138" s="1">
        <v>0.95</v>
      </c>
      <c r="U138" s="1">
        <v>0.95</v>
      </c>
      <c r="V138" s="1">
        <v>1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6</v>
      </c>
      <c r="AD138" s="1">
        <v>6</v>
      </c>
      <c r="AE138" s="1">
        <v>1.1140000000000001</v>
      </c>
      <c r="AF138" s="1">
        <v>0.95</v>
      </c>
      <c r="AG138" s="1">
        <v>1.24</v>
      </c>
      <c r="AH138" s="1">
        <v>0.95</v>
      </c>
      <c r="AI138" s="1">
        <v>2</v>
      </c>
      <c r="AJ138" s="1">
        <v>1</v>
      </c>
      <c r="AK138" s="1">
        <v>0</v>
      </c>
      <c r="AL138" s="1">
        <v>0.95</v>
      </c>
      <c r="AM138" s="1">
        <v>0.95</v>
      </c>
      <c r="AN138" s="1">
        <v>1.72</v>
      </c>
    </row>
    <row r="139" spans="1:40">
      <c r="A139" s="1">
        <v>507</v>
      </c>
      <c r="C139" s="1">
        <v>1.1579999999999999</v>
      </c>
      <c r="D139" s="1">
        <v>1.1579999999999999</v>
      </c>
      <c r="E139" s="1">
        <v>1.1579999999999999</v>
      </c>
      <c r="F139" s="1">
        <v>1.1579999999999999</v>
      </c>
      <c r="G139" s="1">
        <v>1.28</v>
      </c>
      <c r="H139" s="1">
        <v>1</v>
      </c>
      <c r="I139" s="1">
        <v>1</v>
      </c>
      <c r="J139" s="1">
        <v>1.1499999999999999</v>
      </c>
      <c r="K139" s="1">
        <v>1.1499999999999999</v>
      </c>
      <c r="L139" s="1">
        <v>1.56</v>
      </c>
      <c r="M139" s="1">
        <v>1.49</v>
      </c>
      <c r="N139" s="1">
        <v>0.95</v>
      </c>
      <c r="O139" s="1">
        <v>0.95</v>
      </c>
      <c r="P139" s="1">
        <v>1.18</v>
      </c>
      <c r="Q139" s="1">
        <v>1.08</v>
      </c>
      <c r="R139" s="1">
        <v>0.95</v>
      </c>
      <c r="S139" s="1">
        <v>0.95</v>
      </c>
      <c r="T139" s="1">
        <v>0.95</v>
      </c>
      <c r="U139" s="1">
        <v>0.95</v>
      </c>
      <c r="V139" s="1">
        <v>1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7</v>
      </c>
      <c r="AD139" s="1">
        <v>7</v>
      </c>
      <c r="AE139" s="1">
        <v>1.1579999999999999</v>
      </c>
      <c r="AF139" s="1">
        <v>0.95</v>
      </c>
      <c r="AG139" s="1">
        <v>1.28</v>
      </c>
      <c r="AH139" s="1">
        <v>0.95</v>
      </c>
      <c r="AI139" s="1">
        <v>2.2000000000000002</v>
      </c>
      <c r="AJ139" s="1">
        <v>1</v>
      </c>
      <c r="AK139" s="1">
        <v>0</v>
      </c>
      <c r="AL139" s="1">
        <v>0.95</v>
      </c>
      <c r="AM139" s="1">
        <v>0.95</v>
      </c>
      <c r="AN139" s="1">
        <v>1.84</v>
      </c>
    </row>
    <row r="140" spans="1:40">
      <c r="A140" s="1">
        <v>508</v>
      </c>
      <c r="C140" s="1">
        <v>1.202</v>
      </c>
      <c r="D140" s="1">
        <v>1.202</v>
      </c>
      <c r="E140" s="1">
        <v>1.202</v>
      </c>
      <c r="F140" s="1">
        <v>1.202</v>
      </c>
      <c r="G140" s="1">
        <v>1.32</v>
      </c>
      <c r="H140" s="1">
        <v>1</v>
      </c>
      <c r="I140" s="1">
        <v>1</v>
      </c>
      <c r="J140" s="1">
        <v>1.2</v>
      </c>
      <c r="K140" s="1">
        <v>1.2</v>
      </c>
      <c r="L140" s="1">
        <v>1.64</v>
      </c>
      <c r="M140" s="1">
        <v>1.56</v>
      </c>
      <c r="N140" s="1">
        <v>0.95</v>
      </c>
      <c r="O140" s="1">
        <v>0.95</v>
      </c>
      <c r="P140" s="1">
        <v>1.19</v>
      </c>
      <c r="Q140" s="1">
        <v>1.0900000000000001</v>
      </c>
      <c r="R140" s="1">
        <v>0.95</v>
      </c>
      <c r="S140" s="1">
        <v>0.95</v>
      </c>
      <c r="T140" s="1">
        <v>0.95</v>
      </c>
      <c r="U140" s="1">
        <v>0.95</v>
      </c>
      <c r="V140" s="1">
        <v>1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8</v>
      </c>
      <c r="AD140" s="1">
        <v>8</v>
      </c>
      <c r="AE140" s="1">
        <v>1.202</v>
      </c>
      <c r="AF140" s="1">
        <v>0.95</v>
      </c>
      <c r="AG140" s="1">
        <v>1.32</v>
      </c>
      <c r="AH140" s="1">
        <v>0.95</v>
      </c>
      <c r="AI140" s="1">
        <v>2.4</v>
      </c>
      <c r="AJ140" s="1">
        <v>1</v>
      </c>
      <c r="AK140" s="1">
        <v>0</v>
      </c>
      <c r="AL140" s="1">
        <v>0.95</v>
      </c>
      <c r="AM140" s="1">
        <v>0.95</v>
      </c>
      <c r="AN140" s="1">
        <v>1.96</v>
      </c>
    </row>
    <row r="141" spans="1:40">
      <c r="A141" s="1">
        <v>509</v>
      </c>
      <c r="C141" s="1">
        <v>1.246</v>
      </c>
      <c r="D141" s="1">
        <v>1.246</v>
      </c>
      <c r="E141" s="1">
        <v>1.246</v>
      </c>
      <c r="F141" s="1">
        <v>1.246</v>
      </c>
      <c r="G141" s="1">
        <v>1.36</v>
      </c>
      <c r="H141" s="1">
        <v>1</v>
      </c>
      <c r="I141" s="1">
        <v>1</v>
      </c>
      <c r="J141" s="1">
        <v>1.25</v>
      </c>
      <c r="K141" s="1">
        <v>1.25</v>
      </c>
      <c r="L141" s="1">
        <v>1.72</v>
      </c>
      <c r="M141" s="1">
        <v>1.63</v>
      </c>
      <c r="N141" s="1">
        <v>0.95</v>
      </c>
      <c r="O141" s="1">
        <v>0.95</v>
      </c>
      <c r="P141" s="1">
        <v>1.19</v>
      </c>
      <c r="Q141" s="1">
        <v>1.0900000000000001</v>
      </c>
      <c r="R141" s="1">
        <v>0.95</v>
      </c>
      <c r="S141" s="1">
        <v>0.95</v>
      </c>
      <c r="T141" s="1">
        <v>0.95</v>
      </c>
      <c r="U141" s="1">
        <v>0.95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9</v>
      </c>
      <c r="AD141" s="1">
        <v>9</v>
      </c>
      <c r="AE141" s="1">
        <v>1.246</v>
      </c>
      <c r="AF141" s="1">
        <v>0.95</v>
      </c>
      <c r="AG141" s="1">
        <v>1.36</v>
      </c>
      <c r="AH141" s="1">
        <v>0.95</v>
      </c>
      <c r="AI141" s="1">
        <v>2.6</v>
      </c>
      <c r="AJ141" s="1">
        <v>1</v>
      </c>
      <c r="AK141" s="1">
        <v>0</v>
      </c>
      <c r="AL141" s="1">
        <v>0.95</v>
      </c>
      <c r="AM141" s="1">
        <v>0.95</v>
      </c>
      <c r="AN141" s="1">
        <v>2.08</v>
      </c>
    </row>
    <row r="142" spans="1:40">
      <c r="A142" s="1">
        <v>510</v>
      </c>
      <c r="C142" s="1">
        <v>1.29</v>
      </c>
      <c r="D142" s="1">
        <v>1.29</v>
      </c>
      <c r="E142" s="1">
        <v>1.29</v>
      </c>
      <c r="F142" s="1">
        <v>1.29</v>
      </c>
      <c r="G142" s="1">
        <v>1.4</v>
      </c>
      <c r="H142" s="1">
        <v>1</v>
      </c>
      <c r="I142" s="1">
        <v>1</v>
      </c>
      <c r="J142" s="1">
        <v>1.3</v>
      </c>
      <c r="K142" s="1">
        <v>1.3</v>
      </c>
      <c r="L142" s="1">
        <v>1.8</v>
      </c>
      <c r="M142" s="1">
        <v>1.7</v>
      </c>
      <c r="N142" s="1">
        <v>0.95</v>
      </c>
      <c r="O142" s="1">
        <v>0.95</v>
      </c>
      <c r="P142" s="1">
        <v>1.2</v>
      </c>
      <c r="Q142" s="1">
        <v>1.1000000000000001</v>
      </c>
      <c r="R142" s="1">
        <v>0.95</v>
      </c>
      <c r="S142" s="1">
        <v>0.95</v>
      </c>
      <c r="T142" s="1">
        <v>0.95</v>
      </c>
      <c r="U142" s="1">
        <v>0.95</v>
      </c>
      <c r="V142" s="1">
        <v>1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10</v>
      </c>
      <c r="AD142" s="1">
        <v>10</v>
      </c>
      <c r="AE142" s="1">
        <v>1.29</v>
      </c>
      <c r="AF142" s="1">
        <v>0.95</v>
      </c>
      <c r="AG142" s="1">
        <v>1.4</v>
      </c>
      <c r="AH142" s="1">
        <v>0.95</v>
      </c>
      <c r="AI142" s="1">
        <v>2.8</v>
      </c>
      <c r="AJ142" s="1">
        <v>1</v>
      </c>
      <c r="AK142" s="1">
        <v>0</v>
      </c>
      <c r="AL142" s="1">
        <v>0.95</v>
      </c>
      <c r="AM142" s="1">
        <v>0.95</v>
      </c>
      <c r="AN142" s="1">
        <v>2.2000000000000002</v>
      </c>
    </row>
    <row r="143" spans="1:40">
      <c r="A143" s="1">
        <v>511</v>
      </c>
      <c r="C143" s="1">
        <v>1.3340000000000001</v>
      </c>
      <c r="D143" s="1">
        <v>1.3340000000000001</v>
      </c>
      <c r="E143" s="1">
        <v>1.3340000000000001</v>
      </c>
      <c r="F143" s="1">
        <v>1.3340000000000001</v>
      </c>
      <c r="G143" s="1">
        <v>1.44</v>
      </c>
      <c r="H143" s="1">
        <v>1</v>
      </c>
      <c r="I143" s="1">
        <v>1</v>
      </c>
      <c r="J143" s="1">
        <v>1.34</v>
      </c>
      <c r="K143" s="1">
        <v>1.34</v>
      </c>
      <c r="L143" s="1">
        <v>1.85</v>
      </c>
      <c r="M143" s="1">
        <v>1.75</v>
      </c>
      <c r="N143" s="1">
        <v>0.95</v>
      </c>
      <c r="O143" s="1">
        <v>0.95</v>
      </c>
      <c r="P143" s="1">
        <v>1.2</v>
      </c>
      <c r="Q143" s="1">
        <v>1.1000000000000001</v>
      </c>
      <c r="R143" s="1">
        <v>0.95</v>
      </c>
      <c r="S143" s="1">
        <v>0.95</v>
      </c>
      <c r="T143" s="1">
        <v>0.95</v>
      </c>
      <c r="U143" s="1">
        <v>0.95</v>
      </c>
      <c r="V143" s="1">
        <v>1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11</v>
      </c>
      <c r="AD143" s="1">
        <v>11</v>
      </c>
      <c r="AE143" s="1">
        <v>1.3340000000000001</v>
      </c>
      <c r="AF143" s="1">
        <v>0.95</v>
      </c>
      <c r="AG143" s="1">
        <v>1.43</v>
      </c>
      <c r="AH143" s="1">
        <v>0.95</v>
      </c>
      <c r="AI143" s="1">
        <v>3</v>
      </c>
      <c r="AJ143" s="1">
        <v>1</v>
      </c>
      <c r="AK143" s="1">
        <v>0</v>
      </c>
      <c r="AL143" s="1">
        <v>0.95</v>
      </c>
      <c r="AM143" s="1">
        <v>0.95</v>
      </c>
      <c r="AN143" s="1">
        <v>2.3199999999999998</v>
      </c>
    </row>
    <row r="144" spans="1:40">
      <c r="A144" s="1">
        <v>512</v>
      </c>
      <c r="C144" s="1">
        <v>1.3779999999999999</v>
      </c>
      <c r="D144" s="1">
        <v>1.3779999999999999</v>
      </c>
      <c r="E144" s="1">
        <v>1.3779999999999999</v>
      </c>
      <c r="F144" s="1">
        <v>1.3779999999999999</v>
      </c>
      <c r="G144" s="1">
        <v>1.48</v>
      </c>
      <c r="H144" s="1">
        <v>1</v>
      </c>
      <c r="I144" s="1">
        <v>1</v>
      </c>
      <c r="J144" s="1">
        <v>1.38</v>
      </c>
      <c r="K144" s="1">
        <v>1.38</v>
      </c>
      <c r="L144" s="1">
        <v>1.9</v>
      </c>
      <c r="M144" s="1">
        <v>1.8</v>
      </c>
      <c r="N144" s="1">
        <v>0.95</v>
      </c>
      <c r="O144" s="1">
        <v>0.95</v>
      </c>
      <c r="P144" s="1">
        <v>1.21</v>
      </c>
      <c r="Q144" s="1">
        <v>1.1100000000000001</v>
      </c>
      <c r="R144" s="1">
        <v>0.95</v>
      </c>
      <c r="S144" s="1">
        <v>0.95</v>
      </c>
      <c r="T144" s="1">
        <v>0.95</v>
      </c>
      <c r="U144" s="1">
        <v>0.95</v>
      </c>
      <c r="V144" s="1">
        <v>1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12</v>
      </c>
      <c r="AD144" s="1">
        <v>12</v>
      </c>
      <c r="AE144" s="1">
        <v>1.3779999999999999</v>
      </c>
      <c r="AF144" s="1">
        <v>0.95</v>
      </c>
      <c r="AG144" s="1">
        <v>1.46</v>
      </c>
      <c r="AH144" s="1">
        <v>0.95</v>
      </c>
      <c r="AI144" s="1">
        <v>3.2</v>
      </c>
      <c r="AJ144" s="1">
        <v>1</v>
      </c>
      <c r="AK144" s="1">
        <v>0</v>
      </c>
      <c r="AL144" s="1">
        <v>0.95</v>
      </c>
      <c r="AM144" s="1">
        <v>0.95</v>
      </c>
      <c r="AN144" s="1">
        <v>2.44</v>
      </c>
    </row>
    <row r="145" spans="1:40">
      <c r="A145" s="1">
        <v>513</v>
      </c>
      <c r="C145" s="1">
        <v>1.4219999999999999</v>
      </c>
      <c r="D145" s="1">
        <v>1.4219999999999999</v>
      </c>
      <c r="E145" s="1">
        <v>1.4219999999999999</v>
      </c>
      <c r="F145" s="1">
        <v>1.4219999999999999</v>
      </c>
      <c r="G145" s="1">
        <v>1.52</v>
      </c>
      <c r="H145" s="1">
        <v>1</v>
      </c>
      <c r="I145" s="1">
        <v>1</v>
      </c>
      <c r="J145" s="1">
        <v>1.42</v>
      </c>
      <c r="K145" s="1">
        <v>1.42</v>
      </c>
      <c r="L145" s="1">
        <v>1.95</v>
      </c>
      <c r="M145" s="1">
        <v>1.85</v>
      </c>
      <c r="N145" s="1">
        <v>0.95</v>
      </c>
      <c r="O145" s="1">
        <v>0.95</v>
      </c>
      <c r="P145" s="1">
        <v>1.21</v>
      </c>
      <c r="Q145" s="1">
        <v>1.1100000000000001</v>
      </c>
      <c r="R145" s="1">
        <v>0.95</v>
      </c>
      <c r="S145" s="1">
        <v>0.95</v>
      </c>
      <c r="T145" s="1">
        <v>0.95</v>
      </c>
      <c r="U145" s="1">
        <v>0.95</v>
      </c>
      <c r="V145" s="1">
        <v>1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13</v>
      </c>
      <c r="AD145" s="1">
        <v>13</v>
      </c>
      <c r="AE145" s="1">
        <v>1.4219999999999999</v>
      </c>
      <c r="AF145" s="1">
        <v>0.95</v>
      </c>
      <c r="AG145" s="1">
        <v>1.49</v>
      </c>
      <c r="AH145" s="1">
        <v>0.95</v>
      </c>
      <c r="AI145" s="1">
        <v>3.4</v>
      </c>
      <c r="AJ145" s="1">
        <v>1</v>
      </c>
      <c r="AK145" s="1">
        <v>0</v>
      </c>
      <c r="AL145" s="1">
        <v>0.95</v>
      </c>
      <c r="AM145" s="1">
        <v>0.95</v>
      </c>
      <c r="AN145" s="1">
        <v>2.56</v>
      </c>
    </row>
    <row r="146" spans="1:40">
      <c r="A146" s="1">
        <v>514</v>
      </c>
      <c r="C146" s="1">
        <v>1.466</v>
      </c>
      <c r="D146" s="1">
        <v>1.466</v>
      </c>
      <c r="E146" s="1">
        <v>1.466</v>
      </c>
      <c r="F146" s="1">
        <v>1.466</v>
      </c>
      <c r="G146" s="1">
        <v>1.56</v>
      </c>
      <c r="H146" s="1">
        <v>1</v>
      </c>
      <c r="I146" s="1">
        <v>1</v>
      </c>
      <c r="J146" s="1">
        <v>1.46</v>
      </c>
      <c r="K146" s="1">
        <v>1.46</v>
      </c>
      <c r="L146" s="1">
        <v>2</v>
      </c>
      <c r="M146" s="1">
        <v>1.9</v>
      </c>
      <c r="N146" s="1">
        <v>0.95</v>
      </c>
      <c r="O146" s="1">
        <v>0.95</v>
      </c>
      <c r="P146" s="1">
        <v>1.21</v>
      </c>
      <c r="Q146" s="1">
        <v>1.1100000000000001</v>
      </c>
      <c r="R146" s="1">
        <v>0.95</v>
      </c>
      <c r="S146" s="1">
        <v>0.95</v>
      </c>
      <c r="T146" s="1">
        <v>0.95</v>
      </c>
      <c r="U146" s="1">
        <v>0.95</v>
      </c>
      <c r="V146" s="1">
        <v>1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14</v>
      </c>
      <c r="AD146" s="1">
        <v>14</v>
      </c>
      <c r="AE146" s="1">
        <v>1.466</v>
      </c>
      <c r="AF146" s="1">
        <v>0.95</v>
      </c>
      <c r="AG146" s="1">
        <v>1.52</v>
      </c>
      <c r="AH146" s="1">
        <v>0.95</v>
      </c>
      <c r="AI146" s="1">
        <v>3.6</v>
      </c>
      <c r="AJ146" s="1">
        <v>1</v>
      </c>
      <c r="AK146" s="1">
        <v>0</v>
      </c>
      <c r="AL146" s="1">
        <v>0.95</v>
      </c>
      <c r="AM146" s="1">
        <v>0.95</v>
      </c>
      <c r="AN146" s="1">
        <v>2.68</v>
      </c>
    </row>
    <row r="147" spans="1:40">
      <c r="A147" s="1">
        <v>515</v>
      </c>
      <c r="C147" s="1">
        <v>1.51</v>
      </c>
      <c r="D147" s="1">
        <v>1.51</v>
      </c>
      <c r="E147" s="1">
        <v>1.51</v>
      </c>
      <c r="F147" s="1">
        <v>1.51</v>
      </c>
      <c r="G147" s="1">
        <v>1.6</v>
      </c>
      <c r="H147" s="1">
        <v>1</v>
      </c>
      <c r="I147" s="1">
        <v>1</v>
      </c>
      <c r="J147" s="1">
        <v>1.5</v>
      </c>
      <c r="K147" s="1">
        <v>1.5</v>
      </c>
      <c r="L147" s="1">
        <v>2.0499999999999998</v>
      </c>
      <c r="M147" s="1">
        <v>1.95</v>
      </c>
      <c r="N147" s="1">
        <v>0.95</v>
      </c>
      <c r="O147" s="1">
        <v>0.95</v>
      </c>
      <c r="P147" s="1">
        <v>1.22</v>
      </c>
      <c r="Q147" s="1">
        <v>1.1200000000000001</v>
      </c>
      <c r="R147" s="1">
        <v>0.95</v>
      </c>
      <c r="S147" s="1">
        <v>0.95</v>
      </c>
      <c r="T147" s="1">
        <v>0.95</v>
      </c>
      <c r="U147" s="1">
        <v>0.95</v>
      </c>
      <c r="V147" s="1">
        <v>1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15</v>
      </c>
      <c r="AD147" s="1">
        <v>15</v>
      </c>
      <c r="AE147" s="1">
        <v>1.51</v>
      </c>
      <c r="AF147" s="1">
        <v>0.95</v>
      </c>
      <c r="AG147" s="1">
        <v>1.55</v>
      </c>
      <c r="AH147" s="1">
        <v>0.95</v>
      </c>
      <c r="AI147" s="1">
        <v>3.8</v>
      </c>
      <c r="AJ147" s="1">
        <v>1</v>
      </c>
      <c r="AK147" s="1">
        <v>0</v>
      </c>
      <c r="AL147" s="1">
        <v>0.95</v>
      </c>
      <c r="AM147" s="1">
        <v>0.95</v>
      </c>
      <c r="AN147" s="1">
        <v>2.8</v>
      </c>
    </row>
    <row r="148" spans="1:40">
      <c r="A148" s="1">
        <v>516</v>
      </c>
      <c r="C148" s="1">
        <v>1.554</v>
      </c>
      <c r="D148" s="1">
        <v>1.554</v>
      </c>
      <c r="E148" s="1">
        <v>1.554</v>
      </c>
      <c r="F148" s="1">
        <v>1.554</v>
      </c>
      <c r="G148" s="1">
        <v>1.64</v>
      </c>
      <c r="H148" s="1">
        <v>1</v>
      </c>
      <c r="I148" s="1">
        <v>1</v>
      </c>
      <c r="J148" s="1">
        <v>1.54</v>
      </c>
      <c r="K148" s="1">
        <v>1.54</v>
      </c>
      <c r="L148" s="1">
        <v>2.1</v>
      </c>
      <c r="M148" s="1">
        <v>2</v>
      </c>
      <c r="N148" s="1">
        <v>0.95</v>
      </c>
      <c r="O148" s="1">
        <v>0.95</v>
      </c>
      <c r="P148" s="1">
        <v>1.22</v>
      </c>
      <c r="Q148" s="1">
        <v>1.1200000000000001</v>
      </c>
      <c r="R148" s="1">
        <v>0.95</v>
      </c>
      <c r="S148" s="1">
        <v>0.95</v>
      </c>
      <c r="T148" s="1">
        <v>0.95</v>
      </c>
      <c r="U148" s="1">
        <v>0.95</v>
      </c>
      <c r="V148" s="1">
        <v>1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16</v>
      </c>
      <c r="AD148" s="1">
        <v>16</v>
      </c>
      <c r="AE148" s="1">
        <v>1.554</v>
      </c>
      <c r="AF148" s="1">
        <v>0.95</v>
      </c>
      <c r="AG148" s="1">
        <v>1.58</v>
      </c>
      <c r="AH148" s="1">
        <v>0.95</v>
      </c>
      <c r="AI148" s="1">
        <v>4</v>
      </c>
      <c r="AJ148" s="1">
        <v>1</v>
      </c>
      <c r="AK148" s="1">
        <v>0</v>
      </c>
      <c r="AL148" s="1">
        <v>0.95</v>
      </c>
      <c r="AM148" s="1">
        <v>0.95</v>
      </c>
      <c r="AN148" s="1">
        <v>2.92</v>
      </c>
    </row>
    <row r="149" spans="1:40">
      <c r="A149" s="1">
        <v>517</v>
      </c>
      <c r="C149" s="1">
        <v>1.5980000000000001</v>
      </c>
      <c r="D149" s="1">
        <v>1.5980000000000001</v>
      </c>
      <c r="E149" s="1">
        <v>1.5980000000000001</v>
      </c>
      <c r="F149" s="1">
        <v>1.5980000000000001</v>
      </c>
      <c r="G149" s="1">
        <v>1.68</v>
      </c>
      <c r="H149" s="1">
        <v>1</v>
      </c>
      <c r="I149" s="1">
        <v>1</v>
      </c>
      <c r="J149" s="1">
        <v>1.58</v>
      </c>
      <c r="K149" s="1">
        <v>1.58</v>
      </c>
      <c r="L149" s="1">
        <v>2.15</v>
      </c>
      <c r="M149" s="1">
        <v>2.0499999999999998</v>
      </c>
      <c r="N149" s="1">
        <v>0.95</v>
      </c>
      <c r="O149" s="1">
        <v>0.95</v>
      </c>
      <c r="P149" s="1">
        <v>1.22</v>
      </c>
      <c r="Q149" s="1">
        <v>1.1200000000000001</v>
      </c>
      <c r="R149" s="1">
        <v>0.95</v>
      </c>
      <c r="S149" s="1">
        <v>0.95</v>
      </c>
      <c r="T149" s="1">
        <v>0.95</v>
      </c>
      <c r="U149" s="1">
        <v>0.95</v>
      </c>
      <c r="V149" s="1">
        <v>1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17</v>
      </c>
      <c r="AD149" s="1">
        <v>17</v>
      </c>
      <c r="AE149" s="1">
        <v>1.5980000000000001</v>
      </c>
      <c r="AF149" s="1">
        <v>0.95</v>
      </c>
      <c r="AG149" s="1">
        <v>1.61</v>
      </c>
      <c r="AH149" s="1">
        <v>0.95</v>
      </c>
      <c r="AI149" s="1">
        <v>4.2</v>
      </c>
      <c r="AJ149" s="1">
        <v>1</v>
      </c>
      <c r="AK149" s="1">
        <v>0</v>
      </c>
      <c r="AL149" s="1">
        <v>0.95</v>
      </c>
      <c r="AM149" s="1">
        <v>0.95</v>
      </c>
      <c r="AN149" s="1">
        <v>3.04</v>
      </c>
    </row>
    <row r="150" spans="1:40">
      <c r="A150" s="1">
        <v>518</v>
      </c>
      <c r="C150" s="1">
        <v>1.6419999999999999</v>
      </c>
      <c r="D150" s="1">
        <v>1.6419999999999999</v>
      </c>
      <c r="E150" s="1">
        <v>1.6419999999999999</v>
      </c>
      <c r="F150" s="1">
        <v>1.6419999999999999</v>
      </c>
      <c r="G150" s="1">
        <v>1.72</v>
      </c>
      <c r="H150" s="1">
        <v>1</v>
      </c>
      <c r="I150" s="1">
        <v>1</v>
      </c>
      <c r="J150" s="1">
        <v>1.62</v>
      </c>
      <c r="K150" s="1">
        <v>1.62</v>
      </c>
      <c r="L150" s="1">
        <v>2.2000000000000002</v>
      </c>
      <c r="M150" s="1">
        <v>2.1</v>
      </c>
      <c r="N150" s="1">
        <v>0.95</v>
      </c>
      <c r="O150" s="1">
        <v>0.95</v>
      </c>
      <c r="P150" s="1">
        <v>1.23</v>
      </c>
      <c r="Q150" s="1">
        <v>1.1299999999999999</v>
      </c>
      <c r="R150" s="1">
        <v>0.95</v>
      </c>
      <c r="S150" s="1">
        <v>0.95</v>
      </c>
      <c r="T150" s="1">
        <v>0.95</v>
      </c>
      <c r="U150" s="1">
        <v>0.95</v>
      </c>
      <c r="V150" s="1">
        <v>1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18</v>
      </c>
      <c r="AD150" s="1">
        <v>18</v>
      </c>
      <c r="AE150" s="1">
        <v>1.6419999999999999</v>
      </c>
      <c r="AF150" s="1">
        <v>0.95</v>
      </c>
      <c r="AG150" s="1">
        <v>1.64</v>
      </c>
      <c r="AH150" s="1">
        <v>0.95</v>
      </c>
      <c r="AI150" s="1">
        <v>4.4000000000000004</v>
      </c>
      <c r="AJ150" s="1">
        <v>1</v>
      </c>
      <c r="AK150" s="1">
        <v>0</v>
      </c>
      <c r="AL150" s="1">
        <v>0.95</v>
      </c>
      <c r="AM150" s="1">
        <v>0.95</v>
      </c>
      <c r="AN150" s="1">
        <v>3.16</v>
      </c>
    </row>
    <row r="151" spans="1:40">
      <c r="A151" s="1">
        <v>519</v>
      </c>
      <c r="C151" s="1">
        <v>1.6859999999999999</v>
      </c>
      <c r="D151" s="1">
        <v>1.6859999999999999</v>
      </c>
      <c r="E151" s="1">
        <v>1.6859999999999999</v>
      </c>
      <c r="F151" s="1">
        <v>1.6859999999999999</v>
      </c>
      <c r="G151" s="1">
        <v>1.76</v>
      </c>
      <c r="H151" s="1">
        <v>1</v>
      </c>
      <c r="I151" s="1">
        <v>1</v>
      </c>
      <c r="J151" s="1">
        <v>1.66</v>
      </c>
      <c r="K151" s="1">
        <v>1.66</v>
      </c>
      <c r="L151" s="1">
        <v>2.25</v>
      </c>
      <c r="M151" s="1">
        <v>2.15</v>
      </c>
      <c r="N151" s="1">
        <v>0.95</v>
      </c>
      <c r="O151" s="1">
        <v>0.95</v>
      </c>
      <c r="P151" s="1">
        <v>1.23</v>
      </c>
      <c r="Q151" s="1">
        <v>1.1299999999999999</v>
      </c>
      <c r="R151" s="1">
        <v>0.95</v>
      </c>
      <c r="S151" s="1">
        <v>0.95</v>
      </c>
      <c r="T151" s="1">
        <v>0.95</v>
      </c>
      <c r="U151" s="1">
        <v>0.95</v>
      </c>
      <c r="V151" s="1">
        <v>1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19</v>
      </c>
      <c r="AD151" s="1">
        <v>19</v>
      </c>
      <c r="AE151" s="1">
        <v>1.6859999999999999</v>
      </c>
      <c r="AF151" s="1">
        <v>0.95</v>
      </c>
      <c r="AG151" s="1">
        <v>1.67</v>
      </c>
      <c r="AH151" s="1">
        <v>0.95</v>
      </c>
      <c r="AI151" s="1">
        <v>4.5999999999999996</v>
      </c>
      <c r="AJ151" s="1">
        <v>1</v>
      </c>
      <c r="AK151" s="1">
        <v>0</v>
      </c>
      <c r="AL151" s="1">
        <v>0.95</v>
      </c>
      <c r="AM151" s="1">
        <v>0.95</v>
      </c>
      <c r="AN151" s="1">
        <v>3.28</v>
      </c>
    </row>
    <row r="152" spans="1:40">
      <c r="A152" s="1">
        <v>520</v>
      </c>
      <c r="C152" s="1">
        <v>1.73</v>
      </c>
      <c r="D152" s="1">
        <v>1.73</v>
      </c>
      <c r="E152" s="1">
        <v>1.73</v>
      </c>
      <c r="F152" s="1">
        <v>1.73</v>
      </c>
      <c r="G152" s="1">
        <v>1.8</v>
      </c>
      <c r="H152" s="1">
        <v>1</v>
      </c>
      <c r="I152" s="1">
        <v>1</v>
      </c>
      <c r="J152" s="1">
        <v>1.7</v>
      </c>
      <c r="K152" s="1">
        <v>1.7</v>
      </c>
      <c r="L152" s="1">
        <v>2.2999999999999998</v>
      </c>
      <c r="M152" s="1">
        <v>2.2000000000000002</v>
      </c>
      <c r="N152" s="1">
        <v>0.95</v>
      </c>
      <c r="O152" s="1">
        <v>0.95</v>
      </c>
      <c r="P152" s="1">
        <v>1.23</v>
      </c>
      <c r="Q152" s="1">
        <v>1.1299999999999999</v>
      </c>
      <c r="R152" s="1">
        <v>0.95</v>
      </c>
      <c r="S152" s="1">
        <v>0.95</v>
      </c>
      <c r="T152" s="1">
        <v>0.95</v>
      </c>
      <c r="U152" s="1">
        <v>0.95</v>
      </c>
      <c r="V152" s="1">
        <v>1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20</v>
      </c>
      <c r="AD152" s="1">
        <v>20</v>
      </c>
      <c r="AE152" s="1">
        <v>1.73</v>
      </c>
      <c r="AF152" s="1">
        <v>0.95</v>
      </c>
      <c r="AG152" s="1">
        <v>1.7</v>
      </c>
      <c r="AH152" s="1">
        <v>0.95</v>
      </c>
      <c r="AI152" s="1">
        <v>4.8</v>
      </c>
      <c r="AJ152" s="1">
        <v>1</v>
      </c>
      <c r="AK152" s="1">
        <v>0</v>
      </c>
      <c r="AL152" s="1">
        <v>0.95</v>
      </c>
      <c r="AM152" s="1">
        <v>0.95</v>
      </c>
      <c r="AN152" s="1">
        <v>3.4</v>
      </c>
    </row>
    <row r="153" spans="1:40">
      <c r="A153" s="1">
        <v>521</v>
      </c>
      <c r="C153" s="1">
        <v>1.774</v>
      </c>
      <c r="D153" s="1">
        <v>1.774</v>
      </c>
      <c r="E153" s="1">
        <v>1.774</v>
      </c>
      <c r="F153" s="1">
        <v>1.774</v>
      </c>
      <c r="G153" s="1">
        <v>1.84</v>
      </c>
      <c r="H153" s="1">
        <v>1</v>
      </c>
      <c r="I153" s="1">
        <v>1</v>
      </c>
      <c r="J153" s="1">
        <v>1.72</v>
      </c>
      <c r="K153" s="1">
        <v>1.72</v>
      </c>
      <c r="L153" s="1">
        <v>2.2000000000000002</v>
      </c>
      <c r="M153" s="1">
        <v>2.2200000000000002</v>
      </c>
      <c r="N153" s="1">
        <v>0.95</v>
      </c>
      <c r="O153" s="1">
        <v>0.95</v>
      </c>
      <c r="P153" s="1">
        <v>1.24</v>
      </c>
      <c r="Q153" s="1">
        <v>1.1399999999999999</v>
      </c>
      <c r="R153" s="1">
        <v>0.95</v>
      </c>
      <c r="S153" s="1">
        <v>0.95</v>
      </c>
      <c r="T153" s="1">
        <v>0.95</v>
      </c>
      <c r="U153" s="1">
        <v>0.95</v>
      </c>
      <c r="V153" s="1">
        <v>1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21</v>
      </c>
      <c r="AD153" s="1">
        <v>21</v>
      </c>
      <c r="AE153" s="1">
        <v>1.774</v>
      </c>
      <c r="AF153" s="1">
        <v>0.95</v>
      </c>
      <c r="AG153" s="1">
        <v>1.72</v>
      </c>
      <c r="AH153" s="1">
        <v>0.95</v>
      </c>
      <c r="AI153" s="1">
        <v>5</v>
      </c>
      <c r="AJ153" s="1">
        <v>1</v>
      </c>
      <c r="AK153" s="1">
        <v>0</v>
      </c>
      <c r="AL153" s="1">
        <v>0.95</v>
      </c>
      <c r="AM153" s="1">
        <v>0.95</v>
      </c>
      <c r="AN153" s="1">
        <v>3.52</v>
      </c>
    </row>
    <row r="154" spans="1:40">
      <c r="A154" s="1">
        <v>522</v>
      </c>
      <c r="C154" s="1">
        <v>1.8180000000000001</v>
      </c>
      <c r="D154" s="1">
        <v>1.8180000000000001</v>
      </c>
      <c r="E154" s="1">
        <v>1.8180000000000001</v>
      </c>
      <c r="F154" s="1">
        <v>1.8180000000000001</v>
      </c>
      <c r="G154" s="1">
        <v>1.88</v>
      </c>
      <c r="H154" s="1">
        <v>1</v>
      </c>
      <c r="I154" s="1">
        <v>1</v>
      </c>
      <c r="J154" s="1">
        <v>1.74</v>
      </c>
      <c r="K154" s="1">
        <v>1.74</v>
      </c>
      <c r="L154" s="1">
        <v>2.1</v>
      </c>
      <c r="M154" s="1">
        <v>2.2400000000000002</v>
      </c>
      <c r="N154" s="1">
        <v>0.95</v>
      </c>
      <c r="O154" s="1">
        <v>0.95</v>
      </c>
      <c r="P154" s="1">
        <v>1.24</v>
      </c>
      <c r="Q154" s="1">
        <v>1.1399999999999999</v>
      </c>
      <c r="R154" s="1">
        <v>0.95</v>
      </c>
      <c r="S154" s="1">
        <v>0.95</v>
      </c>
      <c r="T154" s="1">
        <v>0.95</v>
      </c>
      <c r="U154" s="1">
        <v>0.95</v>
      </c>
      <c r="V154" s="1">
        <v>1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22</v>
      </c>
      <c r="AD154" s="1">
        <v>22</v>
      </c>
      <c r="AE154" s="1">
        <v>1.8180000000000001</v>
      </c>
      <c r="AF154" s="1">
        <v>0.95</v>
      </c>
      <c r="AG154" s="1">
        <v>1.74</v>
      </c>
      <c r="AH154" s="1">
        <v>0.95</v>
      </c>
      <c r="AI154" s="1">
        <v>5.2</v>
      </c>
      <c r="AJ154" s="1">
        <v>1</v>
      </c>
      <c r="AK154" s="1">
        <v>0</v>
      </c>
      <c r="AL154" s="1">
        <v>0.95</v>
      </c>
      <c r="AM154" s="1">
        <v>0.95</v>
      </c>
      <c r="AN154" s="1">
        <v>3.64</v>
      </c>
    </row>
    <row r="155" spans="1:40">
      <c r="A155" s="1">
        <v>523</v>
      </c>
      <c r="C155" s="1">
        <v>1.8620000000000001</v>
      </c>
      <c r="D155" s="1">
        <v>1.8620000000000001</v>
      </c>
      <c r="E155" s="1">
        <v>1.8620000000000001</v>
      </c>
      <c r="F155" s="1">
        <v>1.8620000000000001</v>
      </c>
      <c r="G155" s="1">
        <v>1.92</v>
      </c>
      <c r="H155" s="1">
        <v>1</v>
      </c>
      <c r="I155" s="1">
        <v>1</v>
      </c>
      <c r="J155" s="1">
        <v>1.76</v>
      </c>
      <c r="K155" s="1">
        <v>1.76</v>
      </c>
      <c r="L155" s="1">
        <v>2</v>
      </c>
      <c r="M155" s="1">
        <v>2.2599999999999998</v>
      </c>
      <c r="N155" s="1">
        <v>0.95</v>
      </c>
      <c r="O155" s="1">
        <v>0.95</v>
      </c>
      <c r="P155" s="1">
        <v>1.24</v>
      </c>
      <c r="Q155" s="1">
        <v>1.1399999999999999</v>
      </c>
      <c r="R155" s="1">
        <v>0.95</v>
      </c>
      <c r="S155" s="1">
        <v>0.95</v>
      </c>
      <c r="T155" s="1">
        <v>0.95</v>
      </c>
      <c r="U155" s="1">
        <v>0.95</v>
      </c>
      <c r="V155" s="1">
        <v>1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23</v>
      </c>
      <c r="AD155" s="1">
        <v>23</v>
      </c>
      <c r="AE155" s="1">
        <v>1.8620000000000001</v>
      </c>
      <c r="AF155" s="1">
        <v>0.95</v>
      </c>
      <c r="AG155" s="1">
        <v>1.76</v>
      </c>
      <c r="AH155" s="1">
        <v>0.95</v>
      </c>
      <c r="AI155" s="1">
        <v>5.4</v>
      </c>
      <c r="AJ155" s="1">
        <v>1</v>
      </c>
      <c r="AK155" s="1">
        <v>0</v>
      </c>
      <c r="AL155" s="1">
        <v>0.95</v>
      </c>
      <c r="AM155" s="1">
        <v>0.95</v>
      </c>
      <c r="AN155" s="1">
        <v>3.76</v>
      </c>
    </row>
    <row r="156" spans="1:40">
      <c r="A156" s="1">
        <v>524</v>
      </c>
      <c r="C156" s="1">
        <v>1.9059999999999999</v>
      </c>
      <c r="D156" s="1">
        <v>1.9059999999999999</v>
      </c>
      <c r="E156" s="1">
        <v>1.9059999999999999</v>
      </c>
      <c r="F156" s="1">
        <v>1.9059999999999999</v>
      </c>
      <c r="G156" s="1">
        <v>1.96</v>
      </c>
      <c r="H156" s="1">
        <v>1</v>
      </c>
      <c r="I156" s="1">
        <v>1</v>
      </c>
      <c r="J156" s="1">
        <v>1.78</v>
      </c>
      <c r="K156" s="1">
        <v>1.78</v>
      </c>
      <c r="L156" s="1">
        <v>1.9</v>
      </c>
      <c r="M156" s="1">
        <v>2.2799999999999998</v>
      </c>
      <c r="N156" s="1">
        <v>0.95</v>
      </c>
      <c r="O156" s="1">
        <v>0.95</v>
      </c>
      <c r="P156" s="1">
        <v>1.24</v>
      </c>
      <c r="Q156" s="1">
        <v>1.1399999999999999</v>
      </c>
      <c r="R156" s="1">
        <v>0.95</v>
      </c>
      <c r="S156" s="1">
        <v>0.95</v>
      </c>
      <c r="T156" s="1">
        <v>0.95</v>
      </c>
      <c r="U156" s="1">
        <v>0.95</v>
      </c>
      <c r="V156" s="1">
        <v>1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24</v>
      </c>
      <c r="AD156" s="1">
        <v>24</v>
      </c>
      <c r="AE156" s="1">
        <v>1.9059999999999999</v>
      </c>
      <c r="AF156" s="1">
        <v>0.95</v>
      </c>
      <c r="AG156" s="1">
        <v>1.78</v>
      </c>
      <c r="AH156" s="1">
        <v>0.95</v>
      </c>
      <c r="AI156" s="1">
        <v>5.6</v>
      </c>
      <c r="AJ156" s="1">
        <v>1</v>
      </c>
      <c r="AK156" s="1">
        <v>0</v>
      </c>
      <c r="AL156" s="1">
        <v>0.95</v>
      </c>
      <c r="AM156" s="1">
        <v>0.95</v>
      </c>
      <c r="AN156" s="1">
        <v>3.88</v>
      </c>
    </row>
    <row r="157" spans="1:40">
      <c r="A157" s="1">
        <v>525</v>
      </c>
      <c r="C157" s="1">
        <v>1.95</v>
      </c>
      <c r="D157" s="1">
        <v>1.95</v>
      </c>
      <c r="E157" s="1">
        <v>1.95</v>
      </c>
      <c r="F157" s="1">
        <v>1.95</v>
      </c>
      <c r="G157" s="1">
        <v>2</v>
      </c>
      <c r="H157" s="1">
        <v>1</v>
      </c>
      <c r="I157" s="1">
        <v>1</v>
      </c>
      <c r="J157" s="1">
        <v>1.8</v>
      </c>
      <c r="K157" s="1">
        <v>1.8</v>
      </c>
      <c r="L157" s="1">
        <v>1.8</v>
      </c>
      <c r="M157" s="1">
        <v>2.2999999999999998</v>
      </c>
      <c r="N157" s="1">
        <v>0.95</v>
      </c>
      <c r="O157" s="1">
        <v>0.95</v>
      </c>
      <c r="P157" s="1">
        <v>1.25</v>
      </c>
      <c r="Q157" s="1">
        <v>1.1499999999999999</v>
      </c>
      <c r="R157" s="1">
        <v>0.95</v>
      </c>
      <c r="S157" s="1">
        <v>0.95</v>
      </c>
      <c r="T157" s="1">
        <v>0.95</v>
      </c>
      <c r="U157" s="1">
        <v>0.95</v>
      </c>
      <c r="V157" s="1">
        <v>1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25</v>
      </c>
      <c r="AD157" s="1">
        <v>25</v>
      </c>
      <c r="AE157" s="1">
        <v>1.95</v>
      </c>
      <c r="AF157" s="1">
        <v>0.95</v>
      </c>
      <c r="AG157" s="1">
        <v>1.8</v>
      </c>
      <c r="AH157" s="1">
        <v>0.95</v>
      </c>
      <c r="AI157" s="1">
        <v>5.8</v>
      </c>
      <c r="AJ157" s="1">
        <v>1</v>
      </c>
      <c r="AK157" s="1">
        <v>0</v>
      </c>
      <c r="AL157" s="1">
        <v>0.95</v>
      </c>
      <c r="AM157" s="1">
        <v>0.95</v>
      </c>
      <c r="AN157" s="1">
        <v>4</v>
      </c>
    </row>
    <row r="158" spans="1:40">
      <c r="A158" s="1">
        <v>600</v>
      </c>
      <c r="C158" s="1">
        <v>0.8</v>
      </c>
      <c r="D158" s="1">
        <v>0.8</v>
      </c>
      <c r="E158" s="1">
        <v>0.8</v>
      </c>
      <c r="F158" s="1">
        <v>0.8</v>
      </c>
      <c r="G158" s="1">
        <v>1</v>
      </c>
      <c r="H158" s="1">
        <v>1</v>
      </c>
      <c r="I158" s="1">
        <v>1</v>
      </c>
      <c r="J158" s="1">
        <v>0.5</v>
      </c>
      <c r="K158" s="1">
        <v>1.3</v>
      </c>
      <c r="L158" s="1">
        <v>1</v>
      </c>
      <c r="M158" s="1">
        <v>1</v>
      </c>
      <c r="N158" s="1">
        <v>0.95</v>
      </c>
      <c r="O158" s="1">
        <v>0.95</v>
      </c>
      <c r="P158" s="1">
        <v>1.05</v>
      </c>
      <c r="Q158" s="1">
        <v>1.1499999999999999</v>
      </c>
      <c r="R158" s="1">
        <v>0.95</v>
      </c>
      <c r="S158" s="1">
        <v>0.95</v>
      </c>
      <c r="T158" s="1">
        <v>0.95</v>
      </c>
      <c r="U158" s="1">
        <v>0.95</v>
      </c>
      <c r="V158" s="1">
        <v>1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0.8</v>
      </c>
      <c r="AF158" s="1">
        <v>0.95</v>
      </c>
      <c r="AG158" s="1">
        <v>1</v>
      </c>
      <c r="AH158" s="1">
        <v>0.95</v>
      </c>
      <c r="AI158" s="1">
        <v>1</v>
      </c>
      <c r="AJ158" s="1">
        <v>1</v>
      </c>
      <c r="AK158" s="1">
        <v>0</v>
      </c>
      <c r="AL158" s="1">
        <v>0.95</v>
      </c>
      <c r="AM158" s="1">
        <v>0.95</v>
      </c>
      <c r="AN158" s="1">
        <v>1</v>
      </c>
    </row>
    <row r="159" spans="1:40">
      <c r="A159" s="1">
        <v>601</v>
      </c>
      <c r="C159" s="1">
        <v>0.83599999999999997</v>
      </c>
      <c r="D159" s="1">
        <v>0.83599999999999997</v>
      </c>
      <c r="E159" s="1">
        <v>0.83599999999999997</v>
      </c>
      <c r="F159" s="1">
        <v>0.83599999999999997</v>
      </c>
      <c r="G159" s="1">
        <v>1.04</v>
      </c>
      <c r="H159" s="1">
        <v>1</v>
      </c>
      <c r="I159" s="1">
        <v>1</v>
      </c>
      <c r="J159" s="1">
        <v>0.53</v>
      </c>
      <c r="K159" s="1">
        <v>1.34</v>
      </c>
      <c r="L159" s="1">
        <v>1.04</v>
      </c>
      <c r="M159" s="1">
        <v>1.04</v>
      </c>
      <c r="N159" s="1">
        <v>0.95</v>
      </c>
      <c r="O159" s="1">
        <v>0.95</v>
      </c>
      <c r="P159" s="1">
        <v>1.05</v>
      </c>
      <c r="Q159" s="1">
        <v>1.1499999999999999</v>
      </c>
      <c r="R159" s="1">
        <v>0.95</v>
      </c>
      <c r="S159" s="1">
        <v>0.95</v>
      </c>
      <c r="T159" s="1">
        <v>0.95</v>
      </c>
      <c r="U159" s="1">
        <v>0.95</v>
      </c>
      <c r="V159" s="1">
        <v>1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1</v>
      </c>
      <c r="AD159" s="1">
        <v>1</v>
      </c>
      <c r="AE159" s="1">
        <v>0.83599999999999997</v>
      </c>
      <c r="AF159" s="1">
        <v>0.95</v>
      </c>
      <c r="AG159" s="1">
        <v>1.04</v>
      </c>
      <c r="AH159" s="1">
        <v>0.95</v>
      </c>
      <c r="AI159" s="1">
        <v>1</v>
      </c>
      <c r="AJ159" s="1">
        <v>1</v>
      </c>
      <c r="AK159" s="1">
        <v>0</v>
      </c>
      <c r="AL159" s="1">
        <v>0.95</v>
      </c>
      <c r="AM159" s="1">
        <v>0.95</v>
      </c>
      <c r="AN159" s="1">
        <v>1.1200000000000001</v>
      </c>
    </row>
    <row r="160" spans="1:40">
      <c r="A160" s="1">
        <v>602</v>
      </c>
      <c r="C160" s="1">
        <v>0.872</v>
      </c>
      <c r="D160" s="1">
        <v>0.872</v>
      </c>
      <c r="E160" s="1">
        <v>0.872</v>
      </c>
      <c r="F160" s="1">
        <v>0.872</v>
      </c>
      <c r="G160" s="1">
        <v>1.08</v>
      </c>
      <c r="H160" s="1">
        <v>1</v>
      </c>
      <c r="I160" s="1">
        <v>1</v>
      </c>
      <c r="J160" s="1">
        <v>0.56000000000000005</v>
      </c>
      <c r="K160" s="1">
        <v>1.38</v>
      </c>
      <c r="L160" s="1">
        <v>1.08</v>
      </c>
      <c r="M160" s="1">
        <v>1.08</v>
      </c>
      <c r="N160" s="1">
        <v>0.95</v>
      </c>
      <c r="O160" s="1">
        <v>0.95</v>
      </c>
      <c r="P160" s="1">
        <v>1.06</v>
      </c>
      <c r="Q160" s="1">
        <v>1.1599999999999999</v>
      </c>
      <c r="R160" s="1">
        <v>0.95</v>
      </c>
      <c r="S160" s="1">
        <v>0.95</v>
      </c>
      <c r="T160" s="1">
        <v>0.95</v>
      </c>
      <c r="U160" s="1">
        <v>0.95</v>
      </c>
      <c r="V160" s="1">
        <v>1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2</v>
      </c>
      <c r="AD160" s="1">
        <v>2</v>
      </c>
      <c r="AE160" s="1">
        <v>0.872</v>
      </c>
      <c r="AF160" s="1">
        <v>0.95</v>
      </c>
      <c r="AG160" s="1">
        <v>1.08</v>
      </c>
      <c r="AH160" s="1">
        <v>0.95</v>
      </c>
      <c r="AI160" s="1">
        <v>1.2</v>
      </c>
      <c r="AJ160" s="1">
        <v>1</v>
      </c>
      <c r="AK160" s="1">
        <v>0</v>
      </c>
      <c r="AL160" s="1">
        <v>0.95</v>
      </c>
      <c r="AM160" s="1">
        <v>0.95</v>
      </c>
      <c r="AN160" s="1">
        <v>1.24</v>
      </c>
    </row>
    <row r="161" spans="1:40">
      <c r="A161" s="1">
        <v>603</v>
      </c>
      <c r="C161" s="1">
        <v>0.90800000000000003</v>
      </c>
      <c r="D161" s="1">
        <v>0.90800000000000003</v>
      </c>
      <c r="E161" s="1">
        <v>0.90800000000000003</v>
      </c>
      <c r="F161" s="1">
        <v>0.90800000000000003</v>
      </c>
      <c r="G161" s="1">
        <v>1.1200000000000001</v>
      </c>
      <c r="H161" s="1">
        <v>1</v>
      </c>
      <c r="I161" s="1">
        <v>1</v>
      </c>
      <c r="J161" s="1">
        <v>0.59</v>
      </c>
      <c r="K161" s="1">
        <v>1.42</v>
      </c>
      <c r="L161" s="1">
        <v>1.1200000000000001</v>
      </c>
      <c r="M161" s="1">
        <v>1.1200000000000001</v>
      </c>
      <c r="N161" s="1">
        <v>0.95</v>
      </c>
      <c r="O161" s="1">
        <v>0.95</v>
      </c>
      <c r="P161" s="1">
        <v>1.06</v>
      </c>
      <c r="Q161" s="1">
        <v>1.1599999999999999</v>
      </c>
      <c r="R161" s="1">
        <v>0.95</v>
      </c>
      <c r="S161" s="1">
        <v>0.95</v>
      </c>
      <c r="T161" s="1">
        <v>0.95</v>
      </c>
      <c r="U161" s="1">
        <v>0.95</v>
      </c>
      <c r="V161" s="1">
        <v>1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3</v>
      </c>
      <c r="AD161" s="1">
        <v>3</v>
      </c>
      <c r="AE161" s="1">
        <v>0.90800000000000003</v>
      </c>
      <c r="AF161" s="1">
        <v>0.95</v>
      </c>
      <c r="AG161" s="1">
        <v>1.1200000000000001</v>
      </c>
      <c r="AH161" s="1">
        <v>0.95</v>
      </c>
      <c r="AI161" s="1">
        <v>1.4</v>
      </c>
      <c r="AJ161" s="1">
        <v>1</v>
      </c>
      <c r="AK161" s="1">
        <v>0</v>
      </c>
      <c r="AL161" s="1">
        <v>0.95</v>
      </c>
      <c r="AM161" s="1">
        <v>0.95</v>
      </c>
      <c r="AN161" s="1">
        <v>1.36</v>
      </c>
    </row>
    <row r="162" spans="1:40">
      <c r="A162" s="1">
        <v>604</v>
      </c>
      <c r="C162" s="1">
        <v>0.94399999999999995</v>
      </c>
      <c r="D162" s="1">
        <v>0.94399999999999995</v>
      </c>
      <c r="E162" s="1">
        <v>0.94399999999999995</v>
      </c>
      <c r="F162" s="1">
        <v>0.94399999999999995</v>
      </c>
      <c r="G162" s="1">
        <v>1.1599999999999999</v>
      </c>
      <c r="H162" s="1">
        <v>1</v>
      </c>
      <c r="I162" s="1">
        <v>1</v>
      </c>
      <c r="J162" s="1">
        <v>0.62</v>
      </c>
      <c r="K162" s="1">
        <v>1.46</v>
      </c>
      <c r="L162" s="1">
        <v>1.1599999999999999</v>
      </c>
      <c r="M162" s="1">
        <v>1.1599999999999999</v>
      </c>
      <c r="N162" s="1">
        <v>0.95</v>
      </c>
      <c r="O162" s="1">
        <v>0.95</v>
      </c>
      <c r="P162" s="1">
        <v>1.07</v>
      </c>
      <c r="Q162" s="1">
        <v>1.17</v>
      </c>
      <c r="R162" s="1">
        <v>0.95</v>
      </c>
      <c r="S162" s="1">
        <v>0.95</v>
      </c>
      <c r="T162" s="1">
        <v>0.95</v>
      </c>
      <c r="U162" s="1">
        <v>0.95</v>
      </c>
      <c r="V162" s="1">
        <v>1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4</v>
      </c>
      <c r="AE162" s="1">
        <v>0.94399999999999995</v>
      </c>
      <c r="AF162" s="1">
        <v>0.95</v>
      </c>
      <c r="AG162" s="1">
        <v>1.1599999999999999</v>
      </c>
      <c r="AH162" s="1">
        <v>0.95</v>
      </c>
      <c r="AI162" s="1">
        <v>1.6</v>
      </c>
      <c r="AJ162" s="1">
        <v>1</v>
      </c>
      <c r="AK162" s="1">
        <v>0</v>
      </c>
      <c r="AL162" s="1">
        <v>0.95</v>
      </c>
      <c r="AM162" s="1">
        <v>0.95</v>
      </c>
      <c r="AN162" s="1">
        <v>1.48</v>
      </c>
    </row>
    <row r="163" spans="1:40">
      <c r="A163" s="1">
        <v>605</v>
      </c>
      <c r="C163" s="1">
        <v>0.98</v>
      </c>
      <c r="D163" s="1">
        <v>0.98</v>
      </c>
      <c r="E163" s="1">
        <v>0.98</v>
      </c>
      <c r="F163" s="1">
        <v>0.98</v>
      </c>
      <c r="G163" s="1">
        <v>1.2</v>
      </c>
      <c r="H163" s="1">
        <v>1</v>
      </c>
      <c r="I163" s="1">
        <v>1</v>
      </c>
      <c r="J163" s="1">
        <v>0.65</v>
      </c>
      <c r="K163" s="1">
        <v>1.5</v>
      </c>
      <c r="L163" s="1">
        <v>1.2</v>
      </c>
      <c r="M163" s="1">
        <v>1.2</v>
      </c>
      <c r="N163" s="1">
        <v>0.95</v>
      </c>
      <c r="O163" s="1">
        <v>0.95</v>
      </c>
      <c r="P163" s="1">
        <v>1.07</v>
      </c>
      <c r="Q163" s="1">
        <v>1.17</v>
      </c>
      <c r="R163" s="1">
        <v>0.95</v>
      </c>
      <c r="S163" s="1">
        <v>0.95</v>
      </c>
      <c r="T163" s="1">
        <v>0.95</v>
      </c>
      <c r="U163" s="1">
        <v>0.95</v>
      </c>
      <c r="V163" s="1">
        <v>1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5</v>
      </c>
      <c r="AD163" s="1">
        <v>5</v>
      </c>
      <c r="AE163" s="1">
        <v>0.98</v>
      </c>
      <c r="AF163" s="1">
        <v>0.95</v>
      </c>
      <c r="AG163" s="1">
        <v>1.2</v>
      </c>
      <c r="AH163" s="1">
        <v>0.95</v>
      </c>
      <c r="AI163" s="1">
        <v>1.8</v>
      </c>
      <c r="AJ163" s="1">
        <v>1</v>
      </c>
      <c r="AK163" s="1">
        <v>0</v>
      </c>
      <c r="AL163" s="1">
        <v>0.95</v>
      </c>
      <c r="AM163" s="1">
        <v>0.95</v>
      </c>
      <c r="AN163" s="1">
        <v>1.6</v>
      </c>
    </row>
    <row r="164" spans="1:40">
      <c r="A164" s="1">
        <v>606</v>
      </c>
      <c r="C164" s="1">
        <v>1.016</v>
      </c>
      <c r="D164" s="1">
        <v>1.016</v>
      </c>
      <c r="E164" s="1">
        <v>1.016</v>
      </c>
      <c r="F164" s="1">
        <v>1.016</v>
      </c>
      <c r="G164" s="1">
        <v>1.24</v>
      </c>
      <c r="H164" s="1">
        <v>1</v>
      </c>
      <c r="I164" s="1">
        <v>1</v>
      </c>
      <c r="J164" s="1">
        <v>0.68</v>
      </c>
      <c r="K164" s="1">
        <v>1.54</v>
      </c>
      <c r="L164" s="1">
        <v>1.24</v>
      </c>
      <c r="M164" s="1">
        <v>1.24</v>
      </c>
      <c r="N164" s="1">
        <v>0.95</v>
      </c>
      <c r="O164" s="1">
        <v>0.95</v>
      </c>
      <c r="P164" s="1">
        <v>1.08</v>
      </c>
      <c r="Q164" s="1">
        <v>1.18</v>
      </c>
      <c r="R164" s="1">
        <v>0.95</v>
      </c>
      <c r="S164" s="1">
        <v>0.95</v>
      </c>
      <c r="T164" s="1">
        <v>0.95</v>
      </c>
      <c r="U164" s="1">
        <v>0.95</v>
      </c>
      <c r="V164" s="1">
        <v>1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6</v>
      </c>
      <c r="AD164" s="1">
        <v>6</v>
      </c>
      <c r="AE164" s="1">
        <v>1.016</v>
      </c>
      <c r="AF164" s="1">
        <v>0.95</v>
      </c>
      <c r="AG164" s="1">
        <v>1.24</v>
      </c>
      <c r="AH164" s="1">
        <v>0.95</v>
      </c>
      <c r="AI164" s="1">
        <v>2</v>
      </c>
      <c r="AJ164" s="1">
        <v>1</v>
      </c>
      <c r="AK164" s="1">
        <v>0</v>
      </c>
      <c r="AL164" s="1">
        <v>0.95</v>
      </c>
      <c r="AM164" s="1">
        <v>0.95</v>
      </c>
      <c r="AN164" s="1">
        <v>1.72</v>
      </c>
    </row>
    <row r="165" spans="1:40">
      <c r="A165" s="1">
        <v>607</v>
      </c>
      <c r="C165" s="1">
        <v>1.052</v>
      </c>
      <c r="D165" s="1">
        <v>1.052</v>
      </c>
      <c r="E165" s="1">
        <v>1.052</v>
      </c>
      <c r="F165" s="1">
        <v>1.052</v>
      </c>
      <c r="G165" s="1">
        <v>1.28</v>
      </c>
      <c r="H165" s="1">
        <v>1</v>
      </c>
      <c r="I165" s="1">
        <v>1</v>
      </c>
      <c r="J165" s="1">
        <v>0.71</v>
      </c>
      <c r="K165" s="1">
        <v>1.58</v>
      </c>
      <c r="L165" s="1">
        <v>1.28</v>
      </c>
      <c r="M165" s="1">
        <v>1.28</v>
      </c>
      <c r="N165" s="1">
        <v>0.95</v>
      </c>
      <c r="O165" s="1">
        <v>0.95</v>
      </c>
      <c r="P165" s="1">
        <v>1.08</v>
      </c>
      <c r="Q165" s="1">
        <v>1.18</v>
      </c>
      <c r="R165" s="1">
        <v>0.95</v>
      </c>
      <c r="S165" s="1">
        <v>0.95</v>
      </c>
      <c r="T165" s="1">
        <v>0.95</v>
      </c>
      <c r="U165" s="1">
        <v>0.95</v>
      </c>
      <c r="V165" s="1">
        <v>1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7</v>
      </c>
      <c r="AD165" s="1">
        <v>7</v>
      </c>
      <c r="AE165" s="1">
        <v>1.052</v>
      </c>
      <c r="AF165" s="1">
        <v>0.95</v>
      </c>
      <c r="AG165" s="1">
        <v>1.28</v>
      </c>
      <c r="AH165" s="1">
        <v>0.95</v>
      </c>
      <c r="AI165" s="1">
        <v>2.2000000000000002</v>
      </c>
      <c r="AJ165" s="1">
        <v>1</v>
      </c>
      <c r="AK165" s="1">
        <v>0</v>
      </c>
      <c r="AL165" s="1">
        <v>0.95</v>
      </c>
      <c r="AM165" s="1">
        <v>0.95</v>
      </c>
      <c r="AN165" s="1">
        <v>1.84</v>
      </c>
    </row>
    <row r="166" spans="1:40">
      <c r="A166" s="1">
        <v>608</v>
      </c>
      <c r="C166" s="1">
        <v>1.0880000000000001</v>
      </c>
      <c r="D166" s="1">
        <v>1.0880000000000001</v>
      </c>
      <c r="E166" s="1">
        <v>1.0880000000000001</v>
      </c>
      <c r="F166" s="1">
        <v>1.0880000000000001</v>
      </c>
      <c r="G166" s="1">
        <v>1.32</v>
      </c>
      <c r="H166" s="1">
        <v>1</v>
      </c>
      <c r="I166" s="1">
        <v>1</v>
      </c>
      <c r="J166" s="1">
        <v>0.74</v>
      </c>
      <c r="K166" s="1">
        <v>1.62</v>
      </c>
      <c r="L166" s="1">
        <v>1.32</v>
      </c>
      <c r="M166" s="1">
        <v>1.32</v>
      </c>
      <c r="N166" s="1">
        <v>0.95</v>
      </c>
      <c r="O166" s="1">
        <v>0.95</v>
      </c>
      <c r="P166" s="1">
        <v>1.0900000000000001</v>
      </c>
      <c r="Q166" s="1">
        <v>1.19</v>
      </c>
      <c r="R166" s="1">
        <v>0.95</v>
      </c>
      <c r="S166" s="1">
        <v>0.95</v>
      </c>
      <c r="T166" s="1">
        <v>0.95</v>
      </c>
      <c r="U166" s="1">
        <v>0.95</v>
      </c>
      <c r="V166" s="1">
        <v>1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8</v>
      </c>
      <c r="AD166" s="1">
        <v>8</v>
      </c>
      <c r="AE166" s="1">
        <v>1.0880000000000001</v>
      </c>
      <c r="AF166" s="1">
        <v>0.95</v>
      </c>
      <c r="AG166" s="1">
        <v>1.32</v>
      </c>
      <c r="AH166" s="1">
        <v>0.95</v>
      </c>
      <c r="AI166" s="1">
        <v>2.4</v>
      </c>
      <c r="AJ166" s="1">
        <v>1</v>
      </c>
      <c r="AK166" s="1">
        <v>0</v>
      </c>
      <c r="AL166" s="1">
        <v>0.95</v>
      </c>
      <c r="AM166" s="1">
        <v>0.95</v>
      </c>
      <c r="AN166" s="1">
        <v>1.96</v>
      </c>
    </row>
    <row r="167" spans="1:40">
      <c r="A167" s="1">
        <v>609</v>
      </c>
      <c r="C167" s="1">
        <v>1.1240000000000001</v>
      </c>
      <c r="D167" s="1">
        <v>1.1240000000000001</v>
      </c>
      <c r="E167" s="1">
        <v>1.1240000000000001</v>
      </c>
      <c r="F167" s="1">
        <v>1.1240000000000001</v>
      </c>
      <c r="G167" s="1">
        <v>1.36</v>
      </c>
      <c r="H167" s="1">
        <v>1</v>
      </c>
      <c r="I167" s="1">
        <v>1</v>
      </c>
      <c r="J167" s="1">
        <v>0.77</v>
      </c>
      <c r="K167" s="1">
        <v>1.66</v>
      </c>
      <c r="L167" s="1">
        <v>1.36</v>
      </c>
      <c r="M167" s="1">
        <v>1.36</v>
      </c>
      <c r="N167" s="1">
        <v>0.95</v>
      </c>
      <c r="O167" s="1">
        <v>0.95</v>
      </c>
      <c r="P167" s="1">
        <v>1.0900000000000001</v>
      </c>
      <c r="Q167" s="1">
        <v>1.19</v>
      </c>
      <c r="R167" s="1">
        <v>0.95</v>
      </c>
      <c r="S167" s="1">
        <v>0.95</v>
      </c>
      <c r="T167" s="1">
        <v>0.95</v>
      </c>
      <c r="U167" s="1">
        <v>0.95</v>
      </c>
      <c r="V167" s="1">
        <v>1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9</v>
      </c>
      <c r="AD167" s="1">
        <v>9</v>
      </c>
      <c r="AE167" s="1">
        <v>1.1240000000000001</v>
      </c>
      <c r="AF167" s="1">
        <v>0.95</v>
      </c>
      <c r="AG167" s="1">
        <v>1.36</v>
      </c>
      <c r="AH167" s="1">
        <v>0.95</v>
      </c>
      <c r="AI167" s="1">
        <v>2.6</v>
      </c>
      <c r="AJ167" s="1">
        <v>1</v>
      </c>
      <c r="AK167" s="1">
        <v>0</v>
      </c>
      <c r="AL167" s="1">
        <v>0.95</v>
      </c>
      <c r="AM167" s="1">
        <v>0.95</v>
      </c>
      <c r="AN167" s="1">
        <v>2.08</v>
      </c>
    </row>
    <row r="168" spans="1:40">
      <c r="A168" s="1">
        <v>610</v>
      </c>
      <c r="C168" s="1">
        <v>1.1599999999999999</v>
      </c>
      <c r="D168" s="1">
        <v>1.1599999999999999</v>
      </c>
      <c r="E168" s="1">
        <v>1.1599999999999999</v>
      </c>
      <c r="F168" s="1">
        <v>1.1599999999999999</v>
      </c>
      <c r="G168" s="1">
        <v>1.4</v>
      </c>
      <c r="H168" s="1">
        <v>1</v>
      </c>
      <c r="I168" s="1">
        <v>1</v>
      </c>
      <c r="J168" s="1">
        <v>0.8</v>
      </c>
      <c r="K168" s="1">
        <v>1.7</v>
      </c>
      <c r="L168" s="1">
        <v>1.4</v>
      </c>
      <c r="M168" s="1">
        <v>1.4</v>
      </c>
      <c r="N168" s="1">
        <v>0.95</v>
      </c>
      <c r="O168" s="1">
        <v>0.95</v>
      </c>
      <c r="P168" s="1">
        <v>1.1000000000000001</v>
      </c>
      <c r="Q168" s="1">
        <v>1.2</v>
      </c>
      <c r="R168" s="1">
        <v>0.95</v>
      </c>
      <c r="S168" s="1">
        <v>0.95</v>
      </c>
      <c r="T168" s="1">
        <v>0.95</v>
      </c>
      <c r="U168" s="1">
        <v>0.95</v>
      </c>
      <c r="V168" s="1">
        <v>1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10</v>
      </c>
      <c r="AD168" s="1">
        <v>10</v>
      </c>
      <c r="AE168" s="1">
        <v>1.1599999999999999</v>
      </c>
      <c r="AF168" s="1">
        <v>0.95</v>
      </c>
      <c r="AG168" s="1">
        <v>1.4</v>
      </c>
      <c r="AH168" s="1">
        <v>0.95</v>
      </c>
      <c r="AI168" s="1">
        <v>2.8</v>
      </c>
      <c r="AJ168" s="1">
        <v>1</v>
      </c>
      <c r="AK168" s="1">
        <v>0</v>
      </c>
      <c r="AL168" s="1">
        <v>0.95</v>
      </c>
      <c r="AM168" s="1">
        <v>0.95</v>
      </c>
      <c r="AN168" s="1">
        <v>2.2000000000000002</v>
      </c>
    </row>
    <row r="169" spans="1:40">
      <c r="A169" s="1">
        <v>611</v>
      </c>
      <c r="C169" s="1">
        <v>1.196</v>
      </c>
      <c r="D169" s="1">
        <v>1.196</v>
      </c>
      <c r="E169" s="1">
        <v>1.196</v>
      </c>
      <c r="F169" s="1">
        <v>1.196</v>
      </c>
      <c r="G169" s="1">
        <v>1.44</v>
      </c>
      <c r="H169" s="1">
        <v>1</v>
      </c>
      <c r="I169" s="1">
        <v>1</v>
      </c>
      <c r="J169" s="1">
        <v>0.83</v>
      </c>
      <c r="K169" s="1">
        <v>1.73</v>
      </c>
      <c r="L169" s="1">
        <v>1.43</v>
      </c>
      <c r="M169" s="1">
        <v>1.43</v>
      </c>
      <c r="N169" s="1">
        <v>0.95</v>
      </c>
      <c r="O169" s="1">
        <v>0.95</v>
      </c>
      <c r="P169" s="1">
        <v>1.1000000000000001</v>
      </c>
      <c r="Q169" s="1">
        <v>1.2</v>
      </c>
      <c r="R169" s="1">
        <v>0.95</v>
      </c>
      <c r="S169" s="1">
        <v>0.95</v>
      </c>
      <c r="T169" s="1">
        <v>0.95</v>
      </c>
      <c r="U169" s="1">
        <v>0.95</v>
      </c>
      <c r="V169" s="1">
        <v>1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11</v>
      </c>
      <c r="AD169" s="1">
        <v>11</v>
      </c>
      <c r="AE169" s="1">
        <v>1.196</v>
      </c>
      <c r="AF169" s="1">
        <v>0.95</v>
      </c>
      <c r="AG169" s="1">
        <v>1.43</v>
      </c>
      <c r="AH169" s="1">
        <v>0.95</v>
      </c>
      <c r="AI169" s="1">
        <v>3</v>
      </c>
      <c r="AJ169" s="1">
        <v>1</v>
      </c>
      <c r="AK169" s="1">
        <v>0</v>
      </c>
      <c r="AL169" s="1">
        <v>0.95</v>
      </c>
      <c r="AM169" s="1">
        <v>0.95</v>
      </c>
      <c r="AN169" s="1">
        <v>2.3199999999999998</v>
      </c>
    </row>
    <row r="170" spans="1:40">
      <c r="A170" s="1">
        <v>612</v>
      </c>
      <c r="C170" s="1">
        <v>1.232</v>
      </c>
      <c r="D170" s="1">
        <v>1.232</v>
      </c>
      <c r="E170" s="1">
        <v>1.232</v>
      </c>
      <c r="F170" s="1">
        <v>1.232</v>
      </c>
      <c r="G170" s="1">
        <v>1.48</v>
      </c>
      <c r="H170" s="1">
        <v>1</v>
      </c>
      <c r="I170" s="1">
        <v>1</v>
      </c>
      <c r="J170" s="1">
        <v>0.86</v>
      </c>
      <c r="K170" s="1">
        <v>1.76</v>
      </c>
      <c r="L170" s="1">
        <v>1.46</v>
      </c>
      <c r="M170" s="1">
        <v>1.46</v>
      </c>
      <c r="N170" s="1">
        <v>0.95</v>
      </c>
      <c r="O170" s="1">
        <v>0.95</v>
      </c>
      <c r="P170" s="1">
        <v>1.1100000000000001</v>
      </c>
      <c r="Q170" s="1">
        <v>1.21</v>
      </c>
      <c r="R170" s="1">
        <v>0.95</v>
      </c>
      <c r="S170" s="1">
        <v>0.95</v>
      </c>
      <c r="T170" s="1">
        <v>0.95</v>
      </c>
      <c r="U170" s="1">
        <v>0.95</v>
      </c>
      <c r="V170" s="1">
        <v>1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12</v>
      </c>
      <c r="AD170" s="1">
        <v>12</v>
      </c>
      <c r="AE170" s="1">
        <v>1.232</v>
      </c>
      <c r="AF170" s="1">
        <v>0.95</v>
      </c>
      <c r="AG170" s="1">
        <v>1.46</v>
      </c>
      <c r="AH170" s="1">
        <v>0.95</v>
      </c>
      <c r="AI170" s="1">
        <v>3.2</v>
      </c>
      <c r="AJ170" s="1">
        <v>1</v>
      </c>
      <c r="AK170" s="1">
        <v>0</v>
      </c>
      <c r="AL170" s="1">
        <v>0.95</v>
      </c>
      <c r="AM170" s="1">
        <v>0.95</v>
      </c>
      <c r="AN170" s="1">
        <v>2.44</v>
      </c>
    </row>
    <row r="171" spans="1:40">
      <c r="A171" s="1">
        <v>613</v>
      </c>
      <c r="C171" s="1">
        <v>1.268</v>
      </c>
      <c r="D171" s="1">
        <v>1.268</v>
      </c>
      <c r="E171" s="1">
        <v>1.268</v>
      </c>
      <c r="F171" s="1">
        <v>1.268</v>
      </c>
      <c r="G171" s="1">
        <v>1.52</v>
      </c>
      <c r="H171" s="1">
        <v>1</v>
      </c>
      <c r="I171" s="1">
        <v>1</v>
      </c>
      <c r="J171" s="1">
        <v>0.89</v>
      </c>
      <c r="K171" s="1">
        <v>1.79</v>
      </c>
      <c r="L171" s="1">
        <v>1.49</v>
      </c>
      <c r="M171" s="1">
        <v>1.49</v>
      </c>
      <c r="N171" s="1">
        <v>0.95</v>
      </c>
      <c r="O171" s="1">
        <v>0.95</v>
      </c>
      <c r="P171" s="1">
        <v>1.1100000000000001</v>
      </c>
      <c r="Q171" s="1">
        <v>1.21</v>
      </c>
      <c r="R171" s="1">
        <v>0.95</v>
      </c>
      <c r="S171" s="1">
        <v>0.95</v>
      </c>
      <c r="T171" s="1">
        <v>0.95</v>
      </c>
      <c r="U171" s="1">
        <v>0.95</v>
      </c>
      <c r="V171" s="1">
        <v>1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13</v>
      </c>
      <c r="AD171" s="1">
        <v>13</v>
      </c>
      <c r="AE171" s="1">
        <v>1.268</v>
      </c>
      <c r="AF171" s="1">
        <v>0.95</v>
      </c>
      <c r="AG171" s="1">
        <v>1.49</v>
      </c>
      <c r="AH171" s="1">
        <v>0.95</v>
      </c>
      <c r="AI171" s="1">
        <v>3.4</v>
      </c>
      <c r="AJ171" s="1">
        <v>1</v>
      </c>
      <c r="AK171" s="1">
        <v>0</v>
      </c>
      <c r="AL171" s="1">
        <v>0.95</v>
      </c>
      <c r="AM171" s="1">
        <v>0.95</v>
      </c>
      <c r="AN171" s="1">
        <v>2.56</v>
      </c>
    </row>
    <row r="172" spans="1:40">
      <c r="A172" s="1">
        <v>614</v>
      </c>
      <c r="C172" s="1">
        <v>1.304</v>
      </c>
      <c r="D172" s="1">
        <v>1.304</v>
      </c>
      <c r="E172" s="1">
        <v>1.304</v>
      </c>
      <c r="F172" s="1">
        <v>1.304</v>
      </c>
      <c r="G172" s="1">
        <v>1.56</v>
      </c>
      <c r="H172" s="1">
        <v>1</v>
      </c>
      <c r="I172" s="1">
        <v>1</v>
      </c>
      <c r="J172" s="1">
        <v>0.92</v>
      </c>
      <c r="K172" s="1">
        <v>1.82</v>
      </c>
      <c r="L172" s="1">
        <v>1.52</v>
      </c>
      <c r="M172" s="1">
        <v>1.52</v>
      </c>
      <c r="N172" s="1">
        <v>0.95</v>
      </c>
      <c r="O172" s="1">
        <v>0.95</v>
      </c>
      <c r="P172" s="1">
        <v>1.1100000000000001</v>
      </c>
      <c r="Q172" s="1">
        <v>1.21</v>
      </c>
      <c r="R172" s="1">
        <v>0.95</v>
      </c>
      <c r="S172" s="1">
        <v>0.95</v>
      </c>
      <c r="T172" s="1">
        <v>0.95</v>
      </c>
      <c r="U172" s="1">
        <v>0.95</v>
      </c>
      <c r="V172" s="1">
        <v>1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14</v>
      </c>
      <c r="AD172" s="1">
        <v>14</v>
      </c>
      <c r="AE172" s="1">
        <v>1.304</v>
      </c>
      <c r="AF172" s="1">
        <v>0.95</v>
      </c>
      <c r="AG172" s="1">
        <v>1.52</v>
      </c>
      <c r="AH172" s="1">
        <v>0.95</v>
      </c>
      <c r="AI172" s="1">
        <v>3.6</v>
      </c>
      <c r="AJ172" s="1">
        <v>1</v>
      </c>
      <c r="AK172" s="1">
        <v>0</v>
      </c>
      <c r="AL172" s="1">
        <v>0.95</v>
      </c>
      <c r="AM172" s="1">
        <v>0.95</v>
      </c>
      <c r="AN172" s="1">
        <v>2.68</v>
      </c>
    </row>
    <row r="173" spans="1:40">
      <c r="A173" s="1">
        <v>615</v>
      </c>
      <c r="C173" s="1">
        <v>1.34</v>
      </c>
      <c r="D173" s="1">
        <v>1.34</v>
      </c>
      <c r="E173" s="1">
        <v>1.34</v>
      </c>
      <c r="F173" s="1">
        <v>1.34</v>
      </c>
      <c r="G173" s="1">
        <v>1.6</v>
      </c>
      <c r="H173" s="1">
        <v>1</v>
      </c>
      <c r="I173" s="1">
        <v>1</v>
      </c>
      <c r="J173" s="1">
        <v>0.95</v>
      </c>
      <c r="K173" s="1">
        <v>1.85</v>
      </c>
      <c r="L173" s="1">
        <v>1.55</v>
      </c>
      <c r="M173" s="1">
        <v>1.55</v>
      </c>
      <c r="N173" s="1">
        <v>0.95</v>
      </c>
      <c r="O173" s="1">
        <v>0.95</v>
      </c>
      <c r="P173" s="1">
        <v>1.1200000000000001</v>
      </c>
      <c r="Q173" s="1">
        <v>1.22</v>
      </c>
      <c r="R173" s="1">
        <v>0.95</v>
      </c>
      <c r="S173" s="1">
        <v>0.95</v>
      </c>
      <c r="T173" s="1">
        <v>0.95</v>
      </c>
      <c r="U173" s="1">
        <v>0.95</v>
      </c>
      <c r="V173" s="1">
        <v>1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15</v>
      </c>
      <c r="AD173" s="1">
        <v>15</v>
      </c>
      <c r="AE173" s="1">
        <v>1.34</v>
      </c>
      <c r="AF173" s="1">
        <v>0.95</v>
      </c>
      <c r="AG173" s="1">
        <v>1.55</v>
      </c>
      <c r="AH173" s="1">
        <v>0.95</v>
      </c>
      <c r="AI173" s="1">
        <v>3.8</v>
      </c>
      <c r="AJ173" s="1">
        <v>1</v>
      </c>
      <c r="AK173" s="1">
        <v>0</v>
      </c>
      <c r="AL173" s="1">
        <v>0.95</v>
      </c>
      <c r="AM173" s="1">
        <v>0.95</v>
      </c>
      <c r="AN173" s="1">
        <v>2.8</v>
      </c>
    </row>
    <row r="174" spans="1:40">
      <c r="A174" s="1">
        <v>616</v>
      </c>
      <c r="C174" s="1">
        <v>1.3759999999999999</v>
      </c>
      <c r="D174" s="1">
        <v>1.3759999999999999</v>
      </c>
      <c r="E174" s="1">
        <v>1.3759999999999999</v>
      </c>
      <c r="F174" s="1">
        <v>1.3759999999999999</v>
      </c>
      <c r="G174" s="1">
        <v>1.64</v>
      </c>
      <c r="H174" s="1">
        <v>1</v>
      </c>
      <c r="I174" s="1">
        <v>1</v>
      </c>
      <c r="J174" s="1">
        <v>0.98</v>
      </c>
      <c r="K174" s="1">
        <v>1.88</v>
      </c>
      <c r="L174" s="1">
        <v>1.58</v>
      </c>
      <c r="M174" s="1">
        <v>1.58</v>
      </c>
      <c r="N174" s="1">
        <v>0.95</v>
      </c>
      <c r="O174" s="1">
        <v>0.95</v>
      </c>
      <c r="P174" s="1">
        <v>1.1200000000000001</v>
      </c>
      <c r="Q174" s="1">
        <v>1.22</v>
      </c>
      <c r="R174" s="1">
        <v>0.95</v>
      </c>
      <c r="S174" s="1">
        <v>0.95</v>
      </c>
      <c r="T174" s="1">
        <v>0.95</v>
      </c>
      <c r="U174" s="1">
        <v>0.95</v>
      </c>
      <c r="V174" s="1">
        <v>1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16</v>
      </c>
      <c r="AD174" s="1">
        <v>16</v>
      </c>
      <c r="AE174" s="1">
        <v>1.3759999999999999</v>
      </c>
      <c r="AF174" s="1">
        <v>0.95</v>
      </c>
      <c r="AG174" s="1">
        <v>1.58</v>
      </c>
      <c r="AH174" s="1">
        <v>0.95</v>
      </c>
      <c r="AI174" s="1">
        <v>4</v>
      </c>
      <c r="AJ174" s="1">
        <v>1</v>
      </c>
      <c r="AK174" s="1">
        <v>0</v>
      </c>
      <c r="AL174" s="1">
        <v>0.95</v>
      </c>
      <c r="AM174" s="1">
        <v>0.95</v>
      </c>
      <c r="AN174" s="1">
        <v>2.92</v>
      </c>
    </row>
    <row r="175" spans="1:40">
      <c r="A175" s="1">
        <v>617</v>
      </c>
      <c r="C175" s="1">
        <v>1.4119999999999999</v>
      </c>
      <c r="D175" s="1">
        <v>1.4119999999999999</v>
      </c>
      <c r="E175" s="1">
        <v>1.4119999999999999</v>
      </c>
      <c r="F175" s="1">
        <v>1.4119999999999999</v>
      </c>
      <c r="G175" s="1">
        <v>1.68</v>
      </c>
      <c r="H175" s="1">
        <v>1</v>
      </c>
      <c r="I175" s="1">
        <v>1</v>
      </c>
      <c r="J175" s="1">
        <v>1.01</v>
      </c>
      <c r="K175" s="1">
        <v>1.91</v>
      </c>
      <c r="L175" s="1">
        <v>1.61</v>
      </c>
      <c r="M175" s="1">
        <v>1.61</v>
      </c>
      <c r="N175" s="1">
        <v>0.95</v>
      </c>
      <c r="O175" s="1">
        <v>0.95</v>
      </c>
      <c r="P175" s="1">
        <v>1.1200000000000001</v>
      </c>
      <c r="Q175" s="1">
        <v>1.22</v>
      </c>
      <c r="R175" s="1">
        <v>0.95</v>
      </c>
      <c r="S175" s="1">
        <v>0.95</v>
      </c>
      <c r="T175" s="1">
        <v>0.95</v>
      </c>
      <c r="U175" s="1">
        <v>0.95</v>
      </c>
      <c r="V175" s="1">
        <v>1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17</v>
      </c>
      <c r="AD175" s="1">
        <v>17</v>
      </c>
      <c r="AE175" s="1">
        <v>1.4119999999999999</v>
      </c>
      <c r="AF175" s="1">
        <v>0.95</v>
      </c>
      <c r="AG175" s="1">
        <v>1.61</v>
      </c>
      <c r="AH175" s="1">
        <v>0.95</v>
      </c>
      <c r="AI175" s="1">
        <v>4.2</v>
      </c>
      <c r="AJ175" s="1">
        <v>1</v>
      </c>
      <c r="AK175" s="1">
        <v>0</v>
      </c>
      <c r="AL175" s="1">
        <v>0.95</v>
      </c>
      <c r="AM175" s="1">
        <v>0.95</v>
      </c>
      <c r="AN175" s="1">
        <v>3.04</v>
      </c>
    </row>
    <row r="176" spans="1:40">
      <c r="A176" s="1">
        <v>618</v>
      </c>
      <c r="C176" s="1">
        <v>1.448</v>
      </c>
      <c r="D176" s="1">
        <v>1.448</v>
      </c>
      <c r="E176" s="1">
        <v>1.448</v>
      </c>
      <c r="F176" s="1">
        <v>1.448</v>
      </c>
      <c r="G176" s="1">
        <v>1.72</v>
      </c>
      <c r="H176" s="1">
        <v>1</v>
      </c>
      <c r="I176" s="1">
        <v>1</v>
      </c>
      <c r="J176" s="1">
        <v>1.04</v>
      </c>
      <c r="K176" s="1">
        <v>1.94</v>
      </c>
      <c r="L176" s="1">
        <v>1.64</v>
      </c>
      <c r="M176" s="1">
        <v>1.64</v>
      </c>
      <c r="N176" s="1">
        <v>0.95</v>
      </c>
      <c r="O176" s="1">
        <v>0.95</v>
      </c>
      <c r="P176" s="1">
        <v>1.1299999999999999</v>
      </c>
      <c r="Q176" s="1">
        <v>1.23</v>
      </c>
      <c r="R176" s="1">
        <v>0.95</v>
      </c>
      <c r="S176" s="1">
        <v>0.95</v>
      </c>
      <c r="T176" s="1">
        <v>0.95</v>
      </c>
      <c r="U176" s="1">
        <v>0.95</v>
      </c>
      <c r="V176" s="1">
        <v>1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18</v>
      </c>
      <c r="AD176" s="1">
        <v>18</v>
      </c>
      <c r="AE176" s="1">
        <v>1.448</v>
      </c>
      <c r="AF176" s="1">
        <v>0.95</v>
      </c>
      <c r="AG176" s="1">
        <v>1.64</v>
      </c>
      <c r="AH176" s="1">
        <v>0.95</v>
      </c>
      <c r="AI176" s="1">
        <v>4.4000000000000004</v>
      </c>
      <c r="AJ176" s="1">
        <v>1</v>
      </c>
      <c r="AK176" s="1">
        <v>0</v>
      </c>
      <c r="AL176" s="1">
        <v>0.95</v>
      </c>
      <c r="AM176" s="1">
        <v>0.95</v>
      </c>
      <c r="AN176" s="1">
        <v>3.16</v>
      </c>
    </row>
    <row r="177" spans="1:40">
      <c r="A177" s="1">
        <v>619</v>
      </c>
      <c r="C177" s="1">
        <v>1.484</v>
      </c>
      <c r="D177" s="1">
        <v>1.484</v>
      </c>
      <c r="E177" s="1">
        <v>1.484</v>
      </c>
      <c r="F177" s="1">
        <v>1.484</v>
      </c>
      <c r="G177" s="1">
        <v>1.76</v>
      </c>
      <c r="H177" s="1">
        <v>1</v>
      </c>
      <c r="I177" s="1">
        <v>1</v>
      </c>
      <c r="J177" s="1">
        <v>1.07</v>
      </c>
      <c r="K177" s="1">
        <v>1.97</v>
      </c>
      <c r="L177" s="1">
        <v>1.67</v>
      </c>
      <c r="M177" s="1">
        <v>1.67</v>
      </c>
      <c r="N177" s="1">
        <v>0.95</v>
      </c>
      <c r="O177" s="1">
        <v>0.95</v>
      </c>
      <c r="P177" s="1">
        <v>1.1299999999999999</v>
      </c>
      <c r="Q177" s="1">
        <v>1.23</v>
      </c>
      <c r="R177" s="1">
        <v>0.95</v>
      </c>
      <c r="S177" s="1">
        <v>0.95</v>
      </c>
      <c r="T177" s="1">
        <v>0.95</v>
      </c>
      <c r="U177" s="1">
        <v>0.95</v>
      </c>
      <c r="V177" s="1">
        <v>1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19</v>
      </c>
      <c r="AD177" s="1">
        <v>19</v>
      </c>
      <c r="AE177" s="1">
        <v>1.484</v>
      </c>
      <c r="AF177" s="1">
        <v>0.95</v>
      </c>
      <c r="AG177" s="1">
        <v>1.67</v>
      </c>
      <c r="AH177" s="1">
        <v>0.95</v>
      </c>
      <c r="AI177" s="1">
        <v>4.5999999999999996</v>
      </c>
      <c r="AJ177" s="1">
        <v>1</v>
      </c>
      <c r="AK177" s="1">
        <v>0</v>
      </c>
      <c r="AL177" s="1">
        <v>0.95</v>
      </c>
      <c r="AM177" s="1">
        <v>0.95</v>
      </c>
      <c r="AN177" s="1">
        <v>3.28</v>
      </c>
    </row>
    <row r="178" spans="1:40">
      <c r="A178" s="1">
        <v>620</v>
      </c>
      <c r="C178" s="1">
        <v>1.52</v>
      </c>
      <c r="D178" s="1">
        <v>1.52</v>
      </c>
      <c r="E178" s="1">
        <v>1.52</v>
      </c>
      <c r="F178" s="1">
        <v>1.52</v>
      </c>
      <c r="G178" s="1">
        <v>1.8</v>
      </c>
      <c r="H178" s="1">
        <v>1</v>
      </c>
      <c r="I178" s="1">
        <v>1</v>
      </c>
      <c r="J178" s="1">
        <v>1.1000000000000001</v>
      </c>
      <c r="K178" s="1">
        <v>2</v>
      </c>
      <c r="L178" s="1">
        <v>1.7</v>
      </c>
      <c r="M178" s="1">
        <v>1.7</v>
      </c>
      <c r="N178" s="1">
        <v>0.95</v>
      </c>
      <c r="O178" s="1">
        <v>0.95</v>
      </c>
      <c r="P178" s="1">
        <v>1.1299999999999999</v>
      </c>
      <c r="Q178" s="1">
        <v>1.23</v>
      </c>
      <c r="R178" s="1">
        <v>0.95</v>
      </c>
      <c r="S178" s="1">
        <v>0.95</v>
      </c>
      <c r="T178" s="1">
        <v>0.95</v>
      </c>
      <c r="U178" s="1">
        <v>0.95</v>
      </c>
      <c r="V178" s="1">
        <v>1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20</v>
      </c>
      <c r="AD178" s="1">
        <v>20</v>
      </c>
      <c r="AE178" s="1">
        <v>1.52</v>
      </c>
      <c r="AF178" s="1">
        <v>0.95</v>
      </c>
      <c r="AG178" s="1">
        <v>1.7</v>
      </c>
      <c r="AH178" s="1">
        <v>0.95</v>
      </c>
      <c r="AI178" s="1">
        <v>4.8</v>
      </c>
      <c r="AJ178" s="1">
        <v>1</v>
      </c>
      <c r="AK178" s="1">
        <v>0</v>
      </c>
      <c r="AL178" s="1">
        <v>0.95</v>
      </c>
      <c r="AM178" s="1">
        <v>0.95</v>
      </c>
      <c r="AN178" s="1">
        <v>3.4</v>
      </c>
    </row>
    <row r="179" spans="1:40">
      <c r="A179" s="1">
        <v>621</v>
      </c>
      <c r="C179" s="1">
        <v>1.556</v>
      </c>
      <c r="D179" s="1">
        <v>1.556</v>
      </c>
      <c r="E179" s="1">
        <v>1.556</v>
      </c>
      <c r="F179" s="1">
        <v>1.556</v>
      </c>
      <c r="G179" s="1">
        <v>1.84</v>
      </c>
      <c r="H179" s="1">
        <v>1</v>
      </c>
      <c r="I179" s="1">
        <v>1</v>
      </c>
      <c r="J179" s="1">
        <v>1.1200000000000001</v>
      </c>
      <c r="K179" s="1">
        <v>2.02</v>
      </c>
      <c r="L179" s="1">
        <v>1.72</v>
      </c>
      <c r="M179" s="1">
        <v>1.72</v>
      </c>
      <c r="N179" s="1">
        <v>0.95</v>
      </c>
      <c r="O179" s="1">
        <v>0.95</v>
      </c>
      <c r="P179" s="1">
        <v>1.1399999999999999</v>
      </c>
      <c r="Q179" s="1">
        <v>1.24</v>
      </c>
      <c r="R179" s="1">
        <v>0.95</v>
      </c>
      <c r="S179" s="1">
        <v>0.95</v>
      </c>
      <c r="T179" s="1">
        <v>0.95</v>
      </c>
      <c r="U179" s="1">
        <v>0.95</v>
      </c>
      <c r="V179" s="1">
        <v>1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21</v>
      </c>
      <c r="AD179" s="1">
        <v>21</v>
      </c>
      <c r="AE179" s="1">
        <v>1.556</v>
      </c>
      <c r="AF179" s="1">
        <v>0.95</v>
      </c>
      <c r="AG179" s="1">
        <v>1.72</v>
      </c>
      <c r="AH179" s="1">
        <v>0.95</v>
      </c>
      <c r="AI179" s="1">
        <v>5</v>
      </c>
      <c r="AJ179" s="1">
        <v>1</v>
      </c>
      <c r="AK179" s="1">
        <v>0</v>
      </c>
      <c r="AL179" s="1">
        <v>0.95</v>
      </c>
      <c r="AM179" s="1">
        <v>0.95</v>
      </c>
      <c r="AN179" s="1">
        <v>3.52</v>
      </c>
    </row>
    <row r="180" spans="1:40">
      <c r="A180" s="1">
        <v>622</v>
      </c>
      <c r="C180" s="1">
        <v>1.5920000000000001</v>
      </c>
      <c r="D180" s="1">
        <v>1.5920000000000001</v>
      </c>
      <c r="E180" s="1">
        <v>1.5920000000000001</v>
      </c>
      <c r="F180" s="1">
        <v>1.5920000000000001</v>
      </c>
      <c r="G180" s="1">
        <v>1.88</v>
      </c>
      <c r="H180" s="1">
        <v>1</v>
      </c>
      <c r="I180" s="1">
        <v>1</v>
      </c>
      <c r="J180" s="1">
        <v>1.1399999999999999</v>
      </c>
      <c r="K180" s="1">
        <v>2.04</v>
      </c>
      <c r="L180" s="1">
        <v>1.74</v>
      </c>
      <c r="M180" s="1">
        <v>1.74</v>
      </c>
      <c r="N180" s="1">
        <v>0.95</v>
      </c>
      <c r="O180" s="1">
        <v>0.95</v>
      </c>
      <c r="P180" s="1">
        <v>1.1399999999999999</v>
      </c>
      <c r="Q180" s="1">
        <v>1.24</v>
      </c>
      <c r="R180" s="1">
        <v>0.95</v>
      </c>
      <c r="S180" s="1">
        <v>0.95</v>
      </c>
      <c r="T180" s="1">
        <v>0.95</v>
      </c>
      <c r="U180" s="1">
        <v>0.95</v>
      </c>
      <c r="V180" s="1">
        <v>1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22</v>
      </c>
      <c r="AD180" s="1">
        <v>22</v>
      </c>
      <c r="AE180" s="1">
        <v>1.5920000000000001</v>
      </c>
      <c r="AF180" s="1">
        <v>0.95</v>
      </c>
      <c r="AG180" s="1">
        <v>1.74</v>
      </c>
      <c r="AH180" s="1">
        <v>0.95</v>
      </c>
      <c r="AI180" s="1">
        <v>5.2</v>
      </c>
      <c r="AJ180" s="1">
        <v>1</v>
      </c>
      <c r="AK180" s="1">
        <v>0</v>
      </c>
      <c r="AL180" s="1">
        <v>0.95</v>
      </c>
      <c r="AM180" s="1">
        <v>0.95</v>
      </c>
      <c r="AN180" s="1">
        <v>3.64</v>
      </c>
    </row>
    <row r="181" spans="1:40">
      <c r="A181" s="1">
        <v>623</v>
      </c>
      <c r="C181" s="1">
        <v>1.6279999999999999</v>
      </c>
      <c r="D181" s="1">
        <v>1.6279999999999999</v>
      </c>
      <c r="E181" s="1">
        <v>1.6279999999999999</v>
      </c>
      <c r="F181" s="1">
        <v>1.6279999999999999</v>
      </c>
      <c r="G181" s="1">
        <v>1.92</v>
      </c>
      <c r="H181" s="1">
        <v>1</v>
      </c>
      <c r="I181" s="1">
        <v>1</v>
      </c>
      <c r="J181" s="1">
        <v>1.1599999999999999</v>
      </c>
      <c r="K181" s="1">
        <v>2.06</v>
      </c>
      <c r="L181" s="1">
        <v>1.76</v>
      </c>
      <c r="M181" s="1">
        <v>1.76</v>
      </c>
      <c r="N181" s="1">
        <v>0.95</v>
      </c>
      <c r="O181" s="1">
        <v>0.95</v>
      </c>
      <c r="P181" s="1">
        <v>1.1399999999999999</v>
      </c>
      <c r="Q181" s="1">
        <v>1.24</v>
      </c>
      <c r="R181" s="1">
        <v>0.95</v>
      </c>
      <c r="S181" s="1">
        <v>0.95</v>
      </c>
      <c r="T181" s="1">
        <v>0.95</v>
      </c>
      <c r="U181" s="1">
        <v>0.95</v>
      </c>
      <c r="V181" s="1">
        <v>1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23</v>
      </c>
      <c r="AD181" s="1">
        <v>23</v>
      </c>
      <c r="AE181" s="1">
        <v>1.6279999999999999</v>
      </c>
      <c r="AF181" s="1">
        <v>0.95</v>
      </c>
      <c r="AG181" s="1">
        <v>1.76</v>
      </c>
      <c r="AH181" s="1">
        <v>0.95</v>
      </c>
      <c r="AI181" s="1">
        <v>5.4</v>
      </c>
      <c r="AJ181" s="1">
        <v>1</v>
      </c>
      <c r="AK181" s="1">
        <v>0</v>
      </c>
      <c r="AL181" s="1">
        <v>0.95</v>
      </c>
      <c r="AM181" s="1">
        <v>0.95</v>
      </c>
      <c r="AN181" s="1">
        <v>3.76</v>
      </c>
    </row>
    <row r="182" spans="1:40">
      <c r="A182" s="1">
        <v>624</v>
      </c>
      <c r="C182" s="1">
        <v>1.6639999999999999</v>
      </c>
      <c r="D182" s="1">
        <v>1.6639999999999999</v>
      </c>
      <c r="E182" s="1">
        <v>1.6639999999999999</v>
      </c>
      <c r="F182" s="1">
        <v>1.6639999999999999</v>
      </c>
      <c r="G182" s="1">
        <v>1.96</v>
      </c>
      <c r="H182" s="1">
        <v>1</v>
      </c>
      <c r="I182" s="1">
        <v>1</v>
      </c>
      <c r="J182" s="1">
        <v>1.18</v>
      </c>
      <c r="K182" s="1">
        <v>2.08</v>
      </c>
      <c r="L182" s="1">
        <v>1.78</v>
      </c>
      <c r="M182" s="1">
        <v>1.78</v>
      </c>
      <c r="N182" s="1">
        <v>0.95</v>
      </c>
      <c r="O182" s="1">
        <v>0.95</v>
      </c>
      <c r="P182" s="1">
        <v>1.1399999999999999</v>
      </c>
      <c r="Q182" s="1">
        <v>1.24</v>
      </c>
      <c r="R182" s="1">
        <v>0.95</v>
      </c>
      <c r="S182" s="1">
        <v>0.95</v>
      </c>
      <c r="T182" s="1">
        <v>0.95</v>
      </c>
      <c r="U182" s="1">
        <v>0.95</v>
      </c>
      <c r="V182" s="1">
        <v>1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24</v>
      </c>
      <c r="AD182" s="1">
        <v>24</v>
      </c>
      <c r="AE182" s="1">
        <v>1.6639999999999999</v>
      </c>
      <c r="AF182" s="1">
        <v>0.95</v>
      </c>
      <c r="AG182" s="1">
        <v>1.78</v>
      </c>
      <c r="AH182" s="1">
        <v>0.95</v>
      </c>
      <c r="AI182" s="1">
        <v>5.6</v>
      </c>
      <c r="AJ182" s="1">
        <v>1</v>
      </c>
      <c r="AK182" s="1">
        <v>0</v>
      </c>
      <c r="AL182" s="1">
        <v>0.95</v>
      </c>
      <c r="AM182" s="1">
        <v>0.95</v>
      </c>
      <c r="AN182" s="1">
        <v>3.88</v>
      </c>
    </row>
    <row r="183" spans="1:40">
      <c r="A183" s="1">
        <v>625</v>
      </c>
      <c r="C183" s="1">
        <v>1.7</v>
      </c>
      <c r="D183" s="1">
        <v>1.7</v>
      </c>
      <c r="E183" s="1">
        <v>1.7</v>
      </c>
      <c r="F183" s="1">
        <v>1.7</v>
      </c>
      <c r="G183" s="1">
        <v>2</v>
      </c>
      <c r="H183" s="1">
        <v>1</v>
      </c>
      <c r="I183" s="1">
        <v>1</v>
      </c>
      <c r="J183" s="1">
        <v>1.2</v>
      </c>
      <c r="K183" s="1">
        <v>2.1</v>
      </c>
      <c r="L183" s="1">
        <v>1.8</v>
      </c>
      <c r="M183" s="1">
        <v>1.8</v>
      </c>
      <c r="N183" s="1">
        <v>0.95</v>
      </c>
      <c r="O183" s="1">
        <v>0.95</v>
      </c>
      <c r="P183" s="1">
        <v>1.1499999999999999</v>
      </c>
      <c r="Q183" s="1">
        <v>1.25</v>
      </c>
      <c r="R183" s="1">
        <v>0.95</v>
      </c>
      <c r="S183" s="1">
        <v>0.95</v>
      </c>
      <c r="T183" s="1">
        <v>0.95</v>
      </c>
      <c r="U183" s="1">
        <v>0.95</v>
      </c>
      <c r="V183" s="1">
        <v>1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25</v>
      </c>
      <c r="AD183" s="1">
        <v>25</v>
      </c>
      <c r="AE183" s="1">
        <v>1.7</v>
      </c>
      <c r="AF183" s="1">
        <v>0.95</v>
      </c>
      <c r="AG183" s="1">
        <v>1.8</v>
      </c>
      <c r="AH183" s="1">
        <v>0.95</v>
      </c>
      <c r="AI183" s="1">
        <v>5.8</v>
      </c>
      <c r="AJ183" s="1">
        <v>1</v>
      </c>
      <c r="AK183" s="1">
        <v>0</v>
      </c>
      <c r="AL183" s="1">
        <v>0.95</v>
      </c>
      <c r="AM183" s="1">
        <v>0.95</v>
      </c>
      <c r="AN183" s="1">
        <v>4</v>
      </c>
    </row>
    <row r="184" spans="1:40">
      <c r="A184" s="1">
        <v>700</v>
      </c>
      <c r="C184" s="1">
        <v>0.75</v>
      </c>
      <c r="D184" s="1">
        <v>0.75</v>
      </c>
      <c r="E184" s="1">
        <v>0.75</v>
      </c>
      <c r="F184" s="1">
        <v>0.75</v>
      </c>
      <c r="G184" s="1">
        <v>1</v>
      </c>
      <c r="H184" s="1">
        <v>1</v>
      </c>
      <c r="I184" s="1">
        <v>1</v>
      </c>
      <c r="J184" s="1">
        <v>1</v>
      </c>
      <c r="K184" s="1">
        <v>1</v>
      </c>
      <c r="L184" s="1">
        <v>1</v>
      </c>
      <c r="M184" s="1">
        <v>1</v>
      </c>
      <c r="N184" s="1">
        <v>0.95</v>
      </c>
      <c r="O184" s="1">
        <v>1.05</v>
      </c>
      <c r="P184" s="1">
        <v>0.95</v>
      </c>
      <c r="Q184" s="1">
        <v>0.95</v>
      </c>
      <c r="R184" s="1">
        <v>0.95</v>
      </c>
      <c r="S184" s="1">
        <v>0.95</v>
      </c>
      <c r="T184" s="1">
        <v>0.95</v>
      </c>
      <c r="U184" s="1">
        <v>0.95</v>
      </c>
      <c r="V184" s="1">
        <v>1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0.75</v>
      </c>
      <c r="AF184" s="1">
        <v>1.1499999999999999</v>
      </c>
      <c r="AG184" s="1">
        <v>1</v>
      </c>
      <c r="AH184" s="1">
        <v>0.95</v>
      </c>
      <c r="AI184" s="1">
        <v>1</v>
      </c>
      <c r="AJ184" s="1">
        <v>1</v>
      </c>
      <c r="AK184" s="1">
        <v>0</v>
      </c>
      <c r="AL184" s="1">
        <v>0.95</v>
      </c>
      <c r="AM184" s="1">
        <v>0.95</v>
      </c>
      <c r="AN184" s="1">
        <v>1</v>
      </c>
    </row>
    <row r="185" spans="1:40">
      <c r="A185" s="1">
        <v>701</v>
      </c>
      <c r="C185" s="1">
        <v>0.79800000000000004</v>
      </c>
      <c r="D185" s="1">
        <v>0.79800000000000004</v>
      </c>
      <c r="E185" s="1">
        <v>0.79800000000000004</v>
      </c>
      <c r="F185" s="1">
        <v>0.79800000000000004</v>
      </c>
      <c r="G185" s="1">
        <v>1.04</v>
      </c>
      <c r="H185" s="1">
        <v>1</v>
      </c>
      <c r="I185" s="1">
        <v>1</v>
      </c>
      <c r="J185" s="1">
        <v>1.04</v>
      </c>
      <c r="K185" s="1">
        <v>1.04</v>
      </c>
      <c r="L185" s="1">
        <v>1.04</v>
      </c>
      <c r="M185" s="1">
        <v>1.07</v>
      </c>
      <c r="N185" s="1">
        <v>0.95</v>
      </c>
      <c r="O185" s="1">
        <v>1.05</v>
      </c>
      <c r="P185" s="1">
        <v>0.95</v>
      </c>
      <c r="Q185" s="1">
        <v>0.95</v>
      </c>
      <c r="R185" s="1">
        <v>0.95</v>
      </c>
      <c r="S185" s="1">
        <v>0.95</v>
      </c>
      <c r="T185" s="1">
        <v>0.95</v>
      </c>
      <c r="U185" s="1">
        <v>0.95</v>
      </c>
      <c r="V185" s="1">
        <v>1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1</v>
      </c>
      <c r="AE185" s="1">
        <v>0.79800000000000004</v>
      </c>
      <c r="AF185" s="1">
        <v>1.1499999999999999</v>
      </c>
      <c r="AG185" s="1">
        <v>1.04</v>
      </c>
      <c r="AH185" s="1">
        <v>0.95</v>
      </c>
      <c r="AI185" s="1">
        <v>1</v>
      </c>
      <c r="AJ185" s="1">
        <v>1</v>
      </c>
      <c r="AK185" s="1">
        <v>0</v>
      </c>
      <c r="AL185" s="1">
        <v>0.95</v>
      </c>
      <c r="AM185" s="1">
        <v>0.95</v>
      </c>
      <c r="AN185" s="1">
        <v>1.1200000000000001</v>
      </c>
    </row>
    <row r="186" spans="1:40">
      <c r="A186" s="1">
        <v>702</v>
      </c>
      <c r="C186" s="1">
        <v>0.84599999999999997</v>
      </c>
      <c r="D186" s="1">
        <v>0.84599999999999997</v>
      </c>
      <c r="E186" s="1">
        <v>0.84599999999999997</v>
      </c>
      <c r="F186" s="1">
        <v>0.84599999999999997</v>
      </c>
      <c r="G186" s="1">
        <v>1.08</v>
      </c>
      <c r="H186" s="1">
        <v>1</v>
      </c>
      <c r="I186" s="1">
        <v>1</v>
      </c>
      <c r="J186" s="1">
        <v>1.08</v>
      </c>
      <c r="K186" s="1">
        <v>1.08</v>
      </c>
      <c r="L186" s="1">
        <v>1.08</v>
      </c>
      <c r="M186" s="1">
        <v>1.1399999999999999</v>
      </c>
      <c r="N186" s="1">
        <v>0.95</v>
      </c>
      <c r="O186" s="1">
        <v>1.06</v>
      </c>
      <c r="P186" s="1">
        <v>0.95</v>
      </c>
      <c r="Q186" s="1">
        <v>0.95</v>
      </c>
      <c r="R186" s="1">
        <v>0.95</v>
      </c>
      <c r="S186" s="1">
        <v>0.95</v>
      </c>
      <c r="T186" s="1">
        <v>0.95</v>
      </c>
      <c r="U186" s="1">
        <v>0.95</v>
      </c>
      <c r="V186" s="1">
        <v>1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2</v>
      </c>
      <c r="AD186" s="1">
        <v>2</v>
      </c>
      <c r="AE186" s="1">
        <v>0.84599999999999997</v>
      </c>
      <c r="AF186" s="1">
        <v>1.1599999999999999</v>
      </c>
      <c r="AG186" s="1">
        <v>1.08</v>
      </c>
      <c r="AH186" s="1">
        <v>0.95</v>
      </c>
      <c r="AI186" s="1">
        <v>1.2</v>
      </c>
      <c r="AJ186" s="1">
        <v>1</v>
      </c>
      <c r="AK186" s="1">
        <v>0</v>
      </c>
      <c r="AL186" s="1">
        <v>0.95</v>
      </c>
      <c r="AM186" s="1">
        <v>0.95</v>
      </c>
      <c r="AN186" s="1">
        <v>1.24</v>
      </c>
    </row>
    <row r="187" spans="1:40">
      <c r="A187" s="1">
        <v>703</v>
      </c>
      <c r="C187" s="1">
        <v>0.89400000000000002</v>
      </c>
      <c r="D187" s="1">
        <v>0.89400000000000002</v>
      </c>
      <c r="E187" s="1">
        <v>0.89400000000000002</v>
      </c>
      <c r="F187" s="1">
        <v>0.89400000000000002</v>
      </c>
      <c r="G187" s="1">
        <v>1.1200000000000001</v>
      </c>
      <c r="H187" s="1">
        <v>1</v>
      </c>
      <c r="I187" s="1">
        <v>1</v>
      </c>
      <c r="J187" s="1">
        <v>1.1200000000000001</v>
      </c>
      <c r="K187" s="1">
        <v>1.1200000000000001</v>
      </c>
      <c r="L187" s="1">
        <v>1.1200000000000001</v>
      </c>
      <c r="M187" s="1">
        <v>1.21</v>
      </c>
      <c r="N187" s="1">
        <v>0.95</v>
      </c>
      <c r="O187" s="1">
        <v>1.06</v>
      </c>
      <c r="P187" s="1">
        <v>0.95</v>
      </c>
      <c r="Q187" s="1">
        <v>0.95</v>
      </c>
      <c r="R187" s="1">
        <v>0.95</v>
      </c>
      <c r="S187" s="1">
        <v>0.95</v>
      </c>
      <c r="T187" s="1">
        <v>0.95</v>
      </c>
      <c r="U187" s="1">
        <v>0.95</v>
      </c>
      <c r="V187" s="1">
        <v>1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3</v>
      </c>
      <c r="AD187" s="1">
        <v>3</v>
      </c>
      <c r="AE187" s="1">
        <v>0.89400000000000002</v>
      </c>
      <c r="AF187" s="1">
        <v>1.1599999999999999</v>
      </c>
      <c r="AG187" s="1">
        <v>1.1200000000000001</v>
      </c>
      <c r="AH187" s="1">
        <v>0.95</v>
      </c>
      <c r="AI187" s="1">
        <v>1.4</v>
      </c>
      <c r="AJ187" s="1">
        <v>1</v>
      </c>
      <c r="AK187" s="1">
        <v>0</v>
      </c>
      <c r="AL187" s="1">
        <v>0.95</v>
      </c>
      <c r="AM187" s="1">
        <v>0.95</v>
      </c>
      <c r="AN187" s="1">
        <v>1.36</v>
      </c>
    </row>
    <row r="188" spans="1:40">
      <c r="A188" s="1">
        <v>704</v>
      </c>
      <c r="C188" s="1">
        <v>0.94199999999999995</v>
      </c>
      <c r="D188" s="1">
        <v>0.94199999999999995</v>
      </c>
      <c r="E188" s="1">
        <v>0.94199999999999995</v>
      </c>
      <c r="F188" s="1">
        <v>0.94199999999999995</v>
      </c>
      <c r="G188" s="1">
        <v>1.1599999999999999</v>
      </c>
      <c r="H188" s="1">
        <v>1</v>
      </c>
      <c r="I188" s="1">
        <v>1</v>
      </c>
      <c r="J188" s="1">
        <v>1.1599999999999999</v>
      </c>
      <c r="K188" s="1">
        <v>1.1599999999999999</v>
      </c>
      <c r="L188" s="1">
        <v>1.1599999999999999</v>
      </c>
      <c r="M188" s="1">
        <v>1.28</v>
      </c>
      <c r="N188" s="1">
        <v>0.95</v>
      </c>
      <c r="O188" s="1">
        <v>1.07</v>
      </c>
      <c r="P188" s="1">
        <v>0.95</v>
      </c>
      <c r="Q188" s="1">
        <v>0.95</v>
      </c>
      <c r="R188" s="1">
        <v>0.95</v>
      </c>
      <c r="S188" s="1">
        <v>0.95</v>
      </c>
      <c r="T188" s="1">
        <v>0.95</v>
      </c>
      <c r="U188" s="1">
        <v>0.95</v>
      </c>
      <c r="V188" s="1">
        <v>1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4</v>
      </c>
      <c r="AE188" s="1">
        <v>0.94199999999999995</v>
      </c>
      <c r="AF188" s="1">
        <v>1.17</v>
      </c>
      <c r="AG188" s="1">
        <v>1.1599999999999999</v>
      </c>
      <c r="AH188" s="1">
        <v>0.95</v>
      </c>
      <c r="AI188" s="1">
        <v>1.6</v>
      </c>
      <c r="AJ188" s="1">
        <v>1</v>
      </c>
      <c r="AK188" s="1">
        <v>0</v>
      </c>
      <c r="AL188" s="1">
        <v>0.95</v>
      </c>
      <c r="AM188" s="1">
        <v>0.95</v>
      </c>
      <c r="AN188" s="1">
        <v>1.48</v>
      </c>
    </row>
    <row r="189" spans="1:40">
      <c r="A189" s="1">
        <v>705</v>
      </c>
      <c r="C189" s="1">
        <v>0.99</v>
      </c>
      <c r="D189" s="1">
        <v>0.99</v>
      </c>
      <c r="E189" s="1">
        <v>0.99</v>
      </c>
      <c r="F189" s="1">
        <v>0.99</v>
      </c>
      <c r="G189" s="1">
        <v>1.2</v>
      </c>
      <c r="H189" s="1">
        <v>1</v>
      </c>
      <c r="I189" s="1">
        <v>1</v>
      </c>
      <c r="J189" s="1">
        <v>1.2</v>
      </c>
      <c r="K189" s="1">
        <v>1.2</v>
      </c>
      <c r="L189" s="1">
        <v>1.2</v>
      </c>
      <c r="M189" s="1">
        <v>1.35</v>
      </c>
      <c r="N189" s="1">
        <v>0.95</v>
      </c>
      <c r="O189" s="1">
        <v>1.07</v>
      </c>
      <c r="P189" s="1">
        <v>0.95</v>
      </c>
      <c r="Q189" s="1">
        <v>0.95</v>
      </c>
      <c r="R189" s="1">
        <v>0.95</v>
      </c>
      <c r="S189" s="1">
        <v>0.95</v>
      </c>
      <c r="T189" s="1">
        <v>0.95</v>
      </c>
      <c r="U189" s="1">
        <v>0.95</v>
      </c>
      <c r="V189" s="1">
        <v>1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5</v>
      </c>
      <c r="AD189" s="1">
        <v>5</v>
      </c>
      <c r="AE189" s="1">
        <v>0.99</v>
      </c>
      <c r="AF189" s="1">
        <v>1.17</v>
      </c>
      <c r="AG189" s="1">
        <v>1.2</v>
      </c>
      <c r="AH189" s="1">
        <v>0.95</v>
      </c>
      <c r="AI189" s="1">
        <v>1.8</v>
      </c>
      <c r="AJ189" s="1">
        <v>1</v>
      </c>
      <c r="AK189" s="1">
        <v>0</v>
      </c>
      <c r="AL189" s="1">
        <v>0.95</v>
      </c>
      <c r="AM189" s="1">
        <v>0.95</v>
      </c>
      <c r="AN189" s="1">
        <v>1.6</v>
      </c>
    </row>
    <row r="190" spans="1:40">
      <c r="A190" s="1">
        <v>706</v>
      </c>
      <c r="C190" s="1">
        <v>1.038</v>
      </c>
      <c r="D190" s="1">
        <v>1.038</v>
      </c>
      <c r="E190" s="1">
        <v>1.038</v>
      </c>
      <c r="F190" s="1">
        <v>1.038</v>
      </c>
      <c r="G190" s="1">
        <v>1.24</v>
      </c>
      <c r="H190" s="1">
        <v>1</v>
      </c>
      <c r="I190" s="1">
        <v>1</v>
      </c>
      <c r="J190" s="1">
        <v>1.24</v>
      </c>
      <c r="K190" s="1">
        <v>1.24</v>
      </c>
      <c r="L190" s="1">
        <v>1.24</v>
      </c>
      <c r="M190" s="1">
        <v>1.42</v>
      </c>
      <c r="N190" s="1">
        <v>0.95</v>
      </c>
      <c r="O190" s="1">
        <v>1.08</v>
      </c>
      <c r="P190" s="1">
        <v>0.95</v>
      </c>
      <c r="Q190" s="1">
        <v>0.95</v>
      </c>
      <c r="R190" s="1">
        <v>0.95</v>
      </c>
      <c r="S190" s="1">
        <v>0.95</v>
      </c>
      <c r="T190" s="1">
        <v>0.95</v>
      </c>
      <c r="U190" s="1">
        <v>0.95</v>
      </c>
      <c r="V190" s="1">
        <v>1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6</v>
      </c>
      <c r="AD190" s="1">
        <v>6</v>
      </c>
      <c r="AE190" s="1">
        <v>1.038</v>
      </c>
      <c r="AF190" s="1">
        <v>1.18</v>
      </c>
      <c r="AG190" s="1">
        <v>1.24</v>
      </c>
      <c r="AH190" s="1">
        <v>0.95</v>
      </c>
      <c r="AI190" s="1">
        <v>2</v>
      </c>
      <c r="AJ190" s="1">
        <v>1</v>
      </c>
      <c r="AK190" s="1">
        <v>0</v>
      </c>
      <c r="AL190" s="1">
        <v>0.95</v>
      </c>
      <c r="AM190" s="1">
        <v>0.95</v>
      </c>
      <c r="AN190" s="1">
        <v>1.72</v>
      </c>
    </row>
    <row r="191" spans="1:40">
      <c r="A191" s="1">
        <v>707</v>
      </c>
      <c r="C191" s="1">
        <v>1.0860000000000001</v>
      </c>
      <c r="D191" s="1">
        <v>1.0860000000000001</v>
      </c>
      <c r="E191" s="1">
        <v>1.0860000000000001</v>
      </c>
      <c r="F191" s="1">
        <v>1.0860000000000001</v>
      </c>
      <c r="G191" s="1">
        <v>1.28</v>
      </c>
      <c r="H191" s="1">
        <v>1</v>
      </c>
      <c r="I191" s="1">
        <v>1</v>
      </c>
      <c r="J191" s="1">
        <v>1.28</v>
      </c>
      <c r="K191" s="1">
        <v>1.28</v>
      </c>
      <c r="L191" s="1">
        <v>1.28</v>
      </c>
      <c r="M191" s="1">
        <v>1.49</v>
      </c>
      <c r="N191" s="1">
        <v>0.95</v>
      </c>
      <c r="O191" s="1">
        <v>1.08</v>
      </c>
      <c r="P191" s="1">
        <v>0.95</v>
      </c>
      <c r="Q191" s="1">
        <v>0.95</v>
      </c>
      <c r="R191" s="1">
        <v>0.95</v>
      </c>
      <c r="S191" s="1">
        <v>0.95</v>
      </c>
      <c r="T191" s="1">
        <v>0.95</v>
      </c>
      <c r="U191" s="1">
        <v>0.95</v>
      </c>
      <c r="V191" s="1">
        <v>1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7</v>
      </c>
      <c r="AD191" s="1">
        <v>7</v>
      </c>
      <c r="AE191" s="1">
        <v>1.0860000000000001</v>
      </c>
      <c r="AF191" s="1">
        <v>1.18</v>
      </c>
      <c r="AG191" s="1">
        <v>1.28</v>
      </c>
      <c r="AH191" s="1">
        <v>0.95</v>
      </c>
      <c r="AI191" s="1">
        <v>2.2000000000000002</v>
      </c>
      <c r="AJ191" s="1">
        <v>1</v>
      </c>
      <c r="AK191" s="1">
        <v>0</v>
      </c>
      <c r="AL191" s="1">
        <v>0.95</v>
      </c>
      <c r="AM191" s="1">
        <v>0.95</v>
      </c>
      <c r="AN191" s="1">
        <v>1.84</v>
      </c>
    </row>
    <row r="192" spans="1:40">
      <c r="A192" s="1">
        <v>708</v>
      </c>
      <c r="C192" s="1">
        <v>1.1339999999999999</v>
      </c>
      <c r="D192" s="1">
        <v>1.1339999999999999</v>
      </c>
      <c r="E192" s="1">
        <v>1.1339999999999999</v>
      </c>
      <c r="F192" s="1">
        <v>1.1339999999999999</v>
      </c>
      <c r="G192" s="1">
        <v>1.32</v>
      </c>
      <c r="H192" s="1">
        <v>1</v>
      </c>
      <c r="I192" s="1">
        <v>1</v>
      </c>
      <c r="J192" s="1">
        <v>1.32</v>
      </c>
      <c r="K192" s="1">
        <v>1.32</v>
      </c>
      <c r="L192" s="1">
        <v>1.32</v>
      </c>
      <c r="M192" s="1">
        <v>1.56</v>
      </c>
      <c r="N192" s="1">
        <v>0.95</v>
      </c>
      <c r="O192" s="1">
        <v>1.0900000000000001</v>
      </c>
      <c r="P192" s="1">
        <v>0.95</v>
      </c>
      <c r="Q192" s="1">
        <v>0.95</v>
      </c>
      <c r="R192" s="1">
        <v>0.95</v>
      </c>
      <c r="S192" s="1">
        <v>0.95</v>
      </c>
      <c r="T192" s="1">
        <v>0.95</v>
      </c>
      <c r="U192" s="1">
        <v>0.95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8</v>
      </c>
      <c r="AD192" s="1">
        <v>8</v>
      </c>
      <c r="AE192" s="1">
        <v>1.1339999999999999</v>
      </c>
      <c r="AF192" s="1">
        <v>1.19</v>
      </c>
      <c r="AG192" s="1">
        <v>1.32</v>
      </c>
      <c r="AH192" s="1">
        <v>0.95</v>
      </c>
      <c r="AI192" s="1">
        <v>2.4</v>
      </c>
      <c r="AJ192" s="1">
        <v>1</v>
      </c>
      <c r="AK192" s="1">
        <v>0</v>
      </c>
      <c r="AL192" s="1">
        <v>0.95</v>
      </c>
      <c r="AM192" s="1">
        <v>0.95</v>
      </c>
      <c r="AN192" s="1">
        <v>1.96</v>
      </c>
    </row>
    <row r="193" spans="1:40">
      <c r="A193" s="1">
        <v>709</v>
      </c>
      <c r="C193" s="1">
        <v>1.1819999999999999</v>
      </c>
      <c r="D193" s="1">
        <v>1.1819999999999999</v>
      </c>
      <c r="E193" s="1">
        <v>1.1819999999999999</v>
      </c>
      <c r="F193" s="1">
        <v>1.1819999999999999</v>
      </c>
      <c r="G193" s="1">
        <v>1.36</v>
      </c>
      <c r="H193" s="1">
        <v>1</v>
      </c>
      <c r="I193" s="1">
        <v>1</v>
      </c>
      <c r="J193" s="1">
        <v>1.36</v>
      </c>
      <c r="K193" s="1">
        <v>1.36</v>
      </c>
      <c r="L193" s="1">
        <v>1.36</v>
      </c>
      <c r="M193" s="1">
        <v>1.63</v>
      </c>
      <c r="N193" s="1">
        <v>0.95</v>
      </c>
      <c r="O193" s="1">
        <v>1.0900000000000001</v>
      </c>
      <c r="P193" s="1">
        <v>0.95</v>
      </c>
      <c r="Q193" s="1">
        <v>0.95</v>
      </c>
      <c r="R193" s="1">
        <v>0.95</v>
      </c>
      <c r="S193" s="1">
        <v>0.95</v>
      </c>
      <c r="T193" s="1">
        <v>0.95</v>
      </c>
      <c r="U193" s="1">
        <v>0.95</v>
      </c>
      <c r="V193" s="1">
        <v>1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9</v>
      </c>
      <c r="AD193" s="1">
        <v>9</v>
      </c>
      <c r="AE193" s="1">
        <v>1.1819999999999999</v>
      </c>
      <c r="AF193" s="1">
        <v>1.19</v>
      </c>
      <c r="AG193" s="1">
        <v>1.36</v>
      </c>
      <c r="AH193" s="1">
        <v>0.95</v>
      </c>
      <c r="AI193" s="1">
        <v>2.6</v>
      </c>
      <c r="AJ193" s="1">
        <v>1</v>
      </c>
      <c r="AK193" s="1">
        <v>0</v>
      </c>
      <c r="AL193" s="1">
        <v>0.95</v>
      </c>
      <c r="AM193" s="1">
        <v>0.95</v>
      </c>
      <c r="AN193" s="1">
        <v>2.08</v>
      </c>
    </row>
    <row r="194" spans="1:40">
      <c r="A194" s="1">
        <v>710</v>
      </c>
      <c r="C194" s="1">
        <v>1.23</v>
      </c>
      <c r="D194" s="1">
        <v>1.23</v>
      </c>
      <c r="E194" s="1">
        <v>1.23</v>
      </c>
      <c r="F194" s="1">
        <v>1.23</v>
      </c>
      <c r="G194" s="1">
        <v>1.4</v>
      </c>
      <c r="H194" s="1">
        <v>1</v>
      </c>
      <c r="I194" s="1">
        <v>1</v>
      </c>
      <c r="J194" s="1">
        <v>1.4</v>
      </c>
      <c r="K194" s="1">
        <v>1.4</v>
      </c>
      <c r="L194" s="1">
        <v>1.4</v>
      </c>
      <c r="M194" s="1">
        <v>1.7</v>
      </c>
      <c r="N194" s="1">
        <v>0.95</v>
      </c>
      <c r="O194" s="1">
        <v>1.1000000000000001</v>
      </c>
      <c r="P194" s="1">
        <v>0.95</v>
      </c>
      <c r="Q194" s="1">
        <v>0.95</v>
      </c>
      <c r="R194" s="1">
        <v>0.95</v>
      </c>
      <c r="S194" s="1">
        <v>0.95</v>
      </c>
      <c r="T194" s="1">
        <v>0.95</v>
      </c>
      <c r="U194" s="1">
        <v>0.95</v>
      </c>
      <c r="V194" s="1">
        <v>1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10</v>
      </c>
      <c r="AD194" s="1">
        <v>10</v>
      </c>
      <c r="AE194" s="1">
        <v>1.23</v>
      </c>
      <c r="AF194" s="1">
        <v>1.2</v>
      </c>
      <c r="AG194" s="1">
        <v>1.4</v>
      </c>
      <c r="AH194" s="1">
        <v>0.95</v>
      </c>
      <c r="AI194" s="1">
        <v>2.8</v>
      </c>
      <c r="AJ194" s="1">
        <v>1</v>
      </c>
      <c r="AK194" s="1">
        <v>0</v>
      </c>
      <c r="AL194" s="1">
        <v>0.95</v>
      </c>
      <c r="AM194" s="1">
        <v>0.95</v>
      </c>
      <c r="AN194" s="1">
        <v>2.2000000000000002</v>
      </c>
    </row>
    <row r="195" spans="1:40">
      <c r="A195" s="1">
        <v>711</v>
      </c>
      <c r="C195" s="1">
        <v>1.278</v>
      </c>
      <c r="D195" s="1">
        <v>1.278</v>
      </c>
      <c r="E195" s="1">
        <v>1.278</v>
      </c>
      <c r="F195" s="1">
        <v>1.278</v>
      </c>
      <c r="G195" s="1">
        <v>1.44</v>
      </c>
      <c r="H195" s="1">
        <v>1</v>
      </c>
      <c r="I195" s="1">
        <v>1</v>
      </c>
      <c r="J195" s="1">
        <v>1.43</v>
      </c>
      <c r="K195" s="1">
        <v>1.43</v>
      </c>
      <c r="L195" s="1">
        <v>1.43</v>
      </c>
      <c r="M195" s="1">
        <v>1.75</v>
      </c>
      <c r="N195" s="1">
        <v>0.95</v>
      </c>
      <c r="O195" s="1">
        <v>1.1000000000000001</v>
      </c>
      <c r="P195" s="1">
        <v>0.95</v>
      </c>
      <c r="Q195" s="1">
        <v>0.95</v>
      </c>
      <c r="R195" s="1">
        <v>0.95</v>
      </c>
      <c r="S195" s="1">
        <v>0.95</v>
      </c>
      <c r="T195" s="1">
        <v>0.95</v>
      </c>
      <c r="U195" s="1">
        <v>0.95</v>
      </c>
      <c r="V195" s="1">
        <v>1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11</v>
      </c>
      <c r="AD195" s="1">
        <v>11</v>
      </c>
      <c r="AE195" s="1">
        <v>1.278</v>
      </c>
      <c r="AF195" s="1">
        <v>1.2</v>
      </c>
      <c r="AG195" s="1">
        <v>1.43</v>
      </c>
      <c r="AH195" s="1">
        <v>0.95</v>
      </c>
      <c r="AI195" s="1">
        <v>3</v>
      </c>
      <c r="AJ195" s="1">
        <v>1</v>
      </c>
      <c r="AK195" s="1">
        <v>0</v>
      </c>
      <c r="AL195" s="1">
        <v>0.95</v>
      </c>
      <c r="AM195" s="1">
        <v>0.95</v>
      </c>
      <c r="AN195" s="1">
        <v>2.3199999999999998</v>
      </c>
    </row>
    <row r="196" spans="1:40">
      <c r="A196" s="1">
        <v>712</v>
      </c>
      <c r="C196" s="1">
        <v>1.3260000000000001</v>
      </c>
      <c r="D196" s="1">
        <v>1.3260000000000001</v>
      </c>
      <c r="E196" s="1">
        <v>1.3260000000000001</v>
      </c>
      <c r="F196" s="1">
        <v>1.3260000000000001</v>
      </c>
      <c r="G196" s="1">
        <v>1.48</v>
      </c>
      <c r="H196" s="1">
        <v>1</v>
      </c>
      <c r="I196" s="1">
        <v>1</v>
      </c>
      <c r="J196" s="1">
        <v>1.46</v>
      </c>
      <c r="K196" s="1">
        <v>1.46</v>
      </c>
      <c r="L196" s="1">
        <v>1.46</v>
      </c>
      <c r="M196" s="1">
        <v>1.8</v>
      </c>
      <c r="N196" s="1">
        <v>0.95</v>
      </c>
      <c r="O196" s="1">
        <v>1.1100000000000001</v>
      </c>
      <c r="P196" s="1">
        <v>0.95</v>
      </c>
      <c r="Q196" s="1">
        <v>0.95</v>
      </c>
      <c r="R196" s="1">
        <v>0.95</v>
      </c>
      <c r="S196" s="1">
        <v>0.95</v>
      </c>
      <c r="T196" s="1">
        <v>0.95</v>
      </c>
      <c r="U196" s="1">
        <v>0.95</v>
      </c>
      <c r="V196" s="1">
        <v>1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12</v>
      </c>
      <c r="AD196" s="1">
        <v>12</v>
      </c>
      <c r="AE196" s="1">
        <v>1.3260000000000001</v>
      </c>
      <c r="AF196" s="1">
        <v>1.21</v>
      </c>
      <c r="AG196" s="1">
        <v>1.46</v>
      </c>
      <c r="AH196" s="1">
        <v>0.95</v>
      </c>
      <c r="AI196" s="1">
        <v>3.2</v>
      </c>
      <c r="AJ196" s="1">
        <v>1</v>
      </c>
      <c r="AK196" s="1">
        <v>0</v>
      </c>
      <c r="AL196" s="1">
        <v>0.95</v>
      </c>
      <c r="AM196" s="1">
        <v>0.95</v>
      </c>
      <c r="AN196" s="1">
        <v>2.44</v>
      </c>
    </row>
    <row r="197" spans="1:40">
      <c r="A197" s="1">
        <v>713</v>
      </c>
      <c r="C197" s="1">
        <v>1.3740000000000001</v>
      </c>
      <c r="D197" s="1">
        <v>1.3740000000000001</v>
      </c>
      <c r="E197" s="1">
        <v>1.3740000000000001</v>
      </c>
      <c r="F197" s="1">
        <v>1.3740000000000001</v>
      </c>
      <c r="G197" s="1">
        <v>1.52</v>
      </c>
      <c r="H197" s="1">
        <v>1</v>
      </c>
      <c r="I197" s="1">
        <v>1</v>
      </c>
      <c r="J197" s="1">
        <v>1.49</v>
      </c>
      <c r="K197" s="1">
        <v>1.49</v>
      </c>
      <c r="L197" s="1">
        <v>1.49</v>
      </c>
      <c r="M197" s="1">
        <v>1.85</v>
      </c>
      <c r="N197" s="1">
        <v>0.95</v>
      </c>
      <c r="O197" s="1">
        <v>1.1100000000000001</v>
      </c>
      <c r="P197" s="1">
        <v>0.95</v>
      </c>
      <c r="Q197" s="1">
        <v>0.95</v>
      </c>
      <c r="R197" s="1">
        <v>0.95</v>
      </c>
      <c r="S197" s="1">
        <v>0.95</v>
      </c>
      <c r="T197" s="1">
        <v>0.95</v>
      </c>
      <c r="U197" s="1">
        <v>0.95</v>
      </c>
      <c r="V197" s="1">
        <v>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13</v>
      </c>
      <c r="AD197" s="1">
        <v>13</v>
      </c>
      <c r="AE197" s="1">
        <v>1.3740000000000001</v>
      </c>
      <c r="AF197" s="1">
        <v>1.21</v>
      </c>
      <c r="AG197" s="1">
        <v>1.49</v>
      </c>
      <c r="AH197" s="1">
        <v>0.95</v>
      </c>
      <c r="AI197" s="1">
        <v>3.4</v>
      </c>
      <c r="AJ197" s="1">
        <v>1</v>
      </c>
      <c r="AK197" s="1">
        <v>0</v>
      </c>
      <c r="AL197" s="1">
        <v>0.95</v>
      </c>
      <c r="AM197" s="1">
        <v>0.95</v>
      </c>
      <c r="AN197" s="1">
        <v>2.56</v>
      </c>
    </row>
    <row r="198" spans="1:40">
      <c r="A198" s="1">
        <v>714</v>
      </c>
      <c r="C198" s="1">
        <v>1.4219999999999999</v>
      </c>
      <c r="D198" s="1">
        <v>1.4219999999999999</v>
      </c>
      <c r="E198" s="1">
        <v>1.4219999999999999</v>
      </c>
      <c r="F198" s="1">
        <v>1.4219999999999999</v>
      </c>
      <c r="G198" s="1">
        <v>1.56</v>
      </c>
      <c r="H198" s="1">
        <v>1</v>
      </c>
      <c r="I198" s="1">
        <v>1</v>
      </c>
      <c r="J198" s="1">
        <v>1.52</v>
      </c>
      <c r="K198" s="1">
        <v>1.52</v>
      </c>
      <c r="L198" s="1">
        <v>1.52</v>
      </c>
      <c r="M198" s="1">
        <v>1.9</v>
      </c>
      <c r="N198" s="1">
        <v>0.95</v>
      </c>
      <c r="O198" s="1">
        <v>1.1100000000000001</v>
      </c>
      <c r="P198" s="1">
        <v>0.95</v>
      </c>
      <c r="Q198" s="1">
        <v>0.95</v>
      </c>
      <c r="R198" s="1">
        <v>0.95</v>
      </c>
      <c r="S198" s="1">
        <v>0.95</v>
      </c>
      <c r="T198" s="1">
        <v>0.95</v>
      </c>
      <c r="U198" s="1">
        <v>0.95</v>
      </c>
      <c r="V198" s="1">
        <v>1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14</v>
      </c>
      <c r="AD198" s="1">
        <v>14</v>
      </c>
      <c r="AE198" s="1">
        <v>1.4219999999999999</v>
      </c>
      <c r="AF198" s="1">
        <v>1.21</v>
      </c>
      <c r="AG198" s="1">
        <v>1.52</v>
      </c>
      <c r="AH198" s="1">
        <v>0.95</v>
      </c>
      <c r="AI198" s="1">
        <v>3.6</v>
      </c>
      <c r="AJ198" s="1">
        <v>1</v>
      </c>
      <c r="AK198" s="1">
        <v>0</v>
      </c>
      <c r="AL198" s="1">
        <v>0.95</v>
      </c>
      <c r="AM198" s="1">
        <v>0.95</v>
      </c>
      <c r="AN198" s="1">
        <v>2.68</v>
      </c>
    </row>
    <row r="199" spans="1:40">
      <c r="A199" s="1">
        <v>715</v>
      </c>
      <c r="C199" s="1">
        <v>1.47</v>
      </c>
      <c r="D199" s="1">
        <v>1.47</v>
      </c>
      <c r="E199" s="1">
        <v>1.47</v>
      </c>
      <c r="F199" s="1">
        <v>1.47</v>
      </c>
      <c r="G199" s="1">
        <v>1.6</v>
      </c>
      <c r="H199" s="1">
        <v>1</v>
      </c>
      <c r="I199" s="1">
        <v>1</v>
      </c>
      <c r="J199" s="1">
        <v>1.55</v>
      </c>
      <c r="K199" s="1">
        <v>1.55</v>
      </c>
      <c r="L199" s="1">
        <v>1.55</v>
      </c>
      <c r="M199" s="1">
        <v>1.95</v>
      </c>
      <c r="N199" s="1">
        <v>0.95</v>
      </c>
      <c r="O199" s="1">
        <v>1.1200000000000001</v>
      </c>
      <c r="P199" s="1">
        <v>0.95</v>
      </c>
      <c r="Q199" s="1">
        <v>0.95</v>
      </c>
      <c r="R199" s="1">
        <v>0.95</v>
      </c>
      <c r="S199" s="1">
        <v>0.95</v>
      </c>
      <c r="T199" s="1">
        <v>0.95</v>
      </c>
      <c r="U199" s="1">
        <v>0.95</v>
      </c>
      <c r="V199" s="1">
        <v>1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15</v>
      </c>
      <c r="AD199" s="1">
        <v>15</v>
      </c>
      <c r="AE199" s="1">
        <v>1.47</v>
      </c>
      <c r="AF199" s="1">
        <v>1.22</v>
      </c>
      <c r="AG199" s="1">
        <v>1.55</v>
      </c>
      <c r="AH199" s="1">
        <v>0.95</v>
      </c>
      <c r="AI199" s="1">
        <v>3.8</v>
      </c>
      <c r="AJ199" s="1">
        <v>1</v>
      </c>
      <c r="AK199" s="1">
        <v>0</v>
      </c>
      <c r="AL199" s="1">
        <v>0.95</v>
      </c>
      <c r="AM199" s="1">
        <v>0.95</v>
      </c>
      <c r="AN199" s="1">
        <v>2.8</v>
      </c>
    </row>
    <row r="200" spans="1:40">
      <c r="A200" s="1">
        <v>716</v>
      </c>
      <c r="C200" s="1">
        <v>1.518</v>
      </c>
      <c r="D200" s="1">
        <v>1.518</v>
      </c>
      <c r="E200" s="1">
        <v>1.518</v>
      </c>
      <c r="F200" s="1">
        <v>1.518</v>
      </c>
      <c r="G200" s="1">
        <v>1.64</v>
      </c>
      <c r="H200" s="1">
        <v>1</v>
      </c>
      <c r="I200" s="1">
        <v>1</v>
      </c>
      <c r="J200" s="1">
        <v>1.58</v>
      </c>
      <c r="K200" s="1">
        <v>1.58</v>
      </c>
      <c r="L200" s="1">
        <v>1.58</v>
      </c>
      <c r="M200" s="1">
        <v>2</v>
      </c>
      <c r="N200" s="1">
        <v>0.95</v>
      </c>
      <c r="O200" s="1">
        <v>1.1200000000000001</v>
      </c>
      <c r="P200" s="1">
        <v>0.95</v>
      </c>
      <c r="Q200" s="1">
        <v>0.95</v>
      </c>
      <c r="R200" s="1">
        <v>0.95</v>
      </c>
      <c r="S200" s="1">
        <v>0.95</v>
      </c>
      <c r="T200" s="1">
        <v>0.95</v>
      </c>
      <c r="U200" s="1">
        <v>0.95</v>
      </c>
      <c r="V200" s="1">
        <v>1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16</v>
      </c>
      <c r="AD200" s="1">
        <v>16</v>
      </c>
      <c r="AE200" s="1">
        <v>1.518</v>
      </c>
      <c r="AF200" s="1">
        <v>1.22</v>
      </c>
      <c r="AG200" s="1">
        <v>1.58</v>
      </c>
      <c r="AH200" s="1">
        <v>0.95</v>
      </c>
      <c r="AI200" s="1">
        <v>4</v>
      </c>
      <c r="AJ200" s="1">
        <v>1</v>
      </c>
      <c r="AK200" s="1">
        <v>0</v>
      </c>
      <c r="AL200" s="1">
        <v>0.95</v>
      </c>
      <c r="AM200" s="1">
        <v>0.95</v>
      </c>
      <c r="AN200" s="1">
        <v>2.92</v>
      </c>
    </row>
    <row r="201" spans="1:40">
      <c r="A201" s="1">
        <v>717</v>
      </c>
      <c r="C201" s="1">
        <v>1.5660000000000001</v>
      </c>
      <c r="D201" s="1">
        <v>1.5660000000000001</v>
      </c>
      <c r="E201" s="1">
        <v>1.5660000000000001</v>
      </c>
      <c r="F201" s="1">
        <v>1.5660000000000001</v>
      </c>
      <c r="G201" s="1">
        <v>1.68</v>
      </c>
      <c r="H201" s="1">
        <v>1</v>
      </c>
      <c r="I201" s="1">
        <v>1</v>
      </c>
      <c r="J201" s="1">
        <v>1.61</v>
      </c>
      <c r="K201" s="1">
        <v>1.61</v>
      </c>
      <c r="L201" s="1">
        <v>1.61</v>
      </c>
      <c r="M201" s="1">
        <v>2.0499999999999998</v>
      </c>
      <c r="N201" s="1">
        <v>0.95</v>
      </c>
      <c r="O201" s="1">
        <v>1.1200000000000001</v>
      </c>
      <c r="P201" s="1">
        <v>0.95</v>
      </c>
      <c r="Q201" s="1">
        <v>0.95</v>
      </c>
      <c r="R201" s="1">
        <v>0.95</v>
      </c>
      <c r="S201" s="1">
        <v>0.95</v>
      </c>
      <c r="T201" s="1">
        <v>0.95</v>
      </c>
      <c r="U201" s="1">
        <v>0.95</v>
      </c>
      <c r="V201" s="1">
        <v>1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17</v>
      </c>
      <c r="AD201" s="1">
        <v>17</v>
      </c>
      <c r="AE201" s="1">
        <v>1.5660000000000001</v>
      </c>
      <c r="AF201" s="1">
        <v>1.22</v>
      </c>
      <c r="AG201" s="1">
        <v>1.61</v>
      </c>
      <c r="AH201" s="1">
        <v>0.95</v>
      </c>
      <c r="AI201" s="1">
        <v>4.2</v>
      </c>
      <c r="AJ201" s="1">
        <v>1</v>
      </c>
      <c r="AK201" s="1">
        <v>0</v>
      </c>
      <c r="AL201" s="1">
        <v>0.95</v>
      </c>
      <c r="AM201" s="1">
        <v>0.95</v>
      </c>
      <c r="AN201" s="1">
        <v>3.04</v>
      </c>
    </row>
    <row r="202" spans="1:40">
      <c r="A202" s="1">
        <v>718</v>
      </c>
      <c r="C202" s="1">
        <v>1.6140000000000001</v>
      </c>
      <c r="D202" s="1">
        <v>1.6140000000000001</v>
      </c>
      <c r="E202" s="1">
        <v>1.6140000000000001</v>
      </c>
      <c r="F202" s="1">
        <v>1.6140000000000001</v>
      </c>
      <c r="G202" s="1">
        <v>1.72</v>
      </c>
      <c r="H202" s="1">
        <v>1</v>
      </c>
      <c r="I202" s="1">
        <v>1</v>
      </c>
      <c r="J202" s="1">
        <v>1.64</v>
      </c>
      <c r="K202" s="1">
        <v>1.64</v>
      </c>
      <c r="L202" s="1">
        <v>1.64</v>
      </c>
      <c r="M202" s="1">
        <v>2.1</v>
      </c>
      <c r="N202" s="1">
        <v>0.95</v>
      </c>
      <c r="O202" s="1">
        <v>1.1299999999999999</v>
      </c>
      <c r="P202" s="1">
        <v>0.95</v>
      </c>
      <c r="Q202" s="1">
        <v>0.95</v>
      </c>
      <c r="R202" s="1">
        <v>0.95</v>
      </c>
      <c r="S202" s="1">
        <v>0.95</v>
      </c>
      <c r="T202" s="1">
        <v>0.95</v>
      </c>
      <c r="U202" s="1">
        <v>0.95</v>
      </c>
      <c r="V202" s="1">
        <v>1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18</v>
      </c>
      <c r="AD202" s="1">
        <v>18</v>
      </c>
      <c r="AE202" s="1">
        <v>1.6140000000000001</v>
      </c>
      <c r="AF202" s="1">
        <v>1.23</v>
      </c>
      <c r="AG202" s="1">
        <v>1.64</v>
      </c>
      <c r="AH202" s="1">
        <v>0.95</v>
      </c>
      <c r="AI202" s="1">
        <v>4.4000000000000004</v>
      </c>
      <c r="AJ202" s="1">
        <v>1</v>
      </c>
      <c r="AK202" s="1">
        <v>0</v>
      </c>
      <c r="AL202" s="1">
        <v>0.95</v>
      </c>
      <c r="AM202" s="1">
        <v>0.95</v>
      </c>
      <c r="AN202" s="1">
        <v>3.16</v>
      </c>
    </row>
    <row r="203" spans="1:40">
      <c r="A203" s="1">
        <v>719</v>
      </c>
      <c r="C203" s="1">
        <v>1.6619999999999999</v>
      </c>
      <c r="D203" s="1">
        <v>1.6619999999999999</v>
      </c>
      <c r="E203" s="1">
        <v>1.6619999999999999</v>
      </c>
      <c r="F203" s="1">
        <v>1.6619999999999999</v>
      </c>
      <c r="G203" s="1">
        <v>1.76</v>
      </c>
      <c r="H203" s="1">
        <v>1</v>
      </c>
      <c r="I203" s="1">
        <v>1</v>
      </c>
      <c r="J203" s="1">
        <v>1.67</v>
      </c>
      <c r="K203" s="1">
        <v>1.67</v>
      </c>
      <c r="L203" s="1">
        <v>1.67</v>
      </c>
      <c r="M203" s="1">
        <v>2.15</v>
      </c>
      <c r="N203" s="1">
        <v>0.95</v>
      </c>
      <c r="O203" s="1">
        <v>1.1299999999999999</v>
      </c>
      <c r="P203" s="1">
        <v>0.95</v>
      </c>
      <c r="Q203" s="1">
        <v>0.95</v>
      </c>
      <c r="R203" s="1">
        <v>0.95</v>
      </c>
      <c r="S203" s="1">
        <v>0.95</v>
      </c>
      <c r="T203" s="1">
        <v>0.95</v>
      </c>
      <c r="U203" s="1">
        <v>0.95</v>
      </c>
      <c r="V203" s="1">
        <v>1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19</v>
      </c>
      <c r="AD203" s="1">
        <v>19</v>
      </c>
      <c r="AE203" s="1">
        <v>1.6619999999999999</v>
      </c>
      <c r="AF203" s="1">
        <v>1.23</v>
      </c>
      <c r="AG203" s="1">
        <v>1.67</v>
      </c>
      <c r="AH203" s="1">
        <v>0.95</v>
      </c>
      <c r="AI203" s="1">
        <v>4.5999999999999996</v>
      </c>
      <c r="AJ203" s="1">
        <v>1</v>
      </c>
      <c r="AK203" s="1">
        <v>0</v>
      </c>
      <c r="AL203" s="1">
        <v>0.95</v>
      </c>
      <c r="AM203" s="1">
        <v>0.95</v>
      </c>
      <c r="AN203" s="1">
        <v>3.28</v>
      </c>
    </row>
    <row r="204" spans="1:40">
      <c r="A204" s="1">
        <v>720</v>
      </c>
      <c r="C204" s="1">
        <v>1.71</v>
      </c>
      <c r="D204" s="1">
        <v>1.71</v>
      </c>
      <c r="E204" s="1">
        <v>1.71</v>
      </c>
      <c r="F204" s="1">
        <v>1.71</v>
      </c>
      <c r="G204" s="1">
        <v>1.8</v>
      </c>
      <c r="H204" s="1">
        <v>1</v>
      </c>
      <c r="I204" s="1">
        <v>1</v>
      </c>
      <c r="J204" s="1">
        <v>1.7</v>
      </c>
      <c r="K204" s="1">
        <v>1.7</v>
      </c>
      <c r="L204" s="1">
        <v>1.7</v>
      </c>
      <c r="M204" s="1">
        <v>2.2000000000000002</v>
      </c>
      <c r="N204" s="1">
        <v>0.95</v>
      </c>
      <c r="O204" s="1">
        <v>1.1299999999999999</v>
      </c>
      <c r="P204" s="1">
        <v>0.95</v>
      </c>
      <c r="Q204" s="1">
        <v>0.95</v>
      </c>
      <c r="R204" s="1">
        <v>0.95</v>
      </c>
      <c r="S204" s="1">
        <v>0.95</v>
      </c>
      <c r="T204" s="1">
        <v>0.95</v>
      </c>
      <c r="U204" s="1">
        <v>0.95</v>
      </c>
      <c r="V204" s="1">
        <v>1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20</v>
      </c>
      <c r="AD204" s="1">
        <v>20</v>
      </c>
      <c r="AE204" s="1">
        <v>1.71</v>
      </c>
      <c r="AF204" s="1">
        <v>1.23</v>
      </c>
      <c r="AG204" s="1">
        <v>1.7</v>
      </c>
      <c r="AH204" s="1">
        <v>0.95</v>
      </c>
      <c r="AI204" s="1">
        <v>4.8</v>
      </c>
      <c r="AJ204" s="1">
        <v>1</v>
      </c>
      <c r="AK204" s="1">
        <v>0</v>
      </c>
      <c r="AL204" s="1">
        <v>0.95</v>
      </c>
      <c r="AM204" s="1">
        <v>0.95</v>
      </c>
      <c r="AN204" s="1">
        <v>3.4</v>
      </c>
    </row>
    <row r="205" spans="1:40">
      <c r="A205" s="1">
        <v>721</v>
      </c>
      <c r="C205" s="1">
        <v>1.758</v>
      </c>
      <c r="D205" s="1">
        <v>1.758</v>
      </c>
      <c r="E205" s="1">
        <v>1.758</v>
      </c>
      <c r="F205" s="1">
        <v>1.758</v>
      </c>
      <c r="G205" s="1">
        <v>1.84</v>
      </c>
      <c r="H205" s="1">
        <v>1</v>
      </c>
      <c r="I205" s="1">
        <v>1</v>
      </c>
      <c r="J205" s="1">
        <v>1.72</v>
      </c>
      <c r="K205" s="1">
        <v>1.72</v>
      </c>
      <c r="L205" s="1">
        <v>1.72</v>
      </c>
      <c r="M205" s="1">
        <v>2.2200000000000002</v>
      </c>
      <c r="N205" s="1">
        <v>0.95</v>
      </c>
      <c r="O205" s="1">
        <v>1.1399999999999999</v>
      </c>
      <c r="P205" s="1">
        <v>0.95</v>
      </c>
      <c r="Q205" s="1">
        <v>0.95</v>
      </c>
      <c r="R205" s="1">
        <v>0.95</v>
      </c>
      <c r="S205" s="1">
        <v>0.95</v>
      </c>
      <c r="T205" s="1">
        <v>0.95</v>
      </c>
      <c r="U205" s="1">
        <v>0.95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21</v>
      </c>
      <c r="AD205" s="1">
        <v>21</v>
      </c>
      <c r="AE205" s="1">
        <v>1.758</v>
      </c>
      <c r="AF205" s="1">
        <v>1.24</v>
      </c>
      <c r="AG205" s="1">
        <v>1.72</v>
      </c>
      <c r="AH205" s="1">
        <v>0.95</v>
      </c>
      <c r="AI205" s="1">
        <v>5</v>
      </c>
      <c r="AJ205" s="1">
        <v>1</v>
      </c>
      <c r="AK205" s="1">
        <v>0</v>
      </c>
      <c r="AL205" s="1">
        <v>0.95</v>
      </c>
      <c r="AM205" s="1">
        <v>0.95</v>
      </c>
      <c r="AN205" s="1">
        <v>3.52</v>
      </c>
    </row>
    <row r="206" spans="1:40">
      <c r="A206" s="1">
        <v>722</v>
      </c>
      <c r="C206" s="1">
        <v>1.806</v>
      </c>
      <c r="D206" s="1">
        <v>1.806</v>
      </c>
      <c r="E206" s="1">
        <v>1.806</v>
      </c>
      <c r="F206" s="1">
        <v>1.806</v>
      </c>
      <c r="G206" s="1">
        <v>1.88</v>
      </c>
      <c r="H206" s="1">
        <v>1</v>
      </c>
      <c r="I206" s="1">
        <v>1</v>
      </c>
      <c r="J206" s="1">
        <v>1.74</v>
      </c>
      <c r="K206" s="1">
        <v>1.74</v>
      </c>
      <c r="L206" s="1">
        <v>1.74</v>
      </c>
      <c r="M206" s="1">
        <v>2.2400000000000002</v>
      </c>
      <c r="N206" s="1">
        <v>0.95</v>
      </c>
      <c r="O206" s="1">
        <v>1.1399999999999999</v>
      </c>
      <c r="P206" s="1">
        <v>0.95</v>
      </c>
      <c r="Q206" s="1">
        <v>0.95</v>
      </c>
      <c r="R206" s="1">
        <v>0.95</v>
      </c>
      <c r="S206" s="1">
        <v>0.95</v>
      </c>
      <c r="T206" s="1">
        <v>0.95</v>
      </c>
      <c r="U206" s="1">
        <v>0.95</v>
      </c>
      <c r="V206" s="1">
        <v>1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22</v>
      </c>
      <c r="AD206" s="1">
        <v>22</v>
      </c>
      <c r="AE206" s="1">
        <v>1.806</v>
      </c>
      <c r="AF206" s="1">
        <v>1.24</v>
      </c>
      <c r="AG206" s="1">
        <v>1.74</v>
      </c>
      <c r="AH206" s="1">
        <v>0.95</v>
      </c>
      <c r="AI206" s="1">
        <v>5.2</v>
      </c>
      <c r="AJ206" s="1">
        <v>1</v>
      </c>
      <c r="AK206" s="1">
        <v>0</v>
      </c>
      <c r="AL206" s="1">
        <v>0.95</v>
      </c>
      <c r="AM206" s="1">
        <v>0.95</v>
      </c>
      <c r="AN206" s="1">
        <v>3.64</v>
      </c>
    </row>
    <row r="207" spans="1:40">
      <c r="A207" s="1">
        <v>723</v>
      </c>
      <c r="C207" s="1">
        <v>1.8540000000000001</v>
      </c>
      <c r="D207" s="1">
        <v>1.8540000000000001</v>
      </c>
      <c r="E207" s="1">
        <v>1.8540000000000001</v>
      </c>
      <c r="F207" s="1">
        <v>1.8540000000000001</v>
      </c>
      <c r="G207" s="1">
        <v>1.92</v>
      </c>
      <c r="H207" s="1">
        <v>1</v>
      </c>
      <c r="I207" s="1">
        <v>1</v>
      </c>
      <c r="J207" s="1">
        <v>1.76</v>
      </c>
      <c r="K207" s="1">
        <v>1.76</v>
      </c>
      <c r="L207" s="1">
        <v>1.76</v>
      </c>
      <c r="M207" s="1">
        <v>2.2599999999999998</v>
      </c>
      <c r="N207" s="1">
        <v>0.95</v>
      </c>
      <c r="O207" s="1">
        <v>1.1399999999999999</v>
      </c>
      <c r="P207" s="1">
        <v>0.95</v>
      </c>
      <c r="Q207" s="1">
        <v>0.95</v>
      </c>
      <c r="R207" s="1">
        <v>0.95</v>
      </c>
      <c r="S207" s="1">
        <v>0.95</v>
      </c>
      <c r="T207" s="1">
        <v>0.95</v>
      </c>
      <c r="U207" s="1">
        <v>0.95</v>
      </c>
      <c r="V207" s="1">
        <v>1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23</v>
      </c>
      <c r="AD207" s="1">
        <v>23</v>
      </c>
      <c r="AE207" s="1">
        <v>1.8540000000000001</v>
      </c>
      <c r="AF207" s="1">
        <v>1.24</v>
      </c>
      <c r="AG207" s="1">
        <v>1.76</v>
      </c>
      <c r="AH207" s="1">
        <v>0.95</v>
      </c>
      <c r="AI207" s="1">
        <v>5.4</v>
      </c>
      <c r="AJ207" s="1">
        <v>1</v>
      </c>
      <c r="AK207" s="1">
        <v>0</v>
      </c>
      <c r="AL207" s="1">
        <v>0.95</v>
      </c>
      <c r="AM207" s="1">
        <v>0.95</v>
      </c>
      <c r="AN207" s="1">
        <v>3.76</v>
      </c>
    </row>
    <row r="208" spans="1:40">
      <c r="A208" s="1">
        <v>724</v>
      </c>
      <c r="C208" s="1">
        <v>1.9019999999999999</v>
      </c>
      <c r="D208" s="1">
        <v>1.9019999999999999</v>
      </c>
      <c r="E208" s="1">
        <v>1.9019999999999999</v>
      </c>
      <c r="F208" s="1">
        <v>1.9019999999999999</v>
      </c>
      <c r="G208" s="1">
        <v>1.96</v>
      </c>
      <c r="H208" s="1">
        <v>1</v>
      </c>
      <c r="I208" s="1">
        <v>1</v>
      </c>
      <c r="J208" s="1">
        <v>1.78</v>
      </c>
      <c r="K208" s="1">
        <v>1.78</v>
      </c>
      <c r="L208" s="1">
        <v>1.78</v>
      </c>
      <c r="M208" s="1">
        <v>2.2799999999999998</v>
      </c>
      <c r="N208" s="1">
        <v>0.95</v>
      </c>
      <c r="O208" s="1">
        <v>1.1399999999999999</v>
      </c>
      <c r="P208" s="1">
        <v>0.95</v>
      </c>
      <c r="Q208" s="1">
        <v>0.95</v>
      </c>
      <c r="R208" s="1">
        <v>0.95</v>
      </c>
      <c r="S208" s="1">
        <v>0.95</v>
      </c>
      <c r="T208" s="1">
        <v>0.95</v>
      </c>
      <c r="U208" s="1">
        <v>0.95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24</v>
      </c>
      <c r="AD208" s="1">
        <v>24</v>
      </c>
      <c r="AE208" s="1">
        <v>1.9019999999999999</v>
      </c>
      <c r="AF208" s="1">
        <v>1.24</v>
      </c>
      <c r="AG208" s="1">
        <v>1.78</v>
      </c>
      <c r="AH208" s="1">
        <v>0.95</v>
      </c>
      <c r="AI208" s="1">
        <v>5.6</v>
      </c>
      <c r="AJ208" s="1">
        <v>1</v>
      </c>
      <c r="AK208" s="1">
        <v>0</v>
      </c>
      <c r="AL208" s="1">
        <v>0.95</v>
      </c>
      <c r="AM208" s="1">
        <v>0.95</v>
      </c>
      <c r="AN208" s="1">
        <v>3.88</v>
      </c>
    </row>
    <row r="209" spans="1:40">
      <c r="A209" s="1">
        <v>725</v>
      </c>
      <c r="C209" s="1">
        <v>1.95</v>
      </c>
      <c r="D209" s="1">
        <v>1.95</v>
      </c>
      <c r="E209" s="1">
        <v>1.95</v>
      </c>
      <c r="F209" s="1">
        <v>1.95</v>
      </c>
      <c r="G209" s="1">
        <v>2</v>
      </c>
      <c r="H209" s="1">
        <v>1</v>
      </c>
      <c r="I209" s="1">
        <v>1</v>
      </c>
      <c r="J209" s="1">
        <v>1.8</v>
      </c>
      <c r="K209" s="1">
        <v>1.8</v>
      </c>
      <c r="L209" s="1">
        <v>1.8</v>
      </c>
      <c r="M209" s="1">
        <v>2.2999999999999998</v>
      </c>
      <c r="N209" s="1">
        <v>0.95</v>
      </c>
      <c r="O209" s="1">
        <v>1.1499999999999999</v>
      </c>
      <c r="P209" s="1">
        <v>0.95</v>
      </c>
      <c r="Q209" s="1">
        <v>0.95</v>
      </c>
      <c r="R209" s="1">
        <v>0.95</v>
      </c>
      <c r="S209" s="1">
        <v>0.95</v>
      </c>
      <c r="T209" s="1">
        <v>0.95</v>
      </c>
      <c r="U209" s="1">
        <v>0.95</v>
      </c>
      <c r="V209" s="1">
        <v>1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25</v>
      </c>
      <c r="AD209" s="1">
        <v>25</v>
      </c>
      <c r="AE209" s="1">
        <v>1.95</v>
      </c>
      <c r="AF209" s="1">
        <v>1.25</v>
      </c>
      <c r="AG209" s="1">
        <v>1.8</v>
      </c>
      <c r="AH209" s="1">
        <v>0.95</v>
      </c>
      <c r="AI209" s="1">
        <v>5.8</v>
      </c>
      <c r="AJ209" s="1">
        <v>1</v>
      </c>
      <c r="AK209" s="1">
        <v>0</v>
      </c>
      <c r="AL209" s="1">
        <v>0.95</v>
      </c>
      <c r="AM209" s="1">
        <v>0.95</v>
      </c>
      <c r="AN209" s="1">
        <v>4</v>
      </c>
    </row>
    <row r="210" spans="1:40">
      <c r="A210" s="1">
        <v>800</v>
      </c>
      <c r="C210" s="1">
        <v>0.75</v>
      </c>
      <c r="D210" s="1">
        <v>0.75</v>
      </c>
      <c r="E210" s="1">
        <v>0.75</v>
      </c>
      <c r="F210" s="1">
        <v>0.75</v>
      </c>
      <c r="G210" s="1">
        <v>1</v>
      </c>
      <c r="H210" s="1">
        <v>1</v>
      </c>
      <c r="I210" s="1">
        <v>1</v>
      </c>
      <c r="J210" s="1">
        <v>0.8</v>
      </c>
      <c r="K210" s="1">
        <v>0.8</v>
      </c>
      <c r="L210" s="1">
        <v>1</v>
      </c>
      <c r="M210" s="1">
        <v>1</v>
      </c>
      <c r="N210" s="1">
        <v>0.95</v>
      </c>
      <c r="O210" s="1">
        <v>1.1499999999999999</v>
      </c>
      <c r="P210" s="1">
        <v>0.95</v>
      </c>
      <c r="Q210" s="1">
        <v>0.95</v>
      </c>
      <c r="R210" s="1">
        <v>0.95</v>
      </c>
      <c r="S210" s="1">
        <v>0.95</v>
      </c>
      <c r="T210" s="1">
        <v>0.95</v>
      </c>
      <c r="U210" s="1">
        <v>0.95</v>
      </c>
      <c r="V210" s="1">
        <v>1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0.75</v>
      </c>
      <c r="AF210" s="1">
        <v>1.05</v>
      </c>
      <c r="AG210" s="1">
        <v>1</v>
      </c>
      <c r="AH210" s="1">
        <v>0.95</v>
      </c>
      <c r="AI210" s="1">
        <v>1</v>
      </c>
      <c r="AJ210" s="1">
        <v>1</v>
      </c>
      <c r="AK210" s="1">
        <v>0</v>
      </c>
      <c r="AL210" s="1">
        <v>0.95</v>
      </c>
      <c r="AM210" s="1">
        <v>0.95</v>
      </c>
      <c r="AN210" s="1">
        <v>1</v>
      </c>
    </row>
    <row r="211" spans="1:40">
      <c r="A211" s="1">
        <v>801</v>
      </c>
      <c r="C211" s="1">
        <v>0.79800000000000004</v>
      </c>
      <c r="D211" s="1">
        <v>0.79800000000000004</v>
      </c>
      <c r="E211" s="1">
        <v>0.79800000000000004</v>
      </c>
      <c r="F211" s="1">
        <v>0.79800000000000004</v>
      </c>
      <c r="G211" s="1">
        <v>1.04</v>
      </c>
      <c r="H211" s="1">
        <v>1</v>
      </c>
      <c r="I211" s="1">
        <v>1</v>
      </c>
      <c r="J211" s="1">
        <v>0.83</v>
      </c>
      <c r="K211" s="1">
        <v>0.83</v>
      </c>
      <c r="L211" s="1">
        <v>1.07</v>
      </c>
      <c r="M211" s="1">
        <v>1.04</v>
      </c>
      <c r="N211" s="1">
        <v>0.95</v>
      </c>
      <c r="O211" s="1">
        <v>1.1499999999999999</v>
      </c>
      <c r="P211" s="1">
        <v>0.95</v>
      </c>
      <c r="Q211" s="1">
        <v>0.95</v>
      </c>
      <c r="R211" s="1">
        <v>0.95</v>
      </c>
      <c r="S211" s="1">
        <v>0.95</v>
      </c>
      <c r="T211" s="1">
        <v>0.95</v>
      </c>
      <c r="U211" s="1">
        <v>0.95</v>
      </c>
      <c r="V211" s="1">
        <v>1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1</v>
      </c>
      <c r="AD211" s="1">
        <v>1</v>
      </c>
      <c r="AE211" s="1">
        <v>0.79800000000000004</v>
      </c>
      <c r="AF211" s="1">
        <v>1.05</v>
      </c>
      <c r="AG211" s="1">
        <v>1.04</v>
      </c>
      <c r="AH211" s="1">
        <v>0.95</v>
      </c>
      <c r="AI211" s="1">
        <v>1</v>
      </c>
      <c r="AJ211" s="1">
        <v>1</v>
      </c>
      <c r="AK211" s="1">
        <v>0</v>
      </c>
      <c r="AL211" s="1">
        <v>0.95</v>
      </c>
      <c r="AM211" s="1">
        <v>0.95</v>
      </c>
      <c r="AN211" s="1">
        <v>1.1200000000000001</v>
      </c>
    </row>
    <row r="212" spans="1:40">
      <c r="A212" s="1">
        <v>802</v>
      </c>
      <c r="C212" s="1">
        <v>0.84599999999999997</v>
      </c>
      <c r="D212" s="1">
        <v>0.84599999999999997</v>
      </c>
      <c r="E212" s="1">
        <v>0.84599999999999997</v>
      </c>
      <c r="F212" s="1">
        <v>0.84599999999999997</v>
      </c>
      <c r="G212" s="1">
        <v>1.08</v>
      </c>
      <c r="H212" s="1">
        <v>1</v>
      </c>
      <c r="I212" s="1">
        <v>1</v>
      </c>
      <c r="J212" s="1">
        <v>0.86</v>
      </c>
      <c r="K212" s="1">
        <v>0.86</v>
      </c>
      <c r="L212" s="1">
        <v>1.1399999999999999</v>
      </c>
      <c r="M212" s="1">
        <v>1.08</v>
      </c>
      <c r="N212" s="1">
        <v>0.95</v>
      </c>
      <c r="O212" s="1">
        <v>1.1599999999999999</v>
      </c>
      <c r="P212" s="1">
        <v>0.95</v>
      </c>
      <c r="Q212" s="1">
        <v>0.95</v>
      </c>
      <c r="R212" s="1">
        <v>0.95</v>
      </c>
      <c r="S212" s="1">
        <v>0.95</v>
      </c>
      <c r="T212" s="1">
        <v>0.95</v>
      </c>
      <c r="U212" s="1">
        <v>0.95</v>
      </c>
      <c r="V212" s="1">
        <v>1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2</v>
      </c>
      <c r="AD212" s="1">
        <v>2</v>
      </c>
      <c r="AE212" s="1">
        <v>0.84599999999999997</v>
      </c>
      <c r="AF212" s="1">
        <v>1.06</v>
      </c>
      <c r="AG212" s="1">
        <v>1.08</v>
      </c>
      <c r="AH212" s="1">
        <v>0.95</v>
      </c>
      <c r="AI212" s="1">
        <v>1.2</v>
      </c>
      <c r="AJ212" s="1">
        <v>1</v>
      </c>
      <c r="AK212" s="1">
        <v>0</v>
      </c>
      <c r="AL212" s="1">
        <v>0.95</v>
      </c>
      <c r="AM212" s="1">
        <v>0.95</v>
      </c>
      <c r="AN212" s="1">
        <v>1.24</v>
      </c>
    </row>
    <row r="213" spans="1:40">
      <c r="A213" s="1">
        <v>803</v>
      </c>
      <c r="C213" s="1">
        <v>0.89400000000000002</v>
      </c>
      <c r="D213" s="1">
        <v>0.89400000000000002</v>
      </c>
      <c r="E213" s="1">
        <v>0.89400000000000002</v>
      </c>
      <c r="F213" s="1">
        <v>0.89400000000000002</v>
      </c>
      <c r="G213" s="1">
        <v>1.1200000000000001</v>
      </c>
      <c r="H213" s="1">
        <v>1</v>
      </c>
      <c r="I213" s="1">
        <v>1</v>
      </c>
      <c r="J213" s="1">
        <v>0.89</v>
      </c>
      <c r="K213" s="1">
        <v>0.89</v>
      </c>
      <c r="L213" s="1">
        <v>1.21</v>
      </c>
      <c r="M213" s="1">
        <v>1.1200000000000001</v>
      </c>
      <c r="N213" s="1">
        <v>0.95</v>
      </c>
      <c r="O213" s="1">
        <v>1.1599999999999999</v>
      </c>
      <c r="P213" s="1">
        <v>0.95</v>
      </c>
      <c r="Q213" s="1">
        <v>0.95</v>
      </c>
      <c r="R213" s="1">
        <v>0.95</v>
      </c>
      <c r="S213" s="1">
        <v>0.95</v>
      </c>
      <c r="T213" s="1">
        <v>0.95</v>
      </c>
      <c r="U213" s="1">
        <v>0.95</v>
      </c>
      <c r="V213" s="1">
        <v>1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3</v>
      </c>
      <c r="AD213" s="1">
        <v>3</v>
      </c>
      <c r="AE213" s="1">
        <v>0.89400000000000002</v>
      </c>
      <c r="AF213" s="1">
        <v>1.06</v>
      </c>
      <c r="AG213" s="1">
        <v>1.1200000000000001</v>
      </c>
      <c r="AH213" s="1">
        <v>0.95</v>
      </c>
      <c r="AI213" s="1">
        <v>1.4</v>
      </c>
      <c r="AJ213" s="1">
        <v>1</v>
      </c>
      <c r="AK213" s="1">
        <v>0</v>
      </c>
      <c r="AL213" s="1">
        <v>0.95</v>
      </c>
      <c r="AM213" s="1">
        <v>0.95</v>
      </c>
      <c r="AN213" s="1">
        <v>1.36</v>
      </c>
    </row>
    <row r="214" spans="1:40">
      <c r="A214" s="1">
        <v>804</v>
      </c>
      <c r="C214" s="1">
        <v>0.94199999999999995</v>
      </c>
      <c r="D214" s="1">
        <v>0.94199999999999995</v>
      </c>
      <c r="E214" s="1">
        <v>0.94199999999999995</v>
      </c>
      <c r="F214" s="1">
        <v>0.94199999999999995</v>
      </c>
      <c r="G214" s="1">
        <v>1.1599999999999999</v>
      </c>
      <c r="H214" s="1">
        <v>1</v>
      </c>
      <c r="I214" s="1">
        <v>1</v>
      </c>
      <c r="J214" s="1">
        <v>0.92</v>
      </c>
      <c r="K214" s="1">
        <v>0.92</v>
      </c>
      <c r="L214" s="1">
        <v>1.28</v>
      </c>
      <c r="M214" s="1">
        <v>1.1599999999999999</v>
      </c>
      <c r="N214" s="1">
        <v>0.95</v>
      </c>
      <c r="O214" s="1">
        <v>1.17</v>
      </c>
      <c r="P214" s="1">
        <v>0.95</v>
      </c>
      <c r="Q214" s="1">
        <v>0.95</v>
      </c>
      <c r="R214" s="1">
        <v>0.95</v>
      </c>
      <c r="S214" s="1">
        <v>0.95</v>
      </c>
      <c r="T214" s="1">
        <v>0.95</v>
      </c>
      <c r="U214" s="1">
        <v>0.95</v>
      </c>
      <c r="V214" s="1">
        <v>1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4</v>
      </c>
      <c r="AD214" s="1">
        <v>4</v>
      </c>
      <c r="AE214" s="1">
        <v>0.94199999999999995</v>
      </c>
      <c r="AF214" s="1">
        <v>1.07</v>
      </c>
      <c r="AG214" s="1">
        <v>1.1599999999999999</v>
      </c>
      <c r="AH214" s="1">
        <v>0.95</v>
      </c>
      <c r="AI214" s="1">
        <v>1.6</v>
      </c>
      <c r="AJ214" s="1">
        <v>1</v>
      </c>
      <c r="AK214" s="1">
        <v>0</v>
      </c>
      <c r="AL214" s="1">
        <v>0.95</v>
      </c>
      <c r="AM214" s="1">
        <v>0.95</v>
      </c>
      <c r="AN214" s="1">
        <v>1.48</v>
      </c>
    </row>
    <row r="215" spans="1:40">
      <c r="A215" s="1">
        <v>805</v>
      </c>
      <c r="C215" s="1">
        <v>0.99</v>
      </c>
      <c r="D215" s="1">
        <v>0.99</v>
      </c>
      <c r="E215" s="1">
        <v>0.99</v>
      </c>
      <c r="F215" s="1">
        <v>0.99</v>
      </c>
      <c r="G215" s="1">
        <v>1.2</v>
      </c>
      <c r="H215" s="1">
        <v>1</v>
      </c>
      <c r="I215" s="1">
        <v>1</v>
      </c>
      <c r="J215" s="1">
        <v>0.95</v>
      </c>
      <c r="K215" s="1">
        <v>0.95</v>
      </c>
      <c r="L215" s="1">
        <v>1.35</v>
      </c>
      <c r="M215" s="1">
        <v>1.2</v>
      </c>
      <c r="N215" s="1">
        <v>0.95</v>
      </c>
      <c r="O215" s="1">
        <v>1.17</v>
      </c>
      <c r="P215" s="1">
        <v>0.95</v>
      </c>
      <c r="Q215" s="1">
        <v>0.95</v>
      </c>
      <c r="R215" s="1">
        <v>0.95</v>
      </c>
      <c r="S215" s="1">
        <v>0.95</v>
      </c>
      <c r="T215" s="1">
        <v>0.95</v>
      </c>
      <c r="U215" s="1">
        <v>0.95</v>
      </c>
      <c r="V215" s="1">
        <v>1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5</v>
      </c>
      <c r="AD215" s="1">
        <v>5</v>
      </c>
      <c r="AE215" s="1">
        <v>0.99</v>
      </c>
      <c r="AF215" s="1">
        <v>1.07</v>
      </c>
      <c r="AG215" s="1">
        <v>1.2</v>
      </c>
      <c r="AH215" s="1">
        <v>0.95</v>
      </c>
      <c r="AI215" s="1">
        <v>1.8</v>
      </c>
      <c r="AJ215" s="1">
        <v>1</v>
      </c>
      <c r="AK215" s="1">
        <v>0</v>
      </c>
      <c r="AL215" s="1">
        <v>0.95</v>
      </c>
      <c r="AM215" s="1">
        <v>0.95</v>
      </c>
      <c r="AN215" s="1">
        <v>1.6</v>
      </c>
    </row>
    <row r="216" spans="1:40">
      <c r="A216" s="1">
        <v>806</v>
      </c>
      <c r="C216" s="1">
        <v>1.038</v>
      </c>
      <c r="D216" s="1">
        <v>1.038</v>
      </c>
      <c r="E216" s="1">
        <v>1.038</v>
      </c>
      <c r="F216" s="1">
        <v>1.038</v>
      </c>
      <c r="G216" s="1">
        <v>1.24</v>
      </c>
      <c r="H216" s="1">
        <v>1</v>
      </c>
      <c r="I216" s="1">
        <v>1</v>
      </c>
      <c r="J216" s="1">
        <v>0.98</v>
      </c>
      <c r="K216" s="1">
        <v>0.98</v>
      </c>
      <c r="L216" s="1">
        <v>1.42</v>
      </c>
      <c r="M216" s="1">
        <v>1.24</v>
      </c>
      <c r="N216" s="1">
        <v>0.95</v>
      </c>
      <c r="O216" s="1">
        <v>1.18</v>
      </c>
      <c r="P216" s="1">
        <v>0.95</v>
      </c>
      <c r="Q216" s="1">
        <v>0.95</v>
      </c>
      <c r="R216" s="1">
        <v>0.95</v>
      </c>
      <c r="S216" s="1">
        <v>0.95</v>
      </c>
      <c r="T216" s="1">
        <v>0.95</v>
      </c>
      <c r="U216" s="1">
        <v>0.95</v>
      </c>
      <c r="V216" s="1">
        <v>1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6</v>
      </c>
      <c r="AD216" s="1">
        <v>6</v>
      </c>
      <c r="AE216" s="1">
        <v>1.038</v>
      </c>
      <c r="AF216" s="1">
        <v>1.08</v>
      </c>
      <c r="AG216" s="1">
        <v>1.24</v>
      </c>
      <c r="AH216" s="1">
        <v>0.95</v>
      </c>
      <c r="AI216" s="1">
        <v>2</v>
      </c>
      <c r="AJ216" s="1">
        <v>1</v>
      </c>
      <c r="AK216" s="1">
        <v>0</v>
      </c>
      <c r="AL216" s="1">
        <v>0.95</v>
      </c>
      <c r="AM216" s="1">
        <v>0.95</v>
      </c>
      <c r="AN216" s="1">
        <v>1.72</v>
      </c>
    </row>
    <row r="217" spans="1:40">
      <c r="A217" s="1">
        <v>807</v>
      </c>
      <c r="C217" s="1">
        <v>1.0860000000000001</v>
      </c>
      <c r="D217" s="1">
        <v>1.0860000000000001</v>
      </c>
      <c r="E217" s="1">
        <v>1.0860000000000001</v>
      </c>
      <c r="F217" s="1">
        <v>1.0860000000000001</v>
      </c>
      <c r="G217" s="1">
        <v>1.28</v>
      </c>
      <c r="H217" s="1">
        <v>1</v>
      </c>
      <c r="I217" s="1">
        <v>1</v>
      </c>
      <c r="J217" s="1">
        <v>1.01</v>
      </c>
      <c r="K217" s="1">
        <v>1.01</v>
      </c>
      <c r="L217" s="1">
        <v>1.49</v>
      </c>
      <c r="M217" s="1">
        <v>1.28</v>
      </c>
      <c r="N217" s="1">
        <v>0.95</v>
      </c>
      <c r="O217" s="1">
        <v>1.18</v>
      </c>
      <c r="P217" s="1">
        <v>0.95</v>
      </c>
      <c r="Q217" s="1">
        <v>0.95</v>
      </c>
      <c r="R217" s="1">
        <v>0.95</v>
      </c>
      <c r="S217" s="1">
        <v>0.95</v>
      </c>
      <c r="T217" s="1">
        <v>0.95</v>
      </c>
      <c r="U217" s="1">
        <v>0.95</v>
      </c>
      <c r="V217" s="1">
        <v>1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7</v>
      </c>
      <c r="AD217" s="1">
        <v>7</v>
      </c>
      <c r="AE217" s="1">
        <v>1.0860000000000001</v>
      </c>
      <c r="AF217" s="1">
        <v>1.08</v>
      </c>
      <c r="AG217" s="1">
        <v>1.28</v>
      </c>
      <c r="AH217" s="1">
        <v>0.95</v>
      </c>
      <c r="AI217" s="1">
        <v>2.2000000000000002</v>
      </c>
      <c r="AJ217" s="1">
        <v>1</v>
      </c>
      <c r="AK217" s="1">
        <v>0</v>
      </c>
      <c r="AL217" s="1">
        <v>0.95</v>
      </c>
      <c r="AM217" s="1">
        <v>0.95</v>
      </c>
      <c r="AN217" s="1">
        <v>1.84</v>
      </c>
    </row>
    <row r="218" spans="1:40">
      <c r="A218" s="1">
        <v>808</v>
      </c>
      <c r="C218" s="1">
        <v>1.1339999999999999</v>
      </c>
      <c r="D218" s="1">
        <v>1.1339999999999999</v>
      </c>
      <c r="E218" s="1">
        <v>1.1339999999999999</v>
      </c>
      <c r="F218" s="1">
        <v>1.1339999999999999</v>
      </c>
      <c r="G218" s="1">
        <v>1.32</v>
      </c>
      <c r="H218" s="1">
        <v>1</v>
      </c>
      <c r="I218" s="1">
        <v>1</v>
      </c>
      <c r="J218" s="1">
        <v>1.04</v>
      </c>
      <c r="K218" s="1">
        <v>1.04</v>
      </c>
      <c r="L218" s="1">
        <v>1.56</v>
      </c>
      <c r="M218" s="1">
        <v>1.32</v>
      </c>
      <c r="N218" s="1">
        <v>0.95</v>
      </c>
      <c r="O218" s="1">
        <v>1.19</v>
      </c>
      <c r="P218" s="1">
        <v>0.95</v>
      </c>
      <c r="Q218" s="1">
        <v>0.95</v>
      </c>
      <c r="R218" s="1">
        <v>0.95</v>
      </c>
      <c r="S218" s="1">
        <v>0.95</v>
      </c>
      <c r="T218" s="1">
        <v>0.95</v>
      </c>
      <c r="U218" s="1">
        <v>0.95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8</v>
      </c>
      <c r="AD218" s="1">
        <v>8</v>
      </c>
      <c r="AE218" s="1">
        <v>1.1339999999999999</v>
      </c>
      <c r="AF218" s="1">
        <v>1.0900000000000001</v>
      </c>
      <c r="AG218" s="1">
        <v>1.32</v>
      </c>
      <c r="AH218" s="1">
        <v>0.95</v>
      </c>
      <c r="AI218" s="1">
        <v>2.4</v>
      </c>
      <c r="AJ218" s="1">
        <v>1</v>
      </c>
      <c r="AK218" s="1">
        <v>0</v>
      </c>
      <c r="AL218" s="1">
        <v>0.95</v>
      </c>
      <c r="AM218" s="1">
        <v>0.95</v>
      </c>
      <c r="AN218" s="1">
        <v>1.96</v>
      </c>
    </row>
    <row r="219" spans="1:40">
      <c r="A219" s="1">
        <v>809</v>
      </c>
      <c r="C219" s="1">
        <v>1.1819999999999999</v>
      </c>
      <c r="D219" s="1">
        <v>1.1819999999999999</v>
      </c>
      <c r="E219" s="1">
        <v>1.1819999999999999</v>
      </c>
      <c r="F219" s="1">
        <v>1.1819999999999999</v>
      </c>
      <c r="G219" s="1">
        <v>1.36</v>
      </c>
      <c r="H219" s="1">
        <v>1</v>
      </c>
      <c r="I219" s="1">
        <v>1</v>
      </c>
      <c r="J219" s="1">
        <v>1.07</v>
      </c>
      <c r="K219" s="1">
        <v>1.07</v>
      </c>
      <c r="L219" s="1">
        <v>1.63</v>
      </c>
      <c r="M219" s="1">
        <v>1.36</v>
      </c>
      <c r="N219" s="1">
        <v>0.95</v>
      </c>
      <c r="O219" s="1">
        <v>1.19</v>
      </c>
      <c r="P219" s="1">
        <v>0.95</v>
      </c>
      <c r="Q219" s="1">
        <v>0.95</v>
      </c>
      <c r="R219" s="1">
        <v>0.95</v>
      </c>
      <c r="S219" s="1">
        <v>0.95</v>
      </c>
      <c r="T219" s="1">
        <v>0.95</v>
      </c>
      <c r="U219" s="1">
        <v>0.95</v>
      </c>
      <c r="V219" s="1">
        <v>1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9</v>
      </c>
      <c r="AD219" s="1">
        <v>9</v>
      </c>
      <c r="AE219" s="1">
        <v>1.1819999999999999</v>
      </c>
      <c r="AF219" s="1">
        <v>1.0900000000000001</v>
      </c>
      <c r="AG219" s="1">
        <v>1.36</v>
      </c>
      <c r="AH219" s="1">
        <v>0.95</v>
      </c>
      <c r="AI219" s="1">
        <v>2.6</v>
      </c>
      <c r="AJ219" s="1">
        <v>1</v>
      </c>
      <c r="AK219" s="1">
        <v>0</v>
      </c>
      <c r="AL219" s="1">
        <v>0.95</v>
      </c>
      <c r="AM219" s="1">
        <v>0.95</v>
      </c>
      <c r="AN219" s="1">
        <v>2.08</v>
      </c>
    </row>
    <row r="220" spans="1:40">
      <c r="A220" s="1">
        <v>810</v>
      </c>
      <c r="C220" s="1">
        <v>1.23</v>
      </c>
      <c r="D220" s="1">
        <v>1.23</v>
      </c>
      <c r="E220" s="1">
        <v>1.23</v>
      </c>
      <c r="F220" s="1">
        <v>1.23</v>
      </c>
      <c r="G220" s="1">
        <v>1.4</v>
      </c>
      <c r="H220" s="1">
        <v>1</v>
      </c>
      <c r="I220" s="1">
        <v>1</v>
      </c>
      <c r="J220" s="1">
        <v>1.1000000000000001</v>
      </c>
      <c r="K220" s="1">
        <v>1.1000000000000001</v>
      </c>
      <c r="L220" s="1">
        <v>1.7</v>
      </c>
      <c r="M220" s="1">
        <v>1.4</v>
      </c>
      <c r="N220" s="1">
        <v>0.95</v>
      </c>
      <c r="O220" s="1">
        <v>1.2</v>
      </c>
      <c r="P220" s="1">
        <v>0.95</v>
      </c>
      <c r="Q220" s="1">
        <v>0.95</v>
      </c>
      <c r="R220" s="1">
        <v>0.95</v>
      </c>
      <c r="S220" s="1">
        <v>0.95</v>
      </c>
      <c r="T220" s="1">
        <v>0.95</v>
      </c>
      <c r="U220" s="1">
        <v>0.95</v>
      </c>
      <c r="V220" s="1">
        <v>1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10</v>
      </c>
      <c r="AD220" s="1">
        <v>10</v>
      </c>
      <c r="AE220" s="1">
        <v>1.23</v>
      </c>
      <c r="AF220" s="1">
        <v>1.1000000000000001</v>
      </c>
      <c r="AG220" s="1">
        <v>1.4</v>
      </c>
      <c r="AH220" s="1">
        <v>0.95</v>
      </c>
      <c r="AI220" s="1">
        <v>2.8</v>
      </c>
      <c r="AJ220" s="1">
        <v>1</v>
      </c>
      <c r="AK220" s="1">
        <v>0</v>
      </c>
      <c r="AL220" s="1">
        <v>0.95</v>
      </c>
      <c r="AM220" s="1">
        <v>0.95</v>
      </c>
      <c r="AN220" s="1">
        <v>2.2000000000000002</v>
      </c>
    </row>
    <row r="221" spans="1:40">
      <c r="A221" s="1">
        <v>811</v>
      </c>
      <c r="C221" s="1">
        <v>1.278</v>
      </c>
      <c r="D221" s="1">
        <v>1.278</v>
      </c>
      <c r="E221" s="1">
        <v>1.278</v>
      </c>
      <c r="F221" s="1">
        <v>1.278</v>
      </c>
      <c r="G221" s="1">
        <v>1.44</v>
      </c>
      <c r="H221" s="1">
        <v>1</v>
      </c>
      <c r="I221" s="1">
        <v>1</v>
      </c>
      <c r="J221" s="1">
        <v>1.1100000000000001</v>
      </c>
      <c r="K221" s="1">
        <v>1.1100000000000001</v>
      </c>
      <c r="L221" s="1">
        <v>1.75</v>
      </c>
      <c r="M221" s="1">
        <v>1.43</v>
      </c>
      <c r="N221" s="1">
        <v>0.95</v>
      </c>
      <c r="O221" s="1">
        <v>1.2</v>
      </c>
      <c r="P221" s="1">
        <v>0.95</v>
      </c>
      <c r="Q221" s="1">
        <v>0.95</v>
      </c>
      <c r="R221" s="1">
        <v>0.95</v>
      </c>
      <c r="S221" s="1">
        <v>0.95</v>
      </c>
      <c r="T221" s="1">
        <v>0.95</v>
      </c>
      <c r="U221" s="1">
        <v>0.95</v>
      </c>
      <c r="V221" s="1">
        <v>1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11</v>
      </c>
      <c r="AD221" s="1">
        <v>11</v>
      </c>
      <c r="AE221" s="1">
        <v>1.278</v>
      </c>
      <c r="AF221" s="1">
        <v>1.1000000000000001</v>
      </c>
      <c r="AG221" s="1">
        <v>1.43</v>
      </c>
      <c r="AH221" s="1">
        <v>0.95</v>
      </c>
      <c r="AI221" s="1">
        <v>3</v>
      </c>
      <c r="AJ221" s="1">
        <v>1</v>
      </c>
      <c r="AK221" s="1">
        <v>0</v>
      </c>
      <c r="AL221" s="1">
        <v>0.95</v>
      </c>
      <c r="AM221" s="1">
        <v>0.95</v>
      </c>
      <c r="AN221" s="1">
        <v>2.3199999999999998</v>
      </c>
    </row>
    <row r="222" spans="1:40">
      <c r="A222" s="1">
        <v>812</v>
      </c>
      <c r="C222" s="1">
        <v>1.3260000000000001</v>
      </c>
      <c r="D222" s="1">
        <v>1.3260000000000001</v>
      </c>
      <c r="E222" s="1">
        <v>1.3260000000000001</v>
      </c>
      <c r="F222" s="1">
        <v>1.3260000000000001</v>
      </c>
      <c r="G222" s="1">
        <v>1.48</v>
      </c>
      <c r="H222" s="1">
        <v>1</v>
      </c>
      <c r="I222" s="1">
        <v>1</v>
      </c>
      <c r="J222" s="1">
        <v>1.1200000000000001</v>
      </c>
      <c r="K222" s="1">
        <v>1.1200000000000001</v>
      </c>
      <c r="L222" s="1">
        <v>1.8</v>
      </c>
      <c r="M222" s="1">
        <v>1.46</v>
      </c>
      <c r="N222" s="1">
        <v>0.95</v>
      </c>
      <c r="O222" s="1">
        <v>1.21</v>
      </c>
      <c r="P222" s="1">
        <v>0.95</v>
      </c>
      <c r="Q222" s="1">
        <v>0.95</v>
      </c>
      <c r="R222" s="1">
        <v>0.95</v>
      </c>
      <c r="S222" s="1">
        <v>0.95</v>
      </c>
      <c r="T222" s="1">
        <v>0.95</v>
      </c>
      <c r="U222" s="1">
        <v>0.95</v>
      </c>
      <c r="V222" s="1">
        <v>1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12</v>
      </c>
      <c r="AD222" s="1">
        <v>12</v>
      </c>
      <c r="AE222" s="1">
        <v>1.3260000000000001</v>
      </c>
      <c r="AF222" s="1">
        <v>1.1100000000000001</v>
      </c>
      <c r="AG222" s="1">
        <v>1.46</v>
      </c>
      <c r="AH222" s="1">
        <v>0.95</v>
      </c>
      <c r="AI222" s="1">
        <v>3.2</v>
      </c>
      <c r="AJ222" s="1">
        <v>1</v>
      </c>
      <c r="AK222" s="1">
        <v>0</v>
      </c>
      <c r="AL222" s="1">
        <v>0.95</v>
      </c>
      <c r="AM222" s="1">
        <v>0.95</v>
      </c>
      <c r="AN222" s="1">
        <v>2.44</v>
      </c>
    </row>
    <row r="223" spans="1:40">
      <c r="A223" s="1">
        <v>813</v>
      </c>
      <c r="C223" s="1">
        <v>1.3740000000000001</v>
      </c>
      <c r="D223" s="1">
        <v>1.3740000000000001</v>
      </c>
      <c r="E223" s="1">
        <v>1.3740000000000001</v>
      </c>
      <c r="F223" s="1">
        <v>1.3740000000000001</v>
      </c>
      <c r="G223" s="1">
        <v>1.52</v>
      </c>
      <c r="H223" s="1">
        <v>1</v>
      </c>
      <c r="I223" s="1">
        <v>1</v>
      </c>
      <c r="J223" s="1">
        <v>1.1299999999999999</v>
      </c>
      <c r="K223" s="1">
        <v>1.1299999999999999</v>
      </c>
      <c r="L223" s="1">
        <v>1.85</v>
      </c>
      <c r="M223" s="1">
        <v>1.49</v>
      </c>
      <c r="N223" s="1">
        <v>0.95</v>
      </c>
      <c r="O223" s="1">
        <v>1.21</v>
      </c>
      <c r="P223" s="1">
        <v>0.95</v>
      </c>
      <c r="Q223" s="1">
        <v>0.95</v>
      </c>
      <c r="R223" s="1">
        <v>0.95</v>
      </c>
      <c r="S223" s="1">
        <v>0.95</v>
      </c>
      <c r="T223" s="1">
        <v>0.95</v>
      </c>
      <c r="U223" s="1">
        <v>0.95</v>
      </c>
      <c r="V223" s="1">
        <v>1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13</v>
      </c>
      <c r="AD223" s="1">
        <v>13</v>
      </c>
      <c r="AE223" s="1">
        <v>1.3740000000000001</v>
      </c>
      <c r="AF223" s="1">
        <v>1.1100000000000001</v>
      </c>
      <c r="AG223" s="1">
        <v>1.49</v>
      </c>
      <c r="AH223" s="1">
        <v>0.95</v>
      </c>
      <c r="AI223" s="1">
        <v>3.4</v>
      </c>
      <c r="AJ223" s="1">
        <v>1</v>
      </c>
      <c r="AK223" s="1">
        <v>0</v>
      </c>
      <c r="AL223" s="1">
        <v>0.95</v>
      </c>
      <c r="AM223" s="1">
        <v>0.95</v>
      </c>
      <c r="AN223" s="1">
        <v>2.56</v>
      </c>
    </row>
    <row r="224" spans="1:40">
      <c r="A224" s="1">
        <v>814</v>
      </c>
      <c r="C224" s="1">
        <v>1.4219999999999999</v>
      </c>
      <c r="D224" s="1">
        <v>1.4219999999999999</v>
      </c>
      <c r="E224" s="1">
        <v>1.4219999999999999</v>
      </c>
      <c r="F224" s="1">
        <v>1.4219999999999999</v>
      </c>
      <c r="G224" s="1">
        <v>1.56</v>
      </c>
      <c r="H224" s="1">
        <v>1</v>
      </c>
      <c r="I224" s="1">
        <v>1</v>
      </c>
      <c r="J224" s="1">
        <v>1.1399999999999999</v>
      </c>
      <c r="K224" s="1">
        <v>1.1399999999999999</v>
      </c>
      <c r="L224" s="1">
        <v>1.9</v>
      </c>
      <c r="M224" s="1">
        <v>1.52</v>
      </c>
      <c r="N224" s="1">
        <v>0.95</v>
      </c>
      <c r="O224" s="1">
        <v>1.21</v>
      </c>
      <c r="P224" s="1">
        <v>0.95</v>
      </c>
      <c r="Q224" s="1">
        <v>0.95</v>
      </c>
      <c r="R224" s="1">
        <v>0.95</v>
      </c>
      <c r="S224" s="1">
        <v>0.95</v>
      </c>
      <c r="T224" s="1">
        <v>0.95</v>
      </c>
      <c r="U224" s="1">
        <v>0.95</v>
      </c>
      <c r="V224" s="1">
        <v>1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14</v>
      </c>
      <c r="AD224" s="1">
        <v>14</v>
      </c>
      <c r="AE224" s="1">
        <v>1.4219999999999999</v>
      </c>
      <c r="AF224" s="1">
        <v>1.1100000000000001</v>
      </c>
      <c r="AG224" s="1">
        <v>1.52</v>
      </c>
      <c r="AH224" s="1">
        <v>0.95</v>
      </c>
      <c r="AI224" s="1">
        <v>3.6</v>
      </c>
      <c r="AJ224" s="1">
        <v>1</v>
      </c>
      <c r="AK224" s="1">
        <v>0</v>
      </c>
      <c r="AL224" s="1">
        <v>0.95</v>
      </c>
      <c r="AM224" s="1">
        <v>0.95</v>
      </c>
      <c r="AN224" s="1">
        <v>2.68</v>
      </c>
    </row>
    <row r="225" spans="1:40">
      <c r="A225" s="1">
        <v>815</v>
      </c>
      <c r="C225" s="1">
        <v>1.47</v>
      </c>
      <c r="D225" s="1">
        <v>1.47</v>
      </c>
      <c r="E225" s="1">
        <v>1.47</v>
      </c>
      <c r="F225" s="1">
        <v>1.47</v>
      </c>
      <c r="G225" s="1">
        <v>1.6</v>
      </c>
      <c r="H225" s="1">
        <v>1</v>
      </c>
      <c r="I225" s="1">
        <v>1</v>
      </c>
      <c r="J225" s="1">
        <v>1.1499999999999999</v>
      </c>
      <c r="K225" s="1">
        <v>1.1499999999999999</v>
      </c>
      <c r="L225" s="1">
        <v>1.95</v>
      </c>
      <c r="M225" s="1">
        <v>1.55</v>
      </c>
      <c r="N225" s="1">
        <v>0.95</v>
      </c>
      <c r="O225" s="1">
        <v>1.22</v>
      </c>
      <c r="P225" s="1">
        <v>0.95</v>
      </c>
      <c r="Q225" s="1">
        <v>0.95</v>
      </c>
      <c r="R225" s="1">
        <v>0.95</v>
      </c>
      <c r="S225" s="1">
        <v>0.95</v>
      </c>
      <c r="T225" s="1">
        <v>0.95</v>
      </c>
      <c r="U225" s="1">
        <v>0.95</v>
      </c>
      <c r="V225" s="1">
        <v>1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15</v>
      </c>
      <c r="AD225" s="1">
        <v>15</v>
      </c>
      <c r="AE225" s="1">
        <v>1.47</v>
      </c>
      <c r="AF225" s="1">
        <v>1.1200000000000001</v>
      </c>
      <c r="AG225" s="1">
        <v>1.55</v>
      </c>
      <c r="AH225" s="1">
        <v>0.95</v>
      </c>
      <c r="AI225" s="1">
        <v>3.8</v>
      </c>
      <c r="AJ225" s="1">
        <v>1</v>
      </c>
      <c r="AK225" s="1">
        <v>0</v>
      </c>
      <c r="AL225" s="1">
        <v>0.95</v>
      </c>
      <c r="AM225" s="1">
        <v>0.95</v>
      </c>
      <c r="AN225" s="1">
        <v>2.8</v>
      </c>
    </row>
    <row r="226" spans="1:40">
      <c r="A226" s="1">
        <v>816</v>
      </c>
      <c r="C226" s="1">
        <v>1.518</v>
      </c>
      <c r="D226" s="1">
        <v>1.518</v>
      </c>
      <c r="E226" s="1">
        <v>1.518</v>
      </c>
      <c r="F226" s="1">
        <v>1.518</v>
      </c>
      <c r="G226" s="1">
        <v>1.64</v>
      </c>
      <c r="H226" s="1">
        <v>1</v>
      </c>
      <c r="I226" s="1">
        <v>1</v>
      </c>
      <c r="J226" s="1">
        <v>1.1599999999999999</v>
      </c>
      <c r="K226" s="1">
        <v>1.1599999999999999</v>
      </c>
      <c r="L226" s="1">
        <v>2</v>
      </c>
      <c r="M226" s="1">
        <v>1.58</v>
      </c>
      <c r="N226" s="1">
        <v>0.95</v>
      </c>
      <c r="O226" s="1">
        <v>1.22</v>
      </c>
      <c r="P226" s="1">
        <v>0.95</v>
      </c>
      <c r="Q226" s="1">
        <v>0.95</v>
      </c>
      <c r="R226" s="1">
        <v>0.95</v>
      </c>
      <c r="S226" s="1">
        <v>0.95</v>
      </c>
      <c r="T226" s="1">
        <v>0.95</v>
      </c>
      <c r="U226" s="1">
        <v>0.95</v>
      </c>
      <c r="V226" s="1">
        <v>1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16</v>
      </c>
      <c r="AD226" s="1">
        <v>16</v>
      </c>
      <c r="AE226" s="1">
        <v>1.518</v>
      </c>
      <c r="AF226" s="1">
        <v>1.1200000000000001</v>
      </c>
      <c r="AG226" s="1">
        <v>1.58</v>
      </c>
      <c r="AH226" s="1">
        <v>0.95</v>
      </c>
      <c r="AI226" s="1">
        <v>4</v>
      </c>
      <c r="AJ226" s="1">
        <v>1</v>
      </c>
      <c r="AK226" s="1">
        <v>0</v>
      </c>
      <c r="AL226" s="1">
        <v>0.95</v>
      </c>
      <c r="AM226" s="1">
        <v>0.95</v>
      </c>
      <c r="AN226" s="1">
        <v>2.92</v>
      </c>
    </row>
    <row r="227" spans="1:40">
      <c r="A227" s="1">
        <v>817</v>
      </c>
      <c r="C227" s="1">
        <v>1.5660000000000001</v>
      </c>
      <c r="D227" s="1">
        <v>1.5660000000000001</v>
      </c>
      <c r="E227" s="1">
        <v>1.5660000000000001</v>
      </c>
      <c r="F227" s="1">
        <v>1.5660000000000001</v>
      </c>
      <c r="G227" s="1">
        <v>1.68</v>
      </c>
      <c r="H227" s="1">
        <v>1</v>
      </c>
      <c r="I227" s="1">
        <v>1</v>
      </c>
      <c r="J227" s="1">
        <v>1.17</v>
      </c>
      <c r="K227" s="1">
        <v>1.17</v>
      </c>
      <c r="L227" s="1">
        <v>2.0499999999999998</v>
      </c>
      <c r="M227" s="1">
        <v>1.61</v>
      </c>
      <c r="N227" s="1">
        <v>0.95</v>
      </c>
      <c r="O227" s="1">
        <v>1.22</v>
      </c>
      <c r="P227" s="1">
        <v>0.95</v>
      </c>
      <c r="Q227" s="1">
        <v>0.95</v>
      </c>
      <c r="R227" s="1">
        <v>0.95</v>
      </c>
      <c r="S227" s="1">
        <v>0.95</v>
      </c>
      <c r="T227" s="1">
        <v>0.95</v>
      </c>
      <c r="U227" s="1">
        <v>0.95</v>
      </c>
      <c r="V227" s="1">
        <v>1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17</v>
      </c>
      <c r="AD227" s="1">
        <v>17</v>
      </c>
      <c r="AE227" s="1">
        <v>1.5660000000000001</v>
      </c>
      <c r="AF227" s="1">
        <v>1.1200000000000001</v>
      </c>
      <c r="AG227" s="1">
        <v>1.61</v>
      </c>
      <c r="AH227" s="1">
        <v>0.95</v>
      </c>
      <c r="AI227" s="1">
        <v>4.2</v>
      </c>
      <c r="AJ227" s="1">
        <v>1</v>
      </c>
      <c r="AK227" s="1">
        <v>0</v>
      </c>
      <c r="AL227" s="1">
        <v>0.95</v>
      </c>
      <c r="AM227" s="1">
        <v>0.95</v>
      </c>
      <c r="AN227" s="1">
        <v>3.04</v>
      </c>
    </row>
    <row r="228" spans="1:40">
      <c r="A228" s="1">
        <v>818</v>
      </c>
      <c r="C228" s="1">
        <v>1.6140000000000001</v>
      </c>
      <c r="D228" s="1">
        <v>1.6140000000000001</v>
      </c>
      <c r="E228" s="1">
        <v>1.6140000000000001</v>
      </c>
      <c r="F228" s="1">
        <v>1.6140000000000001</v>
      </c>
      <c r="G228" s="1">
        <v>1.72</v>
      </c>
      <c r="H228" s="1">
        <v>1</v>
      </c>
      <c r="I228" s="1">
        <v>1</v>
      </c>
      <c r="J228" s="1">
        <v>1.18</v>
      </c>
      <c r="K228" s="1">
        <v>1.18</v>
      </c>
      <c r="L228" s="1">
        <v>2.1</v>
      </c>
      <c r="M228" s="1">
        <v>1.64</v>
      </c>
      <c r="N228" s="1">
        <v>0.95</v>
      </c>
      <c r="O228" s="1">
        <v>1.23</v>
      </c>
      <c r="P228" s="1">
        <v>0.95</v>
      </c>
      <c r="Q228" s="1">
        <v>0.95</v>
      </c>
      <c r="R228" s="1">
        <v>0.95</v>
      </c>
      <c r="S228" s="1">
        <v>0.95</v>
      </c>
      <c r="T228" s="1">
        <v>0.95</v>
      </c>
      <c r="U228" s="1">
        <v>0.95</v>
      </c>
      <c r="V228" s="1">
        <v>1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18</v>
      </c>
      <c r="AD228" s="1">
        <v>18</v>
      </c>
      <c r="AE228" s="1">
        <v>1.6140000000000001</v>
      </c>
      <c r="AF228" s="1">
        <v>1.1299999999999999</v>
      </c>
      <c r="AG228" s="1">
        <v>1.64</v>
      </c>
      <c r="AH228" s="1">
        <v>0.95</v>
      </c>
      <c r="AI228" s="1">
        <v>4.4000000000000004</v>
      </c>
      <c r="AJ228" s="1">
        <v>1</v>
      </c>
      <c r="AK228" s="1">
        <v>0</v>
      </c>
      <c r="AL228" s="1">
        <v>0.95</v>
      </c>
      <c r="AM228" s="1">
        <v>0.95</v>
      </c>
      <c r="AN228" s="1">
        <v>3.16</v>
      </c>
    </row>
    <row r="229" spans="1:40">
      <c r="A229" s="1">
        <v>819</v>
      </c>
      <c r="C229" s="1">
        <v>1.6619999999999999</v>
      </c>
      <c r="D229" s="1">
        <v>1.6619999999999999</v>
      </c>
      <c r="E229" s="1">
        <v>1.6619999999999999</v>
      </c>
      <c r="F229" s="1">
        <v>1.6619999999999999</v>
      </c>
      <c r="G229" s="1">
        <v>1.76</v>
      </c>
      <c r="H229" s="1">
        <v>1</v>
      </c>
      <c r="I229" s="1">
        <v>1</v>
      </c>
      <c r="J229" s="1">
        <v>1.19</v>
      </c>
      <c r="K229" s="1">
        <v>1.19</v>
      </c>
      <c r="L229" s="1">
        <v>2.15</v>
      </c>
      <c r="M229" s="1">
        <v>1.67</v>
      </c>
      <c r="N229" s="1">
        <v>0.95</v>
      </c>
      <c r="O229" s="1">
        <v>1.23</v>
      </c>
      <c r="P229" s="1">
        <v>0.95</v>
      </c>
      <c r="Q229" s="1">
        <v>0.95</v>
      </c>
      <c r="R229" s="1">
        <v>0.95</v>
      </c>
      <c r="S229" s="1">
        <v>0.95</v>
      </c>
      <c r="T229" s="1">
        <v>0.95</v>
      </c>
      <c r="U229" s="1">
        <v>0.95</v>
      </c>
      <c r="V229" s="1">
        <v>1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19</v>
      </c>
      <c r="AD229" s="1">
        <v>19</v>
      </c>
      <c r="AE229" s="1">
        <v>1.6619999999999999</v>
      </c>
      <c r="AF229" s="1">
        <v>1.1299999999999999</v>
      </c>
      <c r="AG229" s="1">
        <v>1.67</v>
      </c>
      <c r="AH229" s="1">
        <v>0.95</v>
      </c>
      <c r="AI229" s="1">
        <v>4.5999999999999996</v>
      </c>
      <c r="AJ229" s="1">
        <v>1</v>
      </c>
      <c r="AK229" s="1">
        <v>0</v>
      </c>
      <c r="AL229" s="1">
        <v>0.95</v>
      </c>
      <c r="AM229" s="1">
        <v>0.95</v>
      </c>
      <c r="AN229" s="1">
        <v>3.28</v>
      </c>
    </row>
    <row r="230" spans="1:40">
      <c r="A230" s="1">
        <v>820</v>
      </c>
      <c r="C230" s="1">
        <v>1.71</v>
      </c>
      <c r="D230" s="1">
        <v>1.71</v>
      </c>
      <c r="E230" s="1">
        <v>1.71</v>
      </c>
      <c r="F230" s="1">
        <v>1.71</v>
      </c>
      <c r="G230" s="1">
        <v>1.8</v>
      </c>
      <c r="H230" s="1">
        <v>1</v>
      </c>
      <c r="I230" s="1">
        <v>1</v>
      </c>
      <c r="J230" s="1">
        <v>1.2</v>
      </c>
      <c r="K230" s="1">
        <v>1.2</v>
      </c>
      <c r="L230" s="1">
        <v>2.2000000000000002</v>
      </c>
      <c r="M230" s="1">
        <v>1.7</v>
      </c>
      <c r="N230" s="1">
        <v>0.95</v>
      </c>
      <c r="O230" s="1">
        <v>1.23</v>
      </c>
      <c r="P230" s="1">
        <v>0.95</v>
      </c>
      <c r="Q230" s="1">
        <v>0.95</v>
      </c>
      <c r="R230" s="1">
        <v>0.95</v>
      </c>
      <c r="S230" s="1">
        <v>0.95</v>
      </c>
      <c r="T230" s="1">
        <v>0.95</v>
      </c>
      <c r="U230" s="1">
        <v>0.95</v>
      </c>
      <c r="V230" s="1">
        <v>1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20</v>
      </c>
      <c r="AD230" s="1">
        <v>20</v>
      </c>
      <c r="AE230" s="1">
        <v>1.71</v>
      </c>
      <c r="AF230" s="1">
        <v>1.1299999999999999</v>
      </c>
      <c r="AG230" s="1">
        <v>1.7</v>
      </c>
      <c r="AH230" s="1">
        <v>0.95</v>
      </c>
      <c r="AI230" s="1">
        <v>4.8</v>
      </c>
      <c r="AJ230" s="1">
        <v>1</v>
      </c>
      <c r="AK230" s="1">
        <v>0</v>
      </c>
      <c r="AL230" s="1">
        <v>0.95</v>
      </c>
      <c r="AM230" s="1">
        <v>0.95</v>
      </c>
      <c r="AN230" s="1">
        <v>3.4</v>
      </c>
    </row>
    <row r="231" spans="1:40">
      <c r="A231" s="1">
        <v>821</v>
      </c>
      <c r="C231" s="1">
        <v>1.758</v>
      </c>
      <c r="D231" s="1">
        <v>1.758</v>
      </c>
      <c r="E231" s="1">
        <v>1.758</v>
      </c>
      <c r="F231" s="1">
        <v>1.758</v>
      </c>
      <c r="G231" s="1">
        <v>1.84</v>
      </c>
      <c r="H231" s="1">
        <v>1</v>
      </c>
      <c r="I231" s="1">
        <v>1</v>
      </c>
      <c r="J231" s="1">
        <v>1.22</v>
      </c>
      <c r="K231" s="1">
        <v>1.22</v>
      </c>
      <c r="L231" s="1">
        <v>2.23</v>
      </c>
      <c r="M231" s="1">
        <v>1.72</v>
      </c>
      <c r="N231" s="1">
        <v>0.95</v>
      </c>
      <c r="O231" s="1">
        <v>1.24</v>
      </c>
      <c r="P231" s="1">
        <v>0.95</v>
      </c>
      <c r="Q231" s="1">
        <v>0.95</v>
      </c>
      <c r="R231" s="1">
        <v>0.95</v>
      </c>
      <c r="S231" s="1">
        <v>0.95</v>
      </c>
      <c r="T231" s="1">
        <v>0.95</v>
      </c>
      <c r="U231" s="1">
        <v>0.95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21</v>
      </c>
      <c r="AD231" s="1">
        <v>21</v>
      </c>
      <c r="AE231" s="1">
        <v>1.758</v>
      </c>
      <c r="AF231" s="1">
        <v>1.1399999999999999</v>
      </c>
      <c r="AG231" s="1">
        <v>1.72</v>
      </c>
      <c r="AH231" s="1">
        <v>0.95</v>
      </c>
      <c r="AI231" s="1">
        <v>5</v>
      </c>
      <c r="AJ231" s="1">
        <v>1</v>
      </c>
      <c r="AK231" s="1">
        <v>0</v>
      </c>
      <c r="AL231" s="1">
        <v>0.95</v>
      </c>
      <c r="AM231" s="1">
        <v>0.95</v>
      </c>
      <c r="AN231" s="1">
        <v>3.52</v>
      </c>
    </row>
    <row r="232" spans="1:40">
      <c r="A232" s="1">
        <v>822</v>
      </c>
      <c r="C232" s="1">
        <v>1.806</v>
      </c>
      <c r="D232" s="1">
        <v>1.806</v>
      </c>
      <c r="E232" s="1">
        <v>1.806</v>
      </c>
      <c r="F232" s="1">
        <v>1.806</v>
      </c>
      <c r="G232" s="1">
        <v>1.88</v>
      </c>
      <c r="H232" s="1">
        <v>1</v>
      </c>
      <c r="I232" s="1">
        <v>1</v>
      </c>
      <c r="J232" s="1">
        <v>1.24</v>
      </c>
      <c r="K232" s="1">
        <v>1.24</v>
      </c>
      <c r="L232" s="1">
        <v>2.2599999999999998</v>
      </c>
      <c r="M232" s="1">
        <v>1.74</v>
      </c>
      <c r="N232" s="1">
        <v>0.95</v>
      </c>
      <c r="O232" s="1">
        <v>1.24</v>
      </c>
      <c r="P232" s="1">
        <v>0.95</v>
      </c>
      <c r="Q232" s="1">
        <v>0.95</v>
      </c>
      <c r="R232" s="1">
        <v>0.95</v>
      </c>
      <c r="S232" s="1">
        <v>0.95</v>
      </c>
      <c r="T232" s="1">
        <v>0.95</v>
      </c>
      <c r="U232" s="1">
        <v>0.95</v>
      </c>
      <c r="V232" s="1">
        <v>1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22</v>
      </c>
      <c r="AD232" s="1">
        <v>22</v>
      </c>
      <c r="AE232" s="1">
        <v>1.806</v>
      </c>
      <c r="AF232" s="1">
        <v>1.1399999999999999</v>
      </c>
      <c r="AG232" s="1">
        <v>1.74</v>
      </c>
      <c r="AH232" s="1">
        <v>0.95</v>
      </c>
      <c r="AI232" s="1">
        <v>5.2</v>
      </c>
      <c r="AJ232" s="1">
        <v>1</v>
      </c>
      <c r="AK232" s="1">
        <v>0</v>
      </c>
      <c r="AL232" s="1">
        <v>0.95</v>
      </c>
      <c r="AM232" s="1">
        <v>0.95</v>
      </c>
      <c r="AN232" s="1">
        <v>3.64</v>
      </c>
    </row>
    <row r="233" spans="1:40">
      <c r="A233" s="1">
        <v>823</v>
      </c>
      <c r="C233" s="1">
        <v>1.8540000000000001</v>
      </c>
      <c r="D233" s="1">
        <v>1.8540000000000001</v>
      </c>
      <c r="E233" s="1">
        <v>1.8540000000000001</v>
      </c>
      <c r="F233" s="1">
        <v>1.8540000000000001</v>
      </c>
      <c r="G233" s="1">
        <v>1.92</v>
      </c>
      <c r="H233" s="1">
        <v>1</v>
      </c>
      <c r="I233" s="1">
        <v>1</v>
      </c>
      <c r="J233" s="1">
        <v>1.26</v>
      </c>
      <c r="K233" s="1">
        <v>1.26</v>
      </c>
      <c r="L233" s="1">
        <v>2.29</v>
      </c>
      <c r="M233" s="1">
        <v>1.76</v>
      </c>
      <c r="N233" s="1">
        <v>0.95</v>
      </c>
      <c r="O233" s="1">
        <v>1.24</v>
      </c>
      <c r="P233" s="1">
        <v>0.95</v>
      </c>
      <c r="Q233" s="1">
        <v>0.95</v>
      </c>
      <c r="R233" s="1">
        <v>0.95</v>
      </c>
      <c r="S233" s="1">
        <v>0.95</v>
      </c>
      <c r="T233" s="1">
        <v>0.95</v>
      </c>
      <c r="U233" s="1">
        <v>0.95</v>
      </c>
      <c r="V233" s="1">
        <v>1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23</v>
      </c>
      <c r="AD233" s="1">
        <v>23</v>
      </c>
      <c r="AE233" s="1">
        <v>1.8540000000000001</v>
      </c>
      <c r="AF233" s="1">
        <v>1.1399999999999999</v>
      </c>
      <c r="AG233" s="1">
        <v>1.76</v>
      </c>
      <c r="AH233" s="1">
        <v>0.95</v>
      </c>
      <c r="AI233" s="1">
        <v>5.4</v>
      </c>
      <c r="AJ233" s="1">
        <v>1</v>
      </c>
      <c r="AK233" s="1">
        <v>0</v>
      </c>
      <c r="AL233" s="1">
        <v>0.95</v>
      </c>
      <c r="AM233" s="1">
        <v>0.95</v>
      </c>
      <c r="AN233" s="1">
        <v>3.76</v>
      </c>
    </row>
    <row r="234" spans="1:40">
      <c r="A234" s="1">
        <v>824</v>
      </c>
      <c r="C234" s="1">
        <v>1.9019999999999999</v>
      </c>
      <c r="D234" s="1">
        <v>1.9019999999999999</v>
      </c>
      <c r="E234" s="1">
        <v>1.9019999999999999</v>
      </c>
      <c r="F234" s="1">
        <v>1.9019999999999999</v>
      </c>
      <c r="G234" s="1">
        <v>1.96</v>
      </c>
      <c r="H234" s="1">
        <v>1</v>
      </c>
      <c r="I234" s="1">
        <v>1</v>
      </c>
      <c r="J234" s="1">
        <v>1.28</v>
      </c>
      <c r="K234" s="1">
        <v>1.28</v>
      </c>
      <c r="L234" s="1">
        <v>2.3199999999999998</v>
      </c>
      <c r="M234" s="1">
        <v>1.78</v>
      </c>
      <c r="N234" s="1">
        <v>0.95</v>
      </c>
      <c r="O234" s="1">
        <v>1.24</v>
      </c>
      <c r="P234" s="1">
        <v>0.95</v>
      </c>
      <c r="Q234" s="1">
        <v>0.95</v>
      </c>
      <c r="R234" s="1">
        <v>0.95</v>
      </c>
      <c r="S234" s="1">
        <v>0.95</v>
      </c>
      <c r="T234" s="1">
        <v>0.95</v>
      </c>
      <c r="U234" s="1">
        <v>0.95</v>
      </c>
      <c r="V234" s="1">
        <v>1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24</v>
      </c>
      <c r="AD234" s="1">
        <v>24</v>
      </c>
      <c r="AE234" s="1">
        <v>1.9019999999999999</v>
      </c>
      <c r="AF234" s="1">
        <v>1.1399999999999999</v>
      </c>
      <c r="AG234" s="1">
        <v>1.78</v>
      </c>
      <c r="AH234" s="1">
        <v>0.95</v>
      </c>
      <c r="AI234" s="1">
        <v>5.6</v>
      </c>
      <c r="AJ234" s="1">
        <v>1</v>
      </c>
      <c r="AK234" s="1">
        <v>0</v>
      </c>
      <c r="AL234" s="1">
        <v>0.95</v>
      </c>
      <c r="AM234" s="1">
        <v>0.95</v>
      </c>
      <c r="AN234" s="1">
        <v>3.88</v>
      </c>
    </row>
    <row r="235" spans="1:40">
      <c r="A235" s="1">
        <v>825</v>
      </c>
      <c r="C235" s="1">
        <v>1.95</v>
      </c>
      <c r="D235" s="1">
        <v>1.95</v>
      </c>
      <c r="E235" s="1">
        <v>1.95</v>
      </c>
      <c r="F235" s="1">
        <v>1.95</v>
      </c>
      <c r="G235" s="1">
        <v>2</v>
      </c>
      <c r="H235" s="1">
        <v>1</v>
      </c>
      <c r="I235" s="1">
        <v>1</v>
      </c>
      <c r="J235" s="1">
        <v>1.3</v>
      </c>
      <c r="K235" s="1">
        <v>1.3</v>
      </c>
      <c r="L235" s="1">
        <v>2.35</v>
      </c>
      <c r="M235" s="1">
        <v>1.8</v>
      </c>
      <c r="N235" s="1">
        <v>0.95</v>
      </c>
      <c r="O235" s="1">
        <v>1.25</v>
      </c>
      <c r="P235" s="1">
        <v>0.95</v>
      </c>
      <c r="Q235" s="1">
        <v>0.95</v>
      </c>
      <c r="R235" s="1">
        <v>0.95</v>
      </c>
      <c r="S235" s="1">
        <v>0.95</v>
      </c>
      <c r="T235" s="1">
        <v>0.95</v>
      </c>
      <c r="U235" s="1">
        <v>0.95</v>
      </c>
      <c r="V235" s="1">
        <v>1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25</v>
      </c>
      <c r="AD235" s="1">
        <v>25</v>
      </c>
      <c r="AE235" s="1">
        <v>1.95</v>
      </c>
      <c r="AF235" s="1">
        <v>1.1499999999999999</v>
      </c>
      <c r="AG235" s="1">
        <v>1.8</v>
      </c>
      <c r="AH235" s="1">
        <v>0.95</v>
      </c>
      <c r="AI235" s="1">
        <v>5.8</v>
      </c>
      <c r="AJ235" s="1">
        <v>1</v>
      </c>
      <c r="AK235" s="1">
        <v>0</v>
      </c>
      <c r="AL235" s="1">
        <v>0.95</v>
      </c>
      <c r="AM235" s="1">
        <v>0.95</v>
      </c>
      <c r="AN235" s="1">
        <v>4</v>
      </c>
    </row>
    <row r="236" spans="1:40">
      <c r="A236" s="1">
        <v>900</v>
      </c>
      <c r="C236" s="1">
        <v>0.85</v>
      </c>
      <c r="D236" s="1">
        <v>0.85</v>
      </c>
      <c r="E236" s="1">
        <v>0.85</v>
      </c>
      <c r="F236" s="1">
        <v>0.85</v>
      </c>
      <c r="G236" s="1">
        <v>1</v>
      </c>
      <c r="H236" s="1">
        <v>1</v>
      </c>
      <c r="I236" s="1">
        <v>1</v>
      </c>
      <c r="J236" s="1">
        <v>1</v>
      </c>
      <c r="K236" s="1">
        <v>1</v>
      </c>
      <c r="L236" s="1">
        <v>1</v>
      </c>
      <c r="M236" s="1">
        <v>1</v>
      </c>
      <c r="N236" s="1">
        <v>0.95</v>
      </c>
      <c r="O236" s="1">
        <v>1.05</v>
      </c>
      <c r="P236" s="1">
        <v>0.95</v>
      </c>
      <c r="Q236" s="1">
        <v>0.95</v>
      </c>
      <c r="R236" s="1">
        <v>0.95</v>
      </c>
      <c r="S236" s="1">
        <v>0.95</v>
      </c>
      <c r="T236" s="1">
        <v>0.95</v>
      </c>
      <c r="U236" s="1">
        <v>0.95</v>
      </c>
      <c r="V236" s="1">
        <v>1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0.85</v>
      </c>
      <c r="AF236" s="1">
        <v>0.95</v>
      </c>
      <c r="AG236" s="1">
        <v>1</v>
      </c>
      <c r="AH236" s="1">
        <v>1</v>
      </c>
      <c r="AI236" s="1">
        <v>1</v>
      </c>
      <c r="AJ236" s="1">
        <v>1</v>
      </c>
      <c r="AK236" s="1">
        <v>0</v>
      </c>
      <c r="AL236" s="1">
        <v>0.95</v>
      </c>
      <c r="AM236" s="1">
        <v>0.95</v>
      </c>
      <c r="AN236" s="1">
        <v>1</v>
      </c>
    </row>
    <row r="237" spans="1:40">
      <c r="A237" s="1">
        <v>901</v>
      </c>
      <c r="C237" s="1">
        <v>0.88800000000000001</v>
      </c>
      <c r="D237" s="1">
        <v>0.88800000000000001</v>
      </c>
      <c r="E237" s="1">
        <v>0.88800000000000001</v>
      </c>
      <c r="F237" s="1">
        <v>0.88800000000000001</v>
      </c>
      <c r="G237" s="1">
        <v>1.04</v>
      </c>
      <c r="H237" s="1">
        <v>1</v>
      </c>
      <c r="I237" s="1">
        <v>1</v>
      </c>
      <c r="J237" s="1">
        <v>1.05</v>
      </c>
      <c r="K237" s="1">
        <v>1.05</v>
      </c>
      <c r="L237" s="1">
        <v>1.05</v>
      </c>
      <c r="M237" s="1">
        <v>1.04</v>
      </c>
      <c r="N237" s="1">
        <v>0.95</v>
      </c>
      <c r="O237" s="1">
        <v>1.05</v>
      </c>
      <c r="P237" s="1">
        <v>0.95</v>
      </c>
      <c r="Q237" s="1">
        <v>0.95</v>
      </c>
      <c r="R237" s="1">
        <v>0.95</v>
      </c>
      <c r="S237" s="1">
        <v>0.95</v>
      </c>
      <c r="T237" s="1">
        <v>0.95</v>
      </c>
      <c r="U237" s="1">
        <v>0.95</v>
      </c>
      <c r="V237" s="1">
        <v>1</v>
      </c>
      <c r="W237" s="1">
        <v>0</v>
      </c>
      <c r="X237" s="1">
        <v>1</v>
      </c>
      <c r="Y237" s="1">
        <v>0</v>
      </c>
      <c r="Z237" s="1">
        <v>0</v>
      </c>
      <c r="AA237" s="1">
        <v>0</v>
      </c>
      <c r="AB237" s="1">
        <v>0</v>
      </c>
      <c r="AC237" s="1">
        <v>1</v>
      </c>
      <c r="AD237" s="1">
        <v>1</v>
      </c>
      <c r="AE237" s="1">
        <v>0.88800000000000001</v>
      </c>
      <c r="AF237" s="1">
        <v>0.95</v>
      </c>
      <c r="AG237" s="1">
        <v>1.04</v>
      </c>
      <c r="AH237" s="1">
        <v>1</v>
      </c>
      <c r="AI237" s="1">
        <v>1</v>
      </c>
      <c r="AJ237" s="1">
        <v>1</v>
      </c>
      <c r="AK237" s="1">
        <v>0</v>
      </c>
      <c r="AL237" s="1">
        <v>0.95</v>
      </c>
      <c r="AM237" s="1">
        <v>0.95</v>
      </c>
      <c r="AN237" s="1">
        <v>1.1200000000000001</v>
      </c>
    </row>
    <row r="238" spans="1:40">
      <c r="A238" s="1">
        <v>902</v>
      </c>
      <c r="C238" s="1">
        <v>0.92600000000000005</v>
      </c>
      <c r="D238" s="1">
        <v>0.92600000000000005</v>
      </c>
      <c r="E238" s="1">
        <v>0.92600000000000005</v>
      </c>
      <c r="F238" s="1">
        <v>0.92600000000000005</v>
      </c>
      <c r="G238" s="1">
        <v>1.08</v>
      </c>
      <c r="H238" s="1">
        <v>1</v>
      </c>
      <c r="I238" s="1">
        <v>1</v>
      </c>
      <c r="J238" s="1">
        <v>1.1000000000000001</v>
      </c>
      <c r="K238" s="1">
        <v>1.1000000000000001</v>
      </c>
      <c r="L238" s="1">
        <v>1.1000000000000001</v>
      </c>
      <c r="M238" s="1">
        <v>1.08</v>
      </c>
      <c r="N238" s="1">
        <v>0.95</v>
      </c>
      <c r="O238" s="1">
        <v>1.06</v>
      </c>
      <c r="P238" s="1">
        <v>0.95</v>
      </c>
      <c r="Q238" s="1">
        <v>0.95</v>
      </c>
      <c r="R238" s="1">
        <v>0.95</v>
      </c>
      <c r="S238" s="1">
        <v>0.95</v>
      </c>
      <c r="T238" s="1">
        <v>0.95</v>
      </c>
      <c r="U238" s="1">
        <v>0.95</v>
      </c>
      <c r="V238" s="1">
        <v>1</v>
      </c>
      <c r="W238" s="1">
        <v>0</v>
      </c>
      <c r="X238" s="1">
        <v>2</v>
      </c>
      <c r="Y238" s="1">
        <v>0</v>
      </c>
      <c r="Z238" s="1">
        <v>0</v>
      </c>
      <c r="AA238" s="1">
        <v>0</v>
      </c>
      <c r="AB238" s="1">
        <v>0</v>
      </c>
      <c r="AC238" s="1">
        <v>2</v>
      </c>
      <c r="AD238" s="1">
        <v>2</v>
      </c>
      <c r="AE238" s="1">
        <v>0.92600000000000005</v>
      </c>
      <c r="AF238" s="1">
        <v>0.95</v>
      </c>
      <c r="AG238" s="1">
        <v>1.08</v>
      </c>
      <c r="AH238" s="1">
        <v>1</v>
      </c>
      <c r="AI238" s="1">
        <v>1.2</v>
      </c>
      <c r="AJ238" s="1">
        <v>1</v>
      </c>
      <c r="AK238" s="1">
        <v>0</v>
      </c>
      <c r="AL238" s="1">
        <v>0.95</v>
      </c>
      <c r="AM238" s="1">
        <v>0.95</v>
      </c>
      <c r="AN238" s="1">
        <v>1.24</v>
      </c>
    </row>
    <row r="239" spans="1:40">
      <c r="A239" s="1">
        <v>903</v>
      </c>
      <c r="C239" s="1">
        <v>0.96399999999999997</v>
      </c>
      <c r="D239" s="1">
        <v>0.96399999999999997</v>
      </c>
      <c r="E239" s="1">
        <v>0.96399999999999997</v>
      </c>
      <c r="F239" s="1">
        <v>0.96399999999999997</v>
      </c>
      <c r="G239" s="1">
        <v>1.1200000000000001</v>
      </c>
      <c r="H239" s="1">
        <v>1</v>
      </c>
      <c r="I239" s="1">
        <v>1</v>
      </c>
      <c r="J239" s="1">
        <v>1.1499999999999999</v>
      </c>
      <c r="K239" s="1">
        <v>1.1499999999999999</v>
      </c>
      <c r="L239" s="1">
        <v>1.1499999999999999</v>
      </c>
      <c r="M239" s="1">
        <v>1.1200000000000001</v>
      </c>
      <c r="N239" s="1">
        <v>0.95</v>
      </c>
      <c r="O239" s="1">
        <v>1.06</v>
      </c>
      <c r="P239" s="1">
        <v>0.95</v>
      </c>
      <c r="Q239" s="1">
        <v>0.95</v>
      </c>
      <c r="R239" s="1">
        <v>0.95</v>
      </c>
      <c r="S239" s="1">
        <v>0.95</v>
      </c>
      <c r="T239" s="1">
        <v>0.95</v>
      </c>
      <c r="U239" s="1">
        <v>0.95</v>
      </c>
      <c r="V239" s="1">
        <v>1</v>
      </c>
      <c r="W239" s="1">
        <v>0</v>
      </c>
      <c r="X239" s="1">
        <v>3</v>
      </c>
      <c r="Y239" s="1">
        <v>0</v>
      </c>
      <c r="Z239" s="1">
        <v>0</v>
      </c>
      <c r="AA239" s="1">
        <v>0</v>
      </c>
      <c r="AB239" s="1">
        <v>0</v>
      </c>
      <c r="AC239" s="1">
        <v>3</v>
      </c>
      <c r="AD239" s="1">
        <v>3</v>
      </c>
      <c r="AE239" s="1">
        <v>0.96399999999999997</v>
      </c>
      <c r="AF239" s="1">
        <v>0.95</v>
      </c>
      <c r="AG239" s="1">
        <v>1.1200000000000001</v>
      </c>
      <c r="AH239" s="1">
        <v>1</v>
      </c>
      <c r="AI239" s="1">
        <v>1.4</v>
      </c>
      <c r="AJ239" s="1">
        <v>1</v>
      </c>
      <c r="AK239" s="1">
        <v>0</v>
      </c>
      <c r="AL239" s="1">
        <v>0.95</v>
      </c>
      <c r="AM239" s="1">
        <v>0.95</v>
      </c>
      <c r="AN239" s="1">
        <v>1.36</v>
      </c>
    </row>
    <row r="240" spans="1:40">
      <c r="A240" s="1">
        <v>904</v>
      </c>
      <c r="C240" s="1">
        <v>1.002</v>
      </c>
      <c r="D240" s="1">
        <v>1.002</v>
      </c>
      <c r="E240" s="1">
        <v>1.002</v>
      </c>
      <c r="F240" s="1">
        <v>1.002</v>
      </c>
      <c r="G240" s="1">
        <v>1.1599999999999999</v>
      </c>
      <c r="H240" s="1">
        <v>1</v>
      </c>
      <c r="I240" s="1">
        <v>1</v>
      </c>
      <c r="J240" s="1">
        <v>1.2</v>
      </c>
      <c r="K240" s="1">
        <v>1.2</v>
      </c>
      <c r="L240" s="1">
        <v>1.2</v>
      </c>
      <c r="M240" s="1">
        <v>1.1599999999999999</v>
      </c>
      <c r="N240" s="1">
        <v>0.95</v>
      </c>
      <c r="O240" s="1">
        <v>1.07</v>
      </c>
      <c r="P240" s="1">
        <v>0.95</v>
      </c>
      <c r="Q240" s="1">
        <v>0.95</v>
      </c>
      <c r="R240" s="1">
        <v>0.95</v>
      </c>
      <c r="S240" s="1">
        <v>0.95</v>
      </c>
      <c r="T240" s="1">
        <v>0.95</v>
      </c>
      <c r="U240" s="1">
        <v>0.95</v>
      </c>
      <c r="V240" s="1">
        <v>1</v>
      </c>
      <c r="W240" s="1">
        <v>0</v>
      </c>
      <c r="X240" s="1">
        <v>4</v>
      </c>
      <c r="Y240" s="1">
        <v>0</v>
      </c>
      <c r="Z240" s="1">
        <v>0</v>
      </c>
      <c r="AA240" s="1">
        <v>0</v>
      </c>
      <c r="AB240" s="1">
        <v>0</v>
      </c>
      <c r="AC240" s="1">
        <v>4</v>
      </c>
      <c r="AD240" s="1">
        <v>4</v>
      </c>
      <c r="AE240" s="1">
        <v>1.002</v>
      </c>
      <c r="AF240" s="1">
        <v>0.95</v>
      </c>
      <c r="AG240" s="1">
        <v>1.1599999999999999</v>
      </c>
      <c r="AH240" s="1">
        <v>1</v>
      </c>
      <c r="AI240" s="1">
        <v>1.6</v>
      </c>
      <c r="AJ240" s="1">
        <v>1</v>
      </c>
      <c r="AK240" s="1">
        <v>0</v>
      </c>
      <c r="AL240" s="1">
        <v>0.95</v>
      </c>
      <c r="AM240" s="1">
        <v>0.95</v>
      </c>
      <c r="AN240" s="1">
        <v>1.48</v>
      </c>
    </row>
    <row r="241" spans="1:40">
      <c r="A241" s="1">
        <v>905</v>
      </c>
      <c r="C241" s="1">
        <v>1.04</v>
      </c>
      <c r="D241" s="1">
        <v>1.04</v>
      </c>
      <c r="E241" s="1">
        <v>1.04</v>
      </c>
      <c r="F241" s="1">
        <v>1.04</v>
      </c>
      <c r="G241" s="1">
        <v>1.2</v>
      </c>
      <c r="H241" s="1">
        <v>1</v>
      </c>
      <c r="I241" s="1">
        <v>1</v>
      </c>
      <c r="J241" s="1">
        <v>1.25</v>
      </c>
      <c r="K241" s="1">
        <v>1.25</v>
      </c>
      <c r="L241" s="1">
        <v>1.25</v>
      </c>
      <c r="M241" s="1">
        <v>1.2</v>
      </c>
      <c r="N241" s="1">
        <v>0.95</v>
      </c>
      <c r="O241" s="1">
        <v>1.07</v>
      </c>
      <c r="P241" s="1">
        <v>0.95</v>
      </c>
      <c r="Q241" s="1">
        <v>0.95</v>
      </c>
      <c r="R241" s="1">
        <v>0.95</v>
      </c>
      <c r="S241" s="1">
        <v>0.95</v>
      </c>
      <c r="T241" s="1">
        <v>0.95</v>
      </c>
      <c r="U241" s="1">
        <v>0.95</v>
      </c>
      <c r="V241" s="1">
        <v>1</v>
      </c>
      <c r="W241" s="1">
        <v>0</v>
      </c>
      <c r="X241" s="1">
        <v>5</v>
      </c>
      <c r="Y241" s="1">
        <v>0</v>
      </c>
      <c r="Z241" s="1">
        <v>0</v>
      </c>
      <c r="AA241" s="1">
        <v>0</v>
      </c>
      <c r="AB241" s="1">
        <v>0</v>
      </c>
      <c r="AC241" s="1">
        <v>5</v>
      </c>
      <c r="AD241" s="1">
        <v>5</v>
      </c>
      <c r="AE241" s="1">
        <v>1.04</v>
      </c>
      <c r="AF241" s="1">
        <v>0.95</v>
      </c>
      <c r="AG241" s="1">
        <v>1.2</v>
      </c>
      <c r="AH241" s="1">
        <v>1</v>
      </c>
      <c r="AI241" s="1">
        <v>1.8</v>
      </c>
      <c r="AJ241" s="1">
        <v>1</v>
      </c>
      <c r="AK241" s="1">
        <v>0</v>
      </c>
      <c r="AL241" s="1">
        <v>0.95</v>
      </c>
      <c r="AM241" s="1">
        <v>0.95</v>
      </c>
      <c r="AN241" s="1">
        <v>1.6</v>
      </c>
    </row>
    <row r="242" spans="1:40">
      <c r="A242" s="1">
        <v>906</v>
      </c>
      <c r="C242" s="1">
        <v>1.0780000000000001</v>
      </c>
      <c r="D242" s="1">
        <v>1.0780000000000001</v>
      </c>
      <c r="E242" s="1">
        <v>1.0780000000000001</v>
      </c>
      <c r="F242" s="1">
        <v>1.0780000000000001</v>
      </c>
      <c r="G242" s="1">
        <v>1.24</v>
      </c>
      <c r="H242" s="1">
        <v>1</v>
      </c>
      <c r="I242" s="1">
        <v>1</v>
      </c>
      <c r="J242" s="1">
        <v>1.3</v>
      </c>
      <c r="K242" s="1">
        <v>1.3</v>
      </c>
      <c r="L242" s="1">
        <v>1.3</v>
      </c>
      <c r="M242" s="1">
        <v>1.24</v>
      </c>
      <c r="N242" s="1">
        <v>0.95</v>
      </c>
      <c r="O242" s="1">
        <v>1.08</v>
      </c>
      <c r="P242" s="1">
        <v>0.95</v>
      </c>
      <c r="Q242" s="1">
        <v>0.95</v>
      </c>
      <c r="R242" s="1">
        <v>0.95</v>
      </c>
      <c r="S242" s="1">
        <v>0.95</v>
      </c>
      <c r="T242" s="1">
        <v>0.95</v>
      </c>
      <c r="U242" s="1">
        <v>0.95</v>
      </c>
      <c r="V242" s="1">
        <v>1</v>
      </c>
      <c r="W242" s="1">
        <v>0</v>
      </c>
      <c r="X242" s="1">
        <v>6</v>
      </c>
      <c r="Y242" s="1">
        <v>0</v>
      </c>
      <c r="Z242" s="1">
        <v>0</v>
      </c>
      <c r="AA242" s="1">
        <v>0</v>
      </c>
      <c r="AB242" s="1">
        <v>0</v>
      </c>
      <c r="AC242" s="1">
        <v>6</v>
      </c>
      <c r="AD242" s="1">
        <v>6</v>
      </c>
      <c r="AE242" s="1">
        <v>1.0780000000000001</v>
      </c>
      <c r="AF242" s="1">
        <v>0.95</v>
      </c>
      <c r="AG242" s="1">
        <v>1.24</v>
      </c>
      <c r="AH242" s="1">
        <v>1</v>
      </c>
      <c r="AI242" s="1">
        <v>2</v>
      </c>
      <c r="AJ242" s="1">
        <v>1</v>
      </c>
      <c r="AK242" s="1">
        <v>0</v>
      </c>
      <c r="AL242" s="1">
        <v>0.95</v>
      </c>
      <c r="AM242" s="1">
        <v>0.95</v>
      </c>
      <c r="AN242" s="1">
        <v>1.72</v>
      </c>
    </row>
    <row r="243" spans="1:40">
      <c r="A243" s="1">
        <v>907</v>
      </c>
      <c r="C243" s="1">
        <v>1.1160000000000001</v>
      </c>
      <c r="D243" s="1">
        <v>1.1160000000000001</v>
      </c>
      <c r="E243" s="1">
        <v>1.1160000000000001</v>
      </c>
      <c r="F243" s="1">
        <v>1.1160000000000001</v>
      </c>
      <c r="G243" s="1">
        <v>1.28</v>
      </c>
      <c r="H243" s="1">
        <v>1</v>
      </c>
      <c r="I243" s="1">
        <v>1</v>
      </c>
      <c r="J243" s="1">
        <v>1.35</v>
      </c>
      <c r="K243" s="1">
        <v>1.35</v>
      </c>
      <c r="L243" s="1">
        <v>1.35</v>
      </c>
      <c r="M243" s="1">
        <v>1.28</v>
      </c>
      <c r="N243" s="1">
        <v>0.95</v>
      </c>
      <c r="O243" s="1">
        <v>1.08</v>
      </c>
      <c r="P243" s="1">
        <v>0.95</v>
      </c>
      <c r="Q243" s="1">
        <v>0.95</v>
      </c>
      <c r="R243" s="1">
        <v>0.95</v>
      </c>
      <c r="S243" s="1">
        <v>0.95</v>
      </c>
      <c r="T243" s="1">
        <v>0.95</v>
      </c>
      <c r="U243" s="1">
        <v>0.95</v>
      </c>
      <c r="V243" s="1">
        <v>1</v>
      </c>
      <c r="W243" s="1">
        <v>0</v>
      </c>
      <c r="X243" s="1">
        <v>7</v>
      </c>
      <c r="Y243" s="1">
        <v>0</v>
      </c>
      <c r="Z243" s="1">
        <v>0</v>
      </c>
      <c r="AA243" s="1">
        <v>0</v>
      </c>
      <c r="AB243" s="1">
        <v>0</v>
      </c>
      <c r="AC243" s="1">
        <v>7</v>
      </c>
      <c r="AD243" s="1">
        <v>7</v>
      </c>
      <c r="AE243" s="1">
        <v>1.1160000000000001</v>
      </c>
      <c r="AF243" s="1">
        <v>0.95</v>
      </c>
      <c r="AG243" s="1">
        <v>1.28</v>
      </c>
      <c r="AH243" s="1">
        <v>1</v>
      </c>
      <c r="AI243" s="1">
        <v>2.2000000000000002</v>
      </c>
      <c r="AJ243" s="1">
        <v>1</v>
      </c>
      <c r="AK243" s="1">
        <v>0</v>
      </c>
      <c r="AL243" s="1">
        <v>0.95</v>
      </c>
      <c r="AM243" s="1">
        <v>0.95</v>
      </c>
      <c r="AN243" s="1">
        <v>1.84</v>
      </c>
    </row>
    <row r="244" spans="1:40">
      <c r="A244" s="1">
        <v>908</v>
      </c>
      <c r="C244" s="1">
        <v>1.1539999999999999</v>
      </c>
      <c r="D244" s="1">
        <v>1.1539999999999999</v>
      </c>
      <c r="E244" s="1">
        <v>1.1539999999999999</v>
      </c>
      <c r="F244" s="1">
        <v>1.1539999999999999</v>
      </c>
      <c r="G244" s="1">
        <v>1.32</v>
      </c>
      <c r="H244" s="1">
        <v>1</v>
      </c>
      <c r="I244" s="1">
        <v>1</v>
      </c>
      <c r="J244" s="1">
        <v>1.4</v>
      </c>
      <c r="K244" s="1">
        <v>1.4</v>
      </c>
      <c r="L244" s="1">
        <v>1.4</v>
      </c>
      <c r="M244" s="1">
        <v>1.32</v>
      </c>
      <c r="N244" s="1">
        <v>0.95</v>
      </c>
      <c r="O244" s="1">
        <v>1.0900000000000001</v>
      </c>
      <c r="P244" s="1">
        <v>0.95</v>
      </c>
      <c r="Q244" s="1">
        <v>0.95</v>
      </c>
      <c r="R244" s="1">
        <v>0.95</v>
      </c>
      <c r="S244" s="1">
        <v>0.95</v>
      </c>
      <c r="T244" s="1">
        <v>0.95</v>
      </c>
      <c r="U244" s="1">
        <v>0.95</v>
      </c>
      <c r="V244" s="1">
        <v>1</v>
      </c>
      <c r="W244" s="1">
        <v>0</v>
      </c>
      <c r="X244" s="1">
        <v>8</v>
      </c>
      <c r="Y244" s="1">
        <v>0</v>
      </c>
      <c r="Z244" s="1">
        <v>0</v>
      </c>
      <c r="AA244" s="1">
        <v>0</v>
      </c>
      <c r="AB244" s="1">
        <v>0</v>
      </c>
      <c r="AC244" s="1">
        <v>8</v>
      </c>
      <c r="AD244" s="1">
        <v>8</v>
      </c>
      <c r="AE244" s="1">
        <v>1.1539999999999999</v>
      </c>
      <c r="AF244" s="1">
        <v>0.95</v>
      </c>
      <c r="AG244" s="1">
        <v>1.32</v>
      </c>
      <c r="AH244" s="1">
        <v>1</v>
      </c>
      <c r="AI244" s="1">
        <v>2.4</v>
      </c>
      <c r="AJ244" s="1">
        <v>1</v>
      </c>
      <c r="AK244" s="1">
        <v>0</v>
      </c>
      <c r="AL244" s="1">
        <v>0.95</v>
      </c>
      <c r="AM244" s="1">
        <v>0.95</v>
      </c>
      <c r="AN244" s="1">
        <v>1.96</v>
      </c>
    </row>
    <row r="245" spans="1:40">
      <c r="A245" s="1">
        <v>909</v>
      </c>
      <c r="C245" s="1">
        <v>1.1919999999999999</v>
      </c>
      <c r="D245" s="1">
        <v>1.1919999999999999</v>
      </c>
      <c r="E245" s="1">
        <v>1.1919999999999999</v>
      </c>
      <c r="F245" s="1">
        <v>1.1919999999999999</v>
      </c>
      <c r="G245" s="1">
        <v>1.36</v>
      </c>
      <c r="H245" s="1">
        <v>1</v>
      </c>
      <c r="I245" s="1">
        <v>1</v>
      </c>
      <c r="J245" s="1">
        <v>1.45</v>
      </c>
      <c r="K245" s="1">
        <v>1.45</v>
      </c>
      <c r="L245" s="1">
        <v>1.45</v>
      </c>
      <c r="M245" s="1">
        <v>1.36</v>
      </c>
      <c r="N245" s="1">
        <v>0.95</v>
      </c>
      <c r="O245" s="1">
        <v>1.0900000000000001</v>
      </c>
      <c r="P245" s="1">
        <v>0.95</v>
      </c>
      <c r="Q245" s="1">
        <v>0.95</v>
      </c>
      <c r="R245" s="1">
        <v>0.95</v>
      </c>
      <c r="S245" s="1">
        <v>0.95</v>
      </c>
      <c r="T245" s="1">
        <v>0.95</v>
      </c>
      <c r="U245" s="1">
        <v>0.95</v>
      </c>
      <c r="V245" s="1">
        <v>1</v>
      </c>
      <c r="W245" s="1">
        <v>0</v>
      </c>
      <c r="X245" s="1">
        <v>9</v>
      </c>
      <c r="Y245" s="1">
        <v>0</v>
      </c>
      <c r="Z245" s="1">
        <v>0</v>
      </c>
      <c r="AA245" s="1">
        <v>0</v>
      </c>
      <c r="AB245" s="1">
        <v>0</v>
      </c>
      <c r="AC245" s="1">
        <v>9</v>
      </c>
      <c r="AD245" s="1">
        <v>9</v>
      </c>
      <c r="AE245" s="1">
        <v>1.1919999999999999</v>
      </c>
      <c r="AF245" s="1">
        <v>0.95</v>
      </c>
      <c r="AG245" s="1">
        <v>1.36</v>
      </c>
      <c r="AH245" s="1">
        <v>1</v>
      </c>
      <c r="AI245" s="1">
        <v>2.6</v>
      </c>
      <c r="AJ245" s="1">
        <v>1</v>
      </c>
      <c r="AK245" s="1">
        <v>0</v>
      </c>
      <c r="AL245" s="1">
        <v>0.95</v>
      </c>
      <c r="AM245" s="1">
        <v>0.95</v>
      </c>
      <c r="AN245" s="1">
        <v>2.08</v>
      </c>
    </row>
    <row r="246" spans="1:40">
      <c r="A246" s="1">
        <v>910</v>
      </c>
      <c r="C246" s="1">
        <v>1.23</v>
      </c>
      <c r="D246" s="1">
        <v>1.23</v>
      </c>
      <c r="E246" s="1">
        <v>1.23</v>
      </c>
      <c r="F246" s="1">
        <v>1.23</v>
      </c>
      <c r="G246" s="1">
        <v>1.4</v>
      </c>
      <c r="H246" s="1">
        <v>1</v>
      </c>
      <c r="I246" s="1">
        <v>1</v>
      </c>
      <c r="J246" s="1">
        <v>1.5</v>
      </c>
      <c r="K246" s="1">
        <v>1.5</v>
      </c>
      <c r="L246" s="1">
        <v>1.5</v>
      </c>
      <c r="M246" s="1">
        <v>1.4</v>
      </c>
      <c r="N246" s="1">
        <v>0.95</v>
      </c>
      <c r="O246" s="1">
        <v>1.0900000000000001</v>
      </c>
      <c r="P246" s="1">
        <v>0.95</v>
      </c>
      <c r="Q246" s="1">
        <v>0.95</v>
      </c>
      <c r="R246" s="1">
        <v>0.95</v>
      </c>
      <c r="S246" s="1">
        <v>0.95</v>
      </c>
      <c r="T246" s="1">
        <v>0.95</v>
      </c>
      <c r="U246" s="1">
        <v>0.95</v>
      </c>
      <c r="V246" s="1">
        <v>1</v>
      </c>
      <c r="W246" s="1">
        <v>0</v>
      </c>
      <c r="X246" s="1">
        <v>10</v>
      </c>
      <c r="Y246" s="1">
        <v>0</v>
      </c>
      <c r="Z246" s="1">
        <v>0</v>
      </c>
      <c r="AA246" s="1">
        <v>0</v>
      </c>
      <c r="AB246" s="1">
        <v>0</v>
      </c>
      <c r="AC246" s="1">
        <v>10</v>
      </c>
      <c r="AD246" s="1">
        <v>10</v>
      </c>
      <c r="AE246" s="1">
        <v>1.23</v>
      </c>
      <c r="AF246" s="1">
        <v>0.95</v>
      </c>
      <c r="AG246" s="1">
        <v>1.4</v>
      </c>
      <c r="AH246" s="1">
        <v>1</v>
      </c>
      <c r="AI246" s="1">
        <v>2.8</v>
      </c>
      <c r="AJ246" s="1">
        <v>1</v>
      </c>
      <c r="AK246" s="1">
        <v>0</v>
      </c>
      <c r="AL246" s="1">
        <v>0.95</v>
      </c>
      <c r="AM246" s="1">
        <v>0.95</v>
      </c>
      <c r="AN246" s="1">
        <v>2.2000000000000002</v>
      </c>
    </row>
    <row r="247" spans="1:40">
      <c r="A247" s="1">
        <v>911</v>
      </c>
      <c r="C247" s="1">
        <v>1.268</v>
      </c>
      <c r="D247" s="1">
        <v>1.268</v>
      </c>
      <c r="E247" s="1">
        <v>1.268</v>
      </c>
      <c r="F247" s="1">
        <v>1.268</v>
      </c>
      <c r="G247" s="1">
        <v>1.44</v>
      </c>
      <c r="H247" s="1">
        <v>1</v>
      </c>
      <c r="I247" s="1">
        <v>1</v>
      </c>
      <c r="J247" s="1">
        <v>1.53</v>
      </c>
      <c r="K247" s="1">
        <v>1.53</v>
      </c>
      <c r="L247" s="1">
        <v>1.54</v>
      </c>
      <c r="M247" s="1">
        <v>1.43</v>
      </c>
      <c r="N247" s="1">
        <v>0.95</v>
      </c>
      <c r="O247" s="1">
        <v>1.1000000000000001</v>
      </c>
      <c r="P247" s="1">
        <v>0.95</v>
      </c>
      <c r="Q247" s="1">
        <v>0.95</v>
      </c>
      <c r="R247" s="1">
        <v>0.95</v>
      </c>
      <c r="S247" s="1">
        <v>0.95</v>
      </c>
      <c r="T247" s="1">
        <v>0.95</v>
      </c>
      <c r="U247" s="1">
        <v>0.95</v>
      </c>
      <c r="V247" s="1">
        <v>1</v>
      </c>
      <c r="W247" s="1">
        <v>0</v>
      </c>
      <c r="X247" s="1">
        <v>11</v>
      </c>
      <c r="Y247" s="1">
        <v>0</v>
      </c>
      <c r="Z247" s="1">
        <v>0</v>
      </c>
      <c r="AA247" s="1">
        <v>0</v>
      </c>
      <c r="AB247" s="1">
        <v>0</v>
      </c>
      <c r="AC247" s="1">
        <v>11</v>
      </c>
      <c r="AD247" s="1">
        <v>11</v>
      </c>
      <c r="AE247" s="1">
        <v>1.268</v>
      </c>
      <c r="AF247" s="1">
        <v>0.95</v>
      </c>
      <c r="AG247" s="1">
        <v>1.43</v>
      </c>
      <c r="AH247" s="1">
        <v>1</v>
      </c>
      <c r="AI247" s="1">
        <v>3</v>
      </c>
      <c r="AJ247" s="1">
        <v>1</v>
      </c>
      <c r="AK247" s="1">
        <v>0</v>
      </c>
      <c r="AL247" s="1">
        <v>0.95</v>
      </c>
      <c r="AM247" s="1">
        <v>0.95</v>
      </c>
      <c r="AN247" s="1">
        <v>2.3199999999999998</v>
      </c>
    </row>
    <row r="248" spans="1:40">
      <c r="A248" s="1">
        <v>912</v>
      </c>
      <c r="C248" s="1">
        <v>1.306</v>
      </c>
      <c r="D248" s="1">
        <v>1.306</v>
      </c>
      <c r="E248" s="1">
        <v>1.306</v>
      </c>
      <c r="F248" s="1">
        <v>1.306</v>
      </c>
      <c r="G248" s="1">
        <v>1.48</v>
      </c>
      <c r="H248" s="1">
        <v>1</v>
      </c>
      <c r="I248" s="1">
        <v>1</v>
      </c>
      <c r="J248" s="1">
        <v>1.56</v>
      </c>
      <c r="K248" s="1">
        <v>1.56</v>
      </c>
      <c r="L248" s="1">
        <v>1.58</v>
      </c>
      <c r="M248" s="1">
        <v>1.46</v>
      </c>
      <c r="N248" s="1">
        <v>0.95</v>
      </c>
      <c r="O248" s="1">
        <v>1.1000000000000001</v>
      </c>
      <c r="P248" s="1">
        <v>0.95</v>
      </c>
      <c r="Q248" s="1">
        <v>0.95</v>
      </c>
      <c r="R248" s="1">
        <v>0.95</v>
      </c>
      <c r="S248" s="1">
        <v>0.95</v>
      </c>
      <c r="T248" s="1">
        <v>0.95</v>
      </c>
      <c r="U248" s="1">
        <v>0.95</v>
      </c>
      <c r="V248" s="1">
        <v>1</v>
      </c>
      <c r="W248" s="1">
        <v>0</v>
      </c>
      <c r="X248" s="1">
        <v>12</v>
      </c>
      <c r="Y248" s="1">
        <v>0</v>
      </c>
      <c r="Z248" s="1">
        <v>0</v>
      </c>
      <c r="AA248" s="1">
        <v>0</v>
      </c>
      <c r="AB248" s="1">
        <v>0</v>
      </c>
      <c r="AC248" s="1">
        <v>12</v>
      </c>
      <c r="AD248" s="1">
        <v>12</v>
      </c>
      <c r="AE248" s="1">
        <v>1.306</v>
      </c>
      <c r="AF248" s="1">
        <v>0.95</v>
      </c>
      <c r="AG248" s="1">
        <v>1.46</v>
      </c>
      <c r="AH248" s="1">
        <v>1</v>
      </c>
      <c r="AI248" s="1">
        <v>3.2</v>
      </c>
      <c r="AJ248" s="1">
        <v>1</v>
      </c>
      <c r="AK248" s="1">
        <v>0</v>
      </c>
      <c r="AL248" s="1">
        <v>0.95</v>
      </c>
      <c r="AM248" s="1">
        <v>0.95</v>
      </c>
      <c r="AN248" s="1">
        <v>2.44</v>
      </c>
    </row>
    <row r="249" spans="1:40">
      <c r="A249" s="1">
        <v>913</v>
      </c>
      <c r="C249" s="1">
        <v>1.3440000000000001</v>
      </c>
      <c r="D249" s="1">
        <v>1.3440000000000001</v>
      </c>
      <c r="E249" s="1">
        <v>1.3440000000000001</v>
      </c>
      <c r="F249" s="1">
        <v>1.3440000000000001</v>
      </c>
      <c r="G249" s="1">
        <v>1.52</v>
      </c>
      <c r="H249" s="1">
        <v>1</v>
      </c>
      <c r="I249" s="1">
        <v>1</v>
      </c>
      <c r="J249" s="1">
        <v>1.59</v>
      </c>
      <c r="K249" s="1">
        <v>1.59</v>
      </c>
      <c r="L249" s="1">
        <v>1.62</v>
      </c>
      <c r="M249" s="1">
        <v>1.49</v>
      </c>
      <c r="N249" s="1">
        <v>0.95</v>
      </c>
      <c r="O249" s="1">
        <v>1.1000000000000001</v>
      </c>
      <c r="P249" s="1">
        <v>0.95</v>
      </c>
      <c r="Q249" s="1">
        <v>0.95</v>
      </c>
      <c r="R249" s="1">
        <v>0.95</v>
      </c>
      <c r="S249" s="1">
        <v>0.95</v>
      </c>
      <c r="T249" s="1">
        <v>0.95</v>
      </c>
      <c r="U249" s="1">
        <v>0.95</v>
      </c>
      <c r="V249" s="1">
        <v>1</v>
      </c>
      <c r="W249" s="1">
        <v>0</v>
      </c>
      <c r="X249" s="1">
        <v>13</v>
      </c>
      <c r="Y249" s="1">
        <v>0</v>
      </c>
      <c r="Z249" s="1">
        <v>0</v>
      </c>
      <c r="AA249" s="1">
        <v>0</v>
      </c>
      <c r="AB249" s="1">
        <v>0</v>
      </c>
      <c r="AC249" s="1">
        <v>13</v>
      </c>
      <c r="AD249" s="1">
        <v>13</v>
      </c>
      <c r="AE249" s="1">
        <v>1.3440000000000001</v>
      </c>
      <c r="AF249" s="1">
        <v>0.95</v>
      </c>
      <c r="AG249" s="1">
        <v>1.49</v>
      </c>
      <c r="AH249" s="1">
        <v>1</v>
      </c>
      <c r="AI249" s="1">
        <v>3.4</v>
      </c>
      <c r="AJ249" s="1">
        <v>1</v>
      </c>
      <c r="AK249" s="1">
        <v>0</v>
      </c>
      <c r="AL249" s="1">
        <v>0.95</v>
      </c>
      <c r="AM249" s="1">
        <v>0.95</v>
      </c>
      <c r="AN249" s="1">
        <v>2.56</v>
      </c>
    </row>
    <row r="250" spans="1:40">
      <c r="A250" s="1">
        <v>914</v>
      </c>
      <c r="C250" s="1">
        <v>1.3819999999999999</v>
      </c>
      <c r="D250" s="1">
        <v>1.3819999999999999</v>
      </c>
      <c r="E250" s="1">
        <v>1.3819999999999999</v>
      </c>
      <c r="F250" s="1">
        <v>1.3819999999999999</v>
      </c>
      <c r="G250" s="1">
        <v>1.56</v>
      </c>
      <c r="H250" s="1">
        <v>1</v>
      </c>
      <c r="I250" s="1">
        <v>1</v>
      </c>
      <c r="J250" s="1">
        <v>1.62</v>
      </c>
      <c r="K250" s="1">
        <v>1.62</v>
      </c>
      <c r="L250" s="1">
        <v>1.66</v>
      </c>
      <c r="M250" s="1">
        <v>1.52</v>
      </c>
      <c r="N250" s="1">
        <v>0.95</v>
      </c>
      <c r="O250" s="1">
        <v>1.1100000000000001</v>
      </c>
      <c r="P250" s="1">
        <v>0.95</v>
      </c>
      <c r="Q250" s="1">
        <v>0.95</v>
      </c>
      <c r="R250" s="1">
        <v>0.95</v>
      </c>
      <c r="S250" s="1">
        <v>0.95</v>
      </c>
      <c r="T250" s="1">
        <v>0.95</v>
      </c>
      <c r="U250" s="1">
        <v>0.95</v>
      </c>
      <c r="V250" s="1">
        <v>1</v>
      </c>
      <c r="W250" s="1">
        <v>0</v>
      </c>
      <c r="X250" s="1">
        <v>14</v>
      </c>
      <c r="Y250" s="1">
        <v>0</v>
      </c>
      <c r="Z250" s="1">
        <v>0</v>
      </c>
      <c r="AA250" s="1">
        <v>0</v>
      </c>
      <c r="AB250" s="1">
        <v>0</v>
      </c>
      <c r="AC250" s="1">
        <v>14</v>
      </c>
      <c r="AD250" s="1">
        <v>14</v>
      </c>
      <c r="AE250" s="1">
        <v>1.3819999999999999</v>
      </c>
      <c r="AF250" s="1">
        <v>0.95</v>
      </c>
      <c r="AG250" s="1">
        <v>1.52</v>
      </c>
      <c r="AH250" s="1">
        <v>1</v>
      </c>
      <c r="AI250" s="1">
        <v>3.6</v>
      </c>
      <c r="AJ250" s="1">
        <v>1</v>
      </c>
      <c r="AK250" s="1">
        <v>0</v>
      </c>
      <c r="AL250" s="1">
        <v>0.95</v>
      </c>
      <c r="AM250" s="1">
        <v>0.95</v>
      </c>
      <c r="AN250" s="1">
        <v>2.68</v>
      </c>
    </row>
    <row r="251" spans="1:40">
      <c r="A251" s="1">
        <v>915</v>
      </c>
      <c r="C251" s="1">
        <v>1.42</v>
      </c>
      <c r="D251" s="1">
        <v>1.42</v>
      </c>
      <c r="E251" s="1">
        <v>1.42</v>
      </c>
      <c r="F251" s="1">
        <v>1.42</v>
      </c>
      <c r="G251" s="1">
        <v>1.6</v>
      </c>
      <c r="H251" s="1">
        <v>1</v>
      </c>
      <c r="I251" s="1">
        <v>1</v>
      </c>
      <c r="J251" s="1">
        <v>1.65</v>
      </c>
      <c r="K251" s="1">
        <v>1.65</v>
      </c>
      <c r="L251" s="1">
        <v>1.7</v>
      </c>
      <c r="M251" s="1">
        <v>1.55</v>
      </c>
      <c r="N251" s="1">
        <v>0.95</v>
      </c>
      <c r="O251" s="1">
        <v>1.1100000000000001</v>
      </c>
      <c r="P251" s="1">
        <v>0.95</v>
      </c>
      <c r="Q251" s="1">
        <v>0.95</v>
      </c>
      <c r="R251" s="1">
        <v>0.95</v>
      </c>
      <c r="S251" s="1">
        <v>0.95</v>
      </c>
      <c r="T251" s="1">
        <v>0.95</v>
      </c>
      <c r="U251" s="1">
        <v>0.95</v>
      </c>
      <c r="V251" s="1">
        <v>1</v>
      </c>
      <c r="W251" s="1">
        <v>0</v>
      </c>
      <c r="X251" s="1">
        <v>15</v>
      </c>
      <c r="Y251" s="1">
        <v>0</v>
      </c>
      <c r="Z251" s="1">
        <v>0</v>
      </c>
      <c r="AA251" s="1">
        <v>0</v>
      </c>
      <c r="AB251" s="1">
        <v>0</v>
      </c>
      <c r="AC251" s="1">
        <v>15</v>
      </c>
      <c r="AD251" s="1">
        <v>15</v>
      </c>
      <c r="AE251" s="1">
        <v>1.42</v>
      </c>
      <c r="AF251" s="1">
        <v>0.95</v>
      </c>
      <c r="AG251" s="1">
        <v>1.55</v>
      </c>
      <c r="AH251" s="1">
        <v>1</v>
      </c>
      <c r="AI251" s="1">
        <v>3.8</v>
      </c>
      <c r="AJ251" s="1">
        <v>1</v>
      </c>
      <c r="AK251" s="1">
        <v>0</v>
      </c>
      <c r="AL251" s="1">
        <v>0.95</v>
      </c>
      <c r="AM251" s="1">
        <v>0.95</v>
      </c>
      <c r="AN251" s="1">
        <v>2.8</v>
      </c>
    </row>
    <row r="252" spans="1:40">
      <c r="A252" s="1">
        <v>916</v>
      </c>
      <c r="C252" s="1">
        <v>1.458</v>
      </c>
      <c r="D252" s="1">
        <v>1.458</v>
      </c>
      <c r="E252" s="1">
        <v>1.458</v>
      </c>
      <c r="F252" s="1">
        <v>1.458</v>
      </c>
      <c r="G252" s="1">
        <v>1.64</v>
      </c>
      <c r="H252" s="1">
        <v>1</v>
      </c>
      <c r="I252" s="1">
        <v>1</v>
      </c>
      <c r="J252" s="1">
        <v>1.68</v>
      </c>
      <c r="K252" s="1">
        <v>1.68</v>
      </c>
      <c r="L252" s="1">
        <v>1.74</v>
      </c>
      <c r="M252" s="1">
        <v>1.58</v>
      </c>
      <c r="N252" s="1">
        <v>0.95</v>
      </c>
      <c r="O252" s="1">
        <v>1.1200000000000001</v>
      </c>
      <c r="P252" s="1">
        <v>0.95</v>
      </c>
      <c r="Q252" s="1">
        <v>0.95</v>
      </c>
      <c r="R252" s="1">
        <v>0.95</v>
      </c>
      <c r="S252" s="1">
        <v>0.95</v>
      </c>
      <c r="T252" s="1">
        <v>0.95</v>
      </c>
      <c r="U252" s="1">
        <v>0.95</v>
      </c>
      <c r="V252" s="1">
        <v>1</v>
      </c>
      <c r="W252" s="1">
        <v>0</v>
      </c>
      <c r="X252" s="1">
        <v>16</v>
      </c>
      <c r="Y252" s="1">
        <v>0</v>
      </c>
      <c r="Z252" s="1">
        <v>0</v>
      </c>
      <c r="AA252" s="1">
        <v>0</v>
      </c>
      <c r="AB252" s="1">
        <v>0</v>
      </c>
      <c r="AC252" s="1">
        <v>16</v>
      </c>
      <c r="AD252" s="1">
        <v>16</v>
      </c>
      <c r="AE252" s="1">
        <v>1.458</v>
      </c>
      <c r="AF252" s="1">
        <v>0.95</v>
      </c>
      <c r="AG252" s="1">
        <v>1.58</v>
      </c>
      <c r="AH252" s="1">
        <v>1</v>
      </c>
      <c r="AI252" s="1">
        <v>4</v>
      </c>
      <c r="AJ252" s="1">
        <v>1</v>
      </c>
      <c r="AK252" s="1">
        <v>0</v>
      </c>
      <c r="AL252" s="1">
        <v>0.95</v>
      </c>
      <c r="AM252" s="1">
        <v>0.95</v>
      </c>
      <c r="AN252" s="1">
        <v>2.92</v>
      </c>
    </row>
    <row r="253" spans="1:40">
      <c r="A253" s="1">
        <v>917</v>
      </c>
      <c r="C253" s="1">
        <v>1.496</v>
      </c>
      <c r="D253" s="1">
        <v>1.496</v>
      </c>
      <c r="E253" s="1">
        <v>1.496</v>
      </c>
      <c r="F253" s="1">
        <v>1.496</v>
      </c>
      <c r="G253" s="1">
        <v>1.68</v>
      </c>
      <c r="H253" s="1">
        <v>1</v>
      </c>
      <c r="I253" s="1">
        <v>1</v>
      </c>
      <c r="J253" s="1">
        <v>1.71</v>
      </c>
      <c r="K253" s="1">
        <v>1.71</v>
      </c>
      <c r="L253" s="1">
        <v>1.78</v>
      </c>
      <c r="M253" s="1">
        <v>1.61</v>
      </c>
      <c r="N253" s="1">
        <v>0.95</v>
      </c>
      <c r="O253" s="1">
        <v>1.1200000000000001</v>
      </c>
      <c r="P253" s="1">
        <v>0.95</v>
      </c>
      <c r="Q253" s="1">
        <v>0.95</v>
      </c>
      <c r="R253" s="1">
        <v>0.95</v>
      </c>
      <c r="S253" s="1">
        <v>0.95</v>
      </c>
      <c r="T253" s="1">
        <v>0.95</v>
      </c>
      <c r="U253" s="1">
        <v>0.95</v>
      </c>
      <c r="V253" s="1">
        <v>1</v>
      </c>
      <c r="W253" s="1">
        <v>0</v>
      </c>
      <c r="X253" s="1">
        <v>17</v>
      </c>
      <c r="Y253" s="1">
        <v>0</v>
      </c>
      <c r="Z253" s="1">
        <v>0</v>
      </c>
      <c r="AA253" s="1">
        <v>0</v>
      </c>
      <c r="AB253" s="1">
        <v>0</v>
      </c>
      <c r="AC253" s="1">
        <v>17</v>
      </c>
      <c r="AD253" s="1">
        <v>17</v>
      </c>
      <c r="AE253" s="1">
        <v>1.496</v>
      </c>
      <c r="AF253" s="1">
        <v>0.95</v>
      </c>
      <c r="AG253" s="1">
        <v>1.61</v>
      </c>
      <c r="AH253" s="1">
        <v>1</v>
      </c>
      <c r="AI253" s="1">
        <v>4.2</v>
      </c>
      <c r="AJ253" s="1">
        <v>1</v>
      </c>
      <c r="AK253" s="1">
        <v>0</v>
      </c>
      <c r="AL253" s="1">
        <v>0.95</v>
      </c>
      <c r="AM253" s="1">
        <v>0.95</v>
      </c>
      <c r="AN253" s="1">
        <v>3.04</v>
      </c>
    </row>
    <row r="254" spans="1:40">
      <c r="A254" s="1">
        <v>918</v>
      </c>
      <c r="C254" s="1">
        <v>1.534</v>
      </c>
      <c r="D254" s="1">
        <v>1.534</v>
      </c>
      <c r="E254" s="1">
        <v>1.534</v>
      </c>
      <c r="F254" s="1">
        <v>1.534</v>
      </c>
      <c r="G254" s="1">
        <v>1.72</v>
      </c>
      <c r="H254" s="1">
        <v>1</v>
      </c>
      <c r="I254" s="1">
        <v>1</v>
      </c>
      <c r="J254" s="1">
        <v>1.74</v>
      </c>
      <c r="K254" s="1">
        <v>1.74</v>
      </c>
      <c r="L254" s="1">
        <v>1.82</v>
      </c>
      <c r="M254" s="1">
        <v>1.64</v>
      </c>
      <c r="N254" s="1">
        <v>0.95</v>
      </c>
      <c r="O254" s="1">
        <v>1.1200000000000001</v>
      </c>
      <c r="P254" s="1">
        <v>0.95</v>
      </c>
      <c r="Q254" s="1">
        <v>0.95</v>
      </c>
      <c r="R254" s="1">
        <v>0.95</v>
      </c>
      <c r="S254" s="1">
        <v>0.95</v>
      </c>
      <c r="T254" s="1">
        <v>0.95</v>
      </c>
      <c r="U254" s="1">
        <v>0.95</v>
      </c>
      <c r="V254" s="1">
        <v>1</v>
      </c>
      <c r="W254" s="1">
        <v>0</v>
      </c>
      <c r="X254" s="1">
        <v>18</v>
      </c>
      <c r="Y254" s="1">
        <v>0</v>
      </c>
      <c r="Z254" s="1">
        <v>0</v>
      </c>
      <c r="AA254" s="1">
        <v>0</v>
      </c>
      <c r="AB254" s="1">
        <v>0</v>
      </c>
      <c r="AC254" s="1">
        <v>18</v>
      </c>
      <c r="AD254" s="1">
        <v>18</v>
      </c>
      <c r="AE254" s="1">
        <v>1.534</v>
      </c>
      <c r="AF254" s="1">
        <v>0.95</v>
      </c>
      <c r="AG254" s="1">
        <v>1.64</v>
      </c>
      <c r="AH254" s="1">
        <v>1</v>
      </c>
      <c r="AI254" s="1">
        <v>4.4000000000000004</v>
      </c>
      <c r="AJ254" s="1">
        <v>1</v>
      </c>
      <c r="AK254" s="1">
        <v>0</v>
      </c>
      <c r="AL254" s="1">
        <v>0.95</v>
      </c>
      <c r="AM254" s="1">
        <v>0.95</v>
      </c>
      <c r="AN254" s="1">
        <v>3.16</v>
      </c>
    </row>
    <row r="255" spans="1:40">
      <c r="A255" s="1">
        <v>919</v>
      </c>
      <c r="C255" s="1">
        <v>1.5720000000000001</v>
      </c>
      <c r="D255" s="1">
        <v>1.5720000000000001</v>
      </c>
      <c r="E255" s="1">
        <v>1.5720000000000001</v>
      </c>
      <c r="F255" s="1">
        <v>1.5720000000000001</v>
      </c>
      <c r="G255" s="1">
        <v>1.76</v>
      </c>
      <c r="H255" s="1">
        <v>1</v>
      </c>
      <c r="I255" s="1">
        <v>1</v>
      </c>
      <c r="J255" s="1">
        <v>1.77</v>
      </c>
      <c r="K255" s="1">
        <v>1.77</v>
      </c>
      <c r="L255" s="1">
        <v>1.86</v>
      </c>
      <c r="M255" s="1">
        <v>1.67</v>
      </c>
      <c r="N255" s="1">
        <v>0.95</v>
      </c>
      <c r="O255" s="1">
        <v>1.1299999999999999</v>
      </c>
      <c r="P255" s="1">
        <v>0.95</v>
      </c>
      <c r="Q255" s="1">
        <v>0.95</v>
      </c>
      <c r="R255" s="1">
        <v>0.95</v>
      </c>
      <c r="S255" s="1">
        <v>0.95</v>
      </c>
      <c r="T255" s="1">
        <v>0.95</v>
      </c>
      <c r="U255" s="1">
        <v>0.95</v>
      </c>
      <c r="V255" s="1">
        <v>1</v>
      </c>
      <c r="W255" s="1">
        <v>0</v>
      </c>
      <c r="X255" s="1">
        <v>19</v>
      </c>
      <c r="Y255" s="1">
        <v>0</v>
      </c>
      <c r="Z255" s="1">
        <v>0</v>
      </c>
      <c r="AA255" s="1">
        <v>0</v>
      </c>
      <c r="AB255" s="1">
        <v>0</v>
      </c>
      <c r="AC255" s="1">
        <v>19</v>
      </c>
      <c r="AD255" s="1">
        <v>19</v>
      </c>
      <c r="AE255" s="1">
        <v>1.5720000000000001</v>
      </c>
      <c r="AF255" s="1">
        <v>0.95</v>
      </c>
      <c r="AG255" s="1">
        <v>1.67</v>
      </c>
      <c r="AH255" s="1">
        <v>1</v>
      </c>
      <c r="AI255" s="1">
        <v>4.5999999999999996</v>
      </c>
      <c r="AJ255" s="1">
        <v>1</v>
      </c>
      <c r="AK255" s="1">
        <v>0</v>
      </c>
      <c r="AL255" s="1">
        <v>0.95</v>
      </c>
      <c r="AM255" s="1">
        <v>0.95</v>
      </c>
      <c r="AN255" s="1">
        <v>3.28</v>
      </c>
    </row>
    <row r="256" spans="1:40">
      <c r="A256" s="1">
        <v>920</v>
      </c>
      <c r="C256" s="1">
        <v>1.61</v>
      </c>
      <c r="D256" s="1">
        <v>1.61</v>
      </c>
      <c r="E256" s="1">
        <v>1.61</v>
      </c>
      <c r="F256" s="1">
        <v>1.61</v>
      </c>
      <c r="G256" s="1">
        <v>1.8</v>
      </c>
      <c r="H256" s="1">
        <v>1</v>
      </c>
      <c r="I256" s="1">
        <v>1</v>
      </c>
      <c r="J256" s="1">
        <v>1.8</v>
      </c>
      <c r="K256" s="1">
        <v>1.8</v>
      </c>
      <c r="L256" s="1">
        <v>1.9</v>
      </c>
      <c r="M256" s="1">
        <v>1.7</v>
      </c>
      <c r="N256" s="1">
        <v>0.95</v>
      </c>
      <c r="O256" s="1">
        <v>1.1299999999999999</v>
      </c>
      <c r="P256" s="1">
        <v>0.95</v>
      </c>
      <c r="Q256" s="1">
        <v>0.95</v>
      </c>
      <c r="R256" s="1">
        <v>0.95</v>
      </c>
      <c r="S256" s="1">
        <v>0.95</v>
      </c>
      <c r="T256" s="1">
        <v>0.95</v>
      </c>
      <c r="U256" s="1">
        <v>0.95</v>
      </c>
      <c r="V256" s="1">
        <v>1</v>
      </c>
      <c r="W256" s="1">
        <v>0</v>
      </c>
      <c r="X256" s="1">
        <v>20</v>
      </c>
      <c r="Y256" s="1">
        <v>0</v>
      </c>
      <c r="Z256" s="1">
        <v>0</v>
      </c>
      <c r="AA256" s="1">
        <v>0</v>
      </c>
      <c r="AB256" s="1">
        <v>0</v>
      </c>
      <c r="AC256" s="1">
        <v>20</v>
      </c>
      <c r="AD256" s="1">
        <v>20</v>
      </c>
      <c r="AE256" s="1">
        <v>1.61</v>
      </c>
      <c r="AF256" s="1">
        <v>0.95</v>
      </c>
      <c r="AG256" s="1">
        <v>1.7</v>
      </c>
      <c r="AH256" s="1">
        <v>1</v>
      </c>
      <c r="AI256" s="1">
        <v>4.8</v>
      </c>
      <c r="AJ256" s="1">
        <v>1</v>
      </c>
      <c r="AK256" s="1">
        <v>0</v>
      </c>
      <c r="AL256" s="1">
        <v>0.95</v>
      </c>
      <c r="AM256" s="1">
        <v>0.95</v>
      </c>
      <c r="AN256" s="1">
        <v>3.4</v>
      </c>
    </row>
    <row r="257" spans="1:40">
      <c r="A257" s="1">
        <v>921</v>
      </c>
      <c r="C257" s="1">
        <v>1.6479999999999999</v>
      </c>
      <c r="D257" s="1">
        <v>1.6479999999999999</v>
      </c>
      <c r="E257" s="1">
        <v>1.6479999999999999</v>
      </c>
      <c r="F257" s="1">
        <v>1.6479999999999999</v>
      </c>
      <c r="G257" s="1">
        <v>1.84</v>
      </c>
      <c r="H257" s="1">
        <v>1</v>
      </c>
      <c r="I257" s="1">
        <v>1</v>
      </c>
      <c r="J257" s="1">
        <v>1.82</v>
      </c>
      <c r="K257" s="1">
        <v>1.82</v>
      </c>
      <c r="L257" s="1">
        <v>1.92</v>
      </c>
      <c r="M257" s="1">
        <v>1.72</v>
      </c>
      <c r="N257" s="1">
        <v>0.95</v>
      </c>
      <c r="O257" s="1">
        <v>1.1299999999999999</v>
      </c>
      <c r="P257" s="1">
        <v>0.95</v>
      </c>
      <c r="Q257" s="1">
        <v>0.95</v>
      </c>
      <c r="R257" s="1">
        <v>0.95</v>
      </c>
      <c r="S257" s="1">
        <v>0.95</v>
      </c>
      <c r="T257" s="1">
        <v>0.95</v>
      </c>
      <c r="U257" s="1">
        <v>0.95</v>
      </c>
      <c r="V257" s="1">
        <v>1</v>
      </c>
      <c r="W257" s="1">
        <v>0</v>
      </c>
      <c r="X257" s="1">
        <v>21</v>
      </c>
      <c r="Y257" s="1">
        <v>0</v>
      </c>
      <c r="Z257" s="1">
        <v>0</v>
      </c>
      <c r="AA257" s="1">
        <v>0</v>
      </c>
      <c r="AB257" s="1">
        <v>0</v>
      </c>
      <c r="AC257" s="1">
        <v>21</v>
      </c>
      <c r="AD257" s="1">
        <v>21</v>
      </c>
      <c r="AE257" s="1">
        <v>1.6479999999999999</v>
      </c>
      <c r="AF257" s="1">
        <v>0.95</v>
      </c>
      <c r="AG257" s="1">
        <v>1.72</v>
      </c>
      <c r="AH257" s="1">
        <v>1</v>
      </c>
      <c r="AI257" s="1">
        <v>5</v>
      </c>
      <c r="AJ257" s="1">
        <v>1</v>
      </c>
      <c r="AK257" s="1">
        <v>0</v>
      </c>
      <c r="AL257" s="1">
        <v>0.95</v>
      </c>
      <c r="AM257" s="1">
        <v>0.95</v>
      </c>
      <c r="AN257" s="1">
        <v>3.52</v>
      </c>
    </row>
    <row r="258" spans="1:40">
      <c r="A258" s="1">
        <v>922</v>
      </c>
      <c r="C258" s="1">
        <v>1.6859999999999999</v>
      </c>
      <c r="D258" s="1">
        <v>1.6859999999999999</v>
      </c>
      <c r="E258" s="1">
        <v>1.6859999999999999</v>
      </c>
      <c r="F258" s="1">
        <v>1.6859999999999999</v>
      </c>
      <c r="G258" s="1">
        <v>1.88</v>
      </c>
      <c r="H258" s="1">
        <v>1</v>
      </c>
      <c r="I258" s="1">
        <v>1</v>
      </c>
      <c r="J258" s="1">
        <v>1.84</v>
      </c>
      <c r="K258" s="1">
        <v>1.84</v>
      </c>
      <c r="L258" s="1">
        <v>1.94</v>
      </c>
      <c r="M258" s="1">
        <v>1.74</v>
      </c>
      <c r="N258" s="1">
        <v>0.95</v>
      </c>
      <c r="O258" s="1">
        <v>1.1399999999999999</v>
      </c>
      <c r="P258" s="1">
        <v>0.95</v>
      </c>
      <c r="Q258" s="1">
        <v>0.95</v>
      </c>
      <c r="R258" s="1">
        <v>0.95</v>
      </c>
      <c r="S258" s="1">
        <v>0.95</v>
      </c>
      <c r="T258" s="1">
        <v>0.95</v>
      </c>
      <c r="U258" s="1">
        <v>0.95</v>
      </c>
      <c r="V258" s="1">
        <v>1</v>
      </c>
      <c r="W258" s="1">
        <v>0</v>
      </c>
      <c r="X258" s="1">
        <v>22</v>
      </c>
      <c r="Y258" s="1">
        <v>0</v>
      </c>
      <c r="Z258" s="1">
        <v>0</v>
      </c>
      <c r="AA258" s="1">
        <v>0</v>
      </c>
      <c r="AB258" s="1">
        <v>0</v>
      </c>
      <c r="AC258" s="1">
        <v>22</v>
      </c>
      <c r="AD258" s="1">
        <v>22</v>
      </c>
      <c r="AE258" s="1">
        <v>1.6859999999999999</v>
      </c>
      <c r="AF258" s="1">
        <v>0.95</v>
      </c>
      <c r="AG258" s="1">
        <v>1.74</v>
      </c>
      <c r="AH258" s="1">
        <v>1</v>
      </c>
      <c r="AI258" s="1">
        <v>5.2</v>
      </c>
      <c r="AJ258" s="1">
        <v>1</v>
      </c>
      <c r="AK258" s="1">
        <v>0</v>
      </c>
      <c r="AL258" s="1">
        <v>0.95</v>
      </c>
      <c r="AM258" s="1">
        <v>0.95</v>
      </c>
      <c r="AN258" s="1">
        <v>3.64</v>
      </c>
    </row>
    <row r="259" spans="1:40">
      <c r="A259" s="1">
        <v>923</v>
      </c>
      <c r="C259" s="1">
        <v>1.724</v>
      </c>
      <c r="D259" s="1">
        <v>1.724</v>
      </c>
      <c r="E259" s="1">
        <v>1.724</v>
      </c>
      <c r="F259" s="1">
        <v>1.724</v>
      </c>
      <c r="G259" s="1">
        <v>1.92</v>
      </c>
      <c r="H259" s="1">
        <v>1</v>
      </c>
      <c r="I259" s="1">
        <v>1</v>
      </c>
      <c r="J259" s="1">
        <v>1.86</v>
      </c>
      <c r="K259" s="1">
        <v>1.86</v>
      </c>
      <c r="L259" s="1">
        <v>1.96</v>
      </c>
      <c r="M259" s="1">
        <v>1.76</v>
      </c>
      <c r="N259" s="1">
        <v>0.95</v>
      </c>
      <c r="O259" s="1">
        <v>1.1399999999999999</v>
      </c>
      <c r="P259" s="1">
        <v>0.95</v>
      </c>
      <c r="Q259" s="1">
        <v>0.95</v>
      </c>
      <c r="R259" s="1">
        <v>0.95</v>
      </c>
      <c r="S259" s="1">
        <v>0.95</v>
      </c>
      <c r="T259" s="1">
        <v>0.95</v>
      </c>
      <c r="U259" s="1">
        <v>0.95</v>
      </c>
      <c r="V259" s="1">
        <v>1</v>
      </c>
      <c r="W259" s="1">
        <v>0</v>
      </c>
      <c r="X259" s="1">
        <v>23</v>
      </c>
      <c r="Y259" s="1">
        <v>0</v>
      </c>
      <c r="Z259" s="1">
        <v>0</v>
      </c>
      <c r="AA259" s="1">
        <v>0</v>
      </c>
      <c r="AB259" s="1">
        <v>0</v>
      </c>
      <c r="AC259" s="1">
        <v>23</v>
      </c>
      <c r="AD259" s="1">
        <v>23</v>
      </c>
      <c r="AE259" s="1">
        <v>1.724</v>
      </c>
      <c r="AF259" s="1">
        <v>0.95</v>
      </c>
      <c r="AG259" s="1">
        <v>1.76</v>
      </c>
      <c r="AH259" s="1">
        <v>1</v>
      </c>
      <c r="AI259" s="1">
        <v>5.4</v>
      </c>
      <c r="AJ259" s="1">
        <v>1</v>
      </c>
      <c r="AK259" s="1">
        <v>0</v>
      </c>
      <c r="AL259" s="1">
        <v>0.95</v>
      </c>
      <c r="AM259" s="1">
        <v>0.95</v>
      </c>
      <c r="AN259" s="1">
        <v>3.76</v>
      </c>
    </row>
    <row r="260" spans="1:40">
      <c r="A260" s="1">
        <v>924</v>
      </c>
      <c r="C260" s="1">
        <v>1.762</v>
      </c>
      <c r="D260" s="1">
        <v>1.762</v>
      </c>
      <c r="E260" s="1">
        <v>1.762</v>
      </c>
      <c r="F260" s="1">
        <v>1.762</v>
      </c>
      <c r="G260" s="1">
        <v>1.96</v>
      </c>
      <c r="H260" s="1">
        <v>1</v>
      </c>
      <c r="I260" s="1">
        <v>1</v>
      </c>
      <c r="J260" s="1">
        <v>1.88</v>
      </c>
      <c r="K260" s="1">
        <v>1.88</v>
      </c>
      <c r="L260" s="1">
        <v>1.98</v>
      </c>
      <c r="M260" s="1">
        <v>1.78</v>
      </c>
      <c r="N260" s="1">
        <v>0.95</v>
      </c>
      <c r="O260" s="1">
        <v>1.1399999999999999</v>
      </c>
      <c r="P260" s="1">
        <v>0.95</v>
      </c>
      <c r="Q260" s="1">
        <v>0.95</v>
      </c>
      <c r="R260" s="1">
        <v>0.95</v>
      </c>
      <c r="S260" s="1">
        <v>0.95</v>
      </c>
      <c r="T260" s="1">
        <v>0.95</v>
      </c>
      <c r="U260" s="1">
        <v>0.95</v>
      </c>
      <c r="V260" s="1">
        <v>1</v>
      </c>
      <c r="W260" s="1">
        <v>0</v>
      </c>
      <c r="X260" s="1">
        <v>24</v>
      </c>
      <c r="Y260" s="1">
        <v>0</v>
      </c>
      <c r="Z260" s="1">
        <v>0</v>
      </c>
      <c r="AA260" s="1">
        <v>0</v>
      </c>
      <c r="AB260" s="1">
        <v>0</v>
      </c>
      <c r="AC260" s="1">
        <v>24</v>
      </c>
      <c r="AD260" s="1">
        <v>24</v>
      </c>
      <c r="AE260" s="1">
        <v>1.762</v>
      </c>
      <c r="AF260" s="1">
        <v>0.95</v>
      </c>
      <c r="AG260" s="1">
        <v>1.78</v>
      </c>
      <c r="AH260" s="1">
        <v>1</v>
      </c>
      <c r="AI260" s="1">
        <v>5.6</v>
      </c>
      <c r="AJ260" s="1">
        <v>1</v>
      </c>
      <c r="AK260" s="1">
        <v>0</v>
      </c>
      <c r="AL260" s="1">
        <v>0.95</v>
      </c>
      <c r="AM260" s="1">
        <v>0.95</v>
      </c>
      <c r="AN260" s="1">
        <v>3.88</v>
      </c>
    </row>
    <row r="261" spans="1:40">
      <c r="A261" s="1">
        <v>925</v>
      </c>
      <c r="C261" s="1">
        <v>1.8</v>
      </c>
      <c r="D261" s="1">
        <v>1.8</v>
      </c>
      <c r="E261" s="1">
        <v>1.8</v>
      </c>
      <c r="F261" s="1">
        <v>1.8</v>
      </c>
      <c r="G261" s="1">
        <v>2</v>
      </c>
      <c r="H261" s="1">
        <v>1</v>
      </c>
      <c r="I261" s="1">
        <v>1</v>
      </c>
      <c r="J261" s="1">
        <v>1.9</v>
      </c>
      <c r="K261" s="1">
        <v>1.9</v>
      </c>
      <c r="L261" s="1">
        <v>2</v>
      </c>
      <c r="M261" s="1">
        <v>1.8</v>
      </c>
      <c r="N261" s="1">
        <v>0.95</v>
      </c>
      <c r="O261" s="1">
        <v>1.1499999999999999</v>
      </c>
      <c r="P261" s="1">
        <v>0.95</v>
      </c>
      <c r="Q261" s="1">
        <v>0.95</v>
      </c>
      <c r="R261" s="1">
        <v>0.95</v>
      </c>
      <c r="S261" s="1">
        <v>0.95</v>
      </c>
      <c r="T261" s="1">
        <v>0.95</v>
      </c>
      <c r="U261" s="1">
        <v>0.95</v>
      </c>
      <c r="V261" s="1">
        <v>1</v>
      </c>
      <c r="W261" s="1">
        <v>0</v>
      </c>
      <c r="X261" s="1">
        <v>25</v>
      </c>
      <c r="Y261" s="1">
        <v>0</v>
      </c>
      <c r="Z261" s="1">
        <v>0</v>
      </c>
      <c r="AA261" s="1">
        <v>0</v>
      </c>
      <c r="AB261" s="1">
        <v>0</v>
      </c>
      <c r="AC261" s="1">
        <v>25</v>
      </c>
      <c r="AD261" s="1">
        <v>25</v>
      </c>
      <c r="AE261" s="1">
        <v>1.8</v>
      </c>
      <c r="AF261" s="1">
        <v>0.95</v>
      </c>
      <c r="AG261" s="1">
        <v>1.8</v>
      </c>
      <c r="AH261" s="1">
        <v>1</v>
      </c>
      <c r="AI261" s="1">
        <v>5.8</v>
      </c>
      <c r="AJ261" s="1">
        <v>1</v>
      </c>
      <c r="AK261" s="1">
        <v>0</v>
      </c>
      <c r="AL261" s="1">
        <v>0.95</v>
      </c>
      <c r="AM261" s="1">
        <v>0.95</v>
      </c>
      <c r="AN261" s="1">
        <v>4</v>
      </c>
    </row>
    <row r="262" spans="1:40">
      <c r="A262" s="1">
        <v>1000</v>
      </c>
      <c r="C262" s="1">
        <v>0.85</v>
      </c>
      <c r="D262" s="1">
        <v>0.85</v>
      </c>
      <c r="E262" s="1">
        <v>0.85</v>
      </c>
      <c r="F262" s="1">
        <v>0.85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0.95</v>
      </c>
      <c r="O262" s="1">
        <v>0.95</v>
      </c>
      <c r="P262" s="1">
        <v>0.95</v>
      </c>
      <c r="Q262" s="1">
        <v>0.95</v>
      </c>
      <c r="R262" s="1">
        <v>1</v>
      </c>
      <c r="S262" s="1">
        <v>1</v>
      </c>
      <c r="T262" s="1">
        <v>0.95</v>
      </c>
      <c r="U262" s="1">
        <v>0.95</v>
      </c>
      <c r="V262" s="1">
        <v>1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0.85</v>
      </c>
      <c r="AF262" s="1">
        <v>0.95</v>
      </c>
      <c r="AG262" s="1">
        <v>1</v>
      </c>
      <c r="AH262" s="1">
        <v>0.95</v>
      </c>
      <c r="AI262" s="1">
        <v>1</v>
      </c>
      <c r="AJ262" s="1">
        <v>1</v>
      </c>
      <c r="AK262" s="1">
        <v>0</v>
      </c>
      <c r="AL262" s="1">
        <v>0.95</v>
      </c>
      <c r="AM262" s="1">
        <v>0.95</v>
      </c>
      <c r="AN262" s="1">
        <v>1</v>
      </c>
    </row>
    <row r="263" spans="1:40">
      <c r="A263" s="1">
        <v>1001</v>
      </c>
      <c r="C263" s="1">
        <v>0.90200000000000002</v>
      </c>
      <c r="D263" s="1">
        <v>0.90200000000000002</v>
      </c>
      <c r="E263" s="1">
        <v>0.90200000000000002</v>
      </c>
      <c r="F263" s="1">
        <v>0.90200000000000002</v>
      </c>
      <c r="G263" s="1">
        <v>1.04</v>
      </c>
      <c r="H263" s="1">
        <v>1</v>
      </c>
      <c r="I263" s="1">
        <v>1</v>
      </c>
      <c r="J263" s="1">
        <v>1.04</v>
      </c>
      <c r="K263" s="1">
        <v>1.04</v>
      </c>
      <c r="L263" s="1">
        <v>1.04</v>
      </c>
      <c r="M263" s="1">
        <v>1.04</v>
      </c>
      <c r="N263" s="1">
        <v>0.95</v>
      </c>
      <c r="O263" s="1">
        <v>0.95</v>
      </c>
      <c r="P263" s="1">
        <v>0.95</v>
      </c>
      <c r="Q263" s="1">
        <v>0.95</v>
      </c>
      <c r="R263" s="1">
        <v>1</v>
      </c>
      <c r="S263" s="1">
        <v>1</v>
      </c>
      <c r="T263" s="1">
        <v>0.95</v>
      </c>
      <c r="U263" s="1">
        <v>0.95</v>
      </c>
      <c r="V263" s="1">
        <v>1</v>
      </c>
      <c r="W263" s="1">
        <v>0</v>
      </c>
      <c r="X263" s="1">
        <v>1</v>
      </c>
      <c r="Y263" s="1">
        <v>0</v>
      </c>
      <c r="Z263" s="1">
        <v>0</v>
      </c>
      <c r="AA263" s="1">
        <v>0</v>
      </c>
      <c r="AB263" s="1">
        <v>0</v>
      </c>
      <c r="AC263" s="1">
        <v>1</v>
      </c>
      <c r="AD263" s="1">
        <v>1</v>
      </c>
      <c r="AE263" s="1">
        <v>0.90200000000000002</v>
      </c>
      <c r="AF263" s="1">
        <v>0.95</v>
      </c>
      <c r="AG263" s="1">
        <v>1.03</v>
      </c>
      <c r="AH263" s="1">
        <v>0.95</v>
      </c>
      <c r="AI263" s="1">
        <v>1</v>
      </c>
      <c r="AJ263" s="1">
        <v>1</v>
      </c>
      <c r="AK263" s="1">
        <v>0</v>
      </c>
      <c r="AL263" s="1">
        <v>0.95</v>
      </c>
      <c r="AM263" s="1">
        <v>0.95</v>
      </c>
      <c r="AN263" s="1">
        <v>1.1200000000000001</v>
      </c>
    </row>
    <row r="264" spans="1:40">
      <c r="A264" s="1">
        <v>1002</v>
      </c>
      <c r="C264" s="1">
        <v>0.95399999999999996</v>
      </c>
      <c r="D264" s="1">
        <v>0.95399999999999996</v>
      </c>
      <c r="E264" s="1">
        <v>0.95399999999999996</v>
      </c>
      <c r="F264" s="1">
        <v>0.95399999999999996</v>
      </c>
      <c r="G264" s="1">
        <v>1.08</v>
      </c>
      <c r="H264" s="1">
        <v>1</v>
      </c>
      <c r="I264" s="1">
        <v>1</v>
      </c>
      <c r="J264" s="1">
        <v>1.08</v>
      </c>
      <c r="K264" s="1">
        <v>1.08</v>
      </c>
      <c r="L264" s="1">
        <v>1.08</v>
      </c>
      <c r="M264" s="1">
        <v>1.08</v>
      </c>
      <c r="N264" s="1">
        <v>0.95</v>
      </c>
      <c r="O264" s="1">
        <v>0.95</v>
      </c>
      <c r="P264" s="1">
        <v>0.95</v>
      </c>
      <c r="Q264" s="1">
        <v>0.95</v>
      </c>
      <c r="R264" s="1">
        <v>1</v>
      </c>
      <c r="S264" s="1">
        <v>1</v>
      </c>
      <c r="T264" s="1">
        <v>0.95</v>
      </c>
      <c r="U264" s="1">
        <v>0.95</v>
      </c>
      <c r="V264" s="1">
        <v>1</v>
      </c>
      <c r="W264" s="1">
        <v>0</v>
      </c>
      <c r="X264" s="1">
        <v>2</v>
      </c>
      <c r="Y264" s="1">
        <v>0</v>
      </c>
      <c r="Z264" s="1">
        <v>0</v>
      </c>
      <c r="AA264" s="1">
        <v>0</v>
      </c>
      <c r="AB264" s="1">
        <v>0</v>
      </c>
      <c r="AC264" s="1">
        <v>2</v>
      </c>
      <c r="AD264" s="1">
        <v>2</v>
      </c>
      <c r="AE264" s="1">
        <v>0.95399999999999996</v>
      </c>
      <c r="AF264" s="1">
        <v>0.95</v>
      </c>
      <c r="AG264" s="1">
        <v>1.06</v>
      </c>
      <c r="AH264" s="1">
        <v>0.95</v>
      </c>
      <c r="AI264" s="1">
        <v>1.2</v>
      </c>
      <c r="AJ264" s="1">
        <v>1</v>
      </c>
      <c r="AK264" s="1">
        <v>0</v>
      </c>
      <c r="AL264" s="1">
        <v>0.95</v>
      </c>
      <c r="AM264" s="1">
        <v>0.95</v>
      </c>
      <c r="AN264" s="1">
        <v>1.24</v>
      </c>
    </row>
    <row r="265" spans="1:40">
      <c r="A265" s="1">
        <v>1003</v>
      </c>
      <c r="C265" s="1">
        <v>1.006</v>
      </c>
      <c r="D265" s="1">
        <v>1.006</v>
      </c>
      <c r="E265" s="1">
        <v>1.006</v>
      </c>
      <c r="F265" s="1">
        <v>1.006</v>
      </c>
      <c r="G265" s="1">
        <v>1.1200000000000001</v>
      </c>
      <c r="H265" s="1">
        <v>1</v>
      </c>
      <c r="I265" s="1">
        <v>1</v>
      </c>
      <c r="J265" s="1">
        <v>1.1200000000000001</v>
      </c>
      <c r="K265" s="1">
        <v>1.1200000000000001</v>
      </c>
      <c r="L265" s="1">
        <v>1.1200000000000001</v>
      </c>
      <c r="M265" s="1">
        <v>1.1200000000000001</v>
      </c>
      <c r="N265" s="1">
        <v>0.95</v>
      </c>
      <c r="O265" s="1">
        <v>0.95</v>
      </c>
      <c r="P265" s="1">
        <v>0.95</v>
      </c>
      <c r="Q265" s="1">
        <v>0.95</v>
      </c>
      <c r="R265" s="1">
        <v>1</v>
      </c>
      <c r="S265" s="1">
        <v>1</v>
      </c>
      <c r="T265" s="1">
        <v>0.95</v>
      </c>
      <c r="U265" s="1">
        <v>0.95</v>
      </c>
      <c r="V265" s="1">
        <v>1</v>
      </c>
      <c r="W265" s="1">
        <v>0</v>
      </c>
      <c r="X265" s="1">
        <v>3</v>
      </c>
      <c r="Y265" s="1">
        <v>0</v>
      </c>
      <c r="Z265" s="1">
        <v>0</v>
      </c>
      <c r="AA265" s="1">
        <v>0</v>
      </c>
      <c r="AB265" s="1">
        <v>0</v>
      </c>
      <c r="AC265" s="1">
        <v>3</v>
      </c>
      <c r="AD265" s="1">
        <v>3</v>
      </c>
      <c r="AE265" s="1">
        <v>1.006</v>
      </c>
      <c r="AF265" s="1">
        <v>0.95</v>
      </c>
      <c r="AG265" s="1">
        <v>1.0900000000000001</v>
      </c>
      <c r="AH265" s="1">
        <v>0.95</v>
      </c>
      <c r="AI265" s="1">
        <v>1.4</v>
      </c>
      <c r="AJ265" s="1">
        <v>1</v>
      </c>
      <c r="AK265" s="1">
        <v>0</v>
      </c>
      <c r="AL265" s="1">
        <v>0.95</v>
      </c>
      <c r="AM265" s="1">
        <v>0.95</v>
      </c>
      <c r="AN265" s="1">
        <v>1.36</v>
      </c>
    </row>
    <row r="266" spans="1:40">
      <c r="A266" s="1">
        <v>1004</v>
      </c>
      <c r="C266" s="1">
        <v>1.0580000000000001</v>
      </c>
      <c r="D266" s="1">
        <v>1.0580000000000001</v>
      </c>
      <c r="E266" s="1">
        <v>1.0580000000000001</v>
      </c>
      <c r="F266" s="1">
        <v>1.0580000000000001</v>
      </c>
      <c r="G266" s="1">
        <v>1.1599999999999999</v>
      </c>
      <c r="H266" s="1">
        <v>1</v>
      </c>
      <c r="I266" s="1">
        <v>1</v>
      </c>
      <c r="J266" s="1">
        <v>1.1599999999999999</v>
      </c>
      <c r="K266" s="1">
        <v>1.1599999999999999</v>
      </c>
      <c r="L266" s="1">
        <v>1.1599999999999999</v>
      </c>
      <c r="M266" s="1">
        <v>1.1599999999999999</v>
      </c>
      <c r="N266" s="1">
        <v>0.95</v>
      </c>
      <c r="O266" s="1">
        <v>0.95</v>
      </c>
      <c r="P266" s="1">
        <v>0.95</v>
      </c>
      <c r="Q266" s="1">
        <v>0.95</v>
      </c>
      <c r="R266" s="1">
        <v>1</v>
      </c>
      <c r="S266" s="1">
        <v>1</v>
      </c>
      <c r="T266" s="1">
        <v>0.95</v>
      </c>
      <c r="U266" s="1">
        <v>0.95</v>
      </c>
      <c r="V266" s="1">
        <v>1</v>
      </c>
      <c r="W266" s="1">
        <v>0</v>
      </c>
      <c r="X266" s="1">
        <v>4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4</v>
      </c>
      <c r="AE266" s="1">
        <v>1.0580000000000001</v>
      </c>
      <c r="AF266" s="1">
        <v>0.95</v>
      </c>
      <c r="AG266" s="1">
        <v>1.1200000000000001</v>
      </c>
      <c r="AH266" s="1">
        <v>0.95</v>
      </c>
      <c r="AI266" s="1">
        <v>1.6</v>
      </c>
      <c r="AJ266" s="1">
        <v>1</v>
      </c>
      <c r="AK266" s="1">
        <v>0</v>
      </c>
      <c r="AL266" s="1">
        <v>0.95</v>
      </c>
      <c r="AM266" s="1">
        <v>0.95</v>
      </c>
      <c r="AN266" s="1">
        <v>1.48</v>
      </c>
    </row>
    <row r="267" spans="1:40">
      <c r="A267" s="1">
        <v>1005</v>
      </c>
      <c r="C267" s="1">
        <v>1.1100000000000001</v>
      </c>
      <c r="D267" s="1">
        <v>1.1100000000000001</v>
      </c>
      <c r="E267" s="1">
        <v>1.1100000000000001</v>
      </c>
      <c r="F267" s="1">
        <v>1.1100000000000001</v>
      </c>
      <c r="G267" s="1">
        <v>1.2</v>
      </c>
      <c r="H267" s="1">
        <v>1</v>
      </c>
      <c r="I267" s="1">
        <v>1</v>
      </c>
      <c r="J267" s="1">
        <v>1.2</v>
      </c>
      <c r="K267" s="1">
        <v>1.2</v>
      </c>
      <c r="L267" s="1">
        <v>1.2</v>
      </c>
      <c r="M267" s="1">
        <v>1.2</v>
      </c>
      <c r="N267" s="1">
        <v>0.95</v>
      </c>
      <c r="O267" s="1">
        <v>0.95</v>
      </c>
      <c r="P267" s="1">
        <v>0.95</v>
      </c>
      <c r="Q267" s="1">
        <v>0.95</v>
      </c>
      <c r="R267" s="1">
        <v>1</v>
      </c>
      <c r="S267" s="1">
        <v>1</v>
      </c>
      <c r="T267" s="1">
        <v>0.95</v>
      </c>
      <c r="U267" s="1">
        <v>0.95</v>
      </c>
      <c r="V267" s="1">
        <v>1</v>
      </c>
      <c r="W267" s="1">
        <v>0</v>
      </c>
      <c r="X267" s="1">
        <v>5</v>
      </c>
      <c r="Y267" s="1">
        <v>0</v>
      </c>
      <c r="Z267" s="1">
        <v>0</v>
      </c>
      <c r="AA267" s="1">
        <v>0</v>
      </c>
      <c r="AB267" s="1">
        <v>0</v>
      </c>
      <c r="AC267" s="1">
        <v>5</v>
      </c>
      <c r="AD267" s="1">
        <v>5</v>
      </c>
      <c r="AE267" s="1">
        <v>1.1100000000000001</v>
      </c>
      <c r="AF267" s="1">
        <v>0.95</v>
      </c>
      <c r="AG267" s="1">
        <v>1.1499999999999999</v>
      </c>
      <c r="AH267" s="1">
        <v>0.95</v>
      </c>
      <c r="AI267" s="1">
        <v>1.8</v>
      </c>
      <c r="AJ267" s="1">
        <v>1</v>
      </c>
      <c r="AK267" s="1">
        <v>0</v>
      </c>
      <c r="AL267" s="1">
        <v>0.95</v>
      </c>
      <c r="AM267" s="1">
        <v>0.95</v>
      </c>
      <c r="AN267" s="1">
        <v>1.6</v>
      </c>
    </row>
    <row r="268" spans="1:40">
      <c r="A268" s="1">
        <v>1006</v>
      </c>
      <c r="C268" s="1">
        <v>1.1619999999999999</v>
      </c>
      <c r="D268" s="1">
        <v>1.1619999999999999</v>
      </c>
      <c r="E268" s="1">
        <v>1.1619999999999999</v>
      </c>
      <c r="F268" s="1">
        <v>1.1619999999999999</v>
      </c>
      <c r="G268" s="1">
        <v>1.24</v>
      </c>
      <c r="H268" s="1">
        <v>1</v>
      </c>
      <c r="I268" s="1">
        <v>1</v>
      </c>
      <c r="J268" s="1">
        <v>1.24</v>
      </c>
      <c r="K268" s="1">
        <v>1.24</v>
      </c>
      <c r="L268" s="1">
        <v>1.24</v>
      </c>
      <c r="M268" s="1">
        <v>1.24</v>
      </c>
      <c r="N268" s="1">
        <v>0.95</v>
      </c>
      <c r="O268" s="1">
        <v>0.95</v>
      </c>
      <c r="P268" s="1">
        <v>0.95</v>
      </c>
      <c r="Q268" s="1">
        <v>0.95</v>
      </c>
      <c r="R268" s="1">
        <v>1</v>
      </c>
      <c r="S268" s="1">
        <v>1</v>
      </c>
      <c r="T268" s="1">
        <v>0.95</v>
      </c>
      <c r="U268" s="1">
        <v>0.95</v>
      </c>
      <c r="V268" s="1">
        <v>1</v>
      </c>
      <c r="W268" s="1">
        <v>0</v>
      </c>
      <c r="X268" s="1">
        <v>6</v>
      </c>
      <c r="Y268" s="1">
        <v>0</v>
      </c>
      <c r="Z268" s="1">
        <v>0</v>
      </c>
      <c r="AA268" s="1">
        <v>0</v>
      </c>
      <c r="AB268" s="1">
        <v>0</v>
      </c>
      <c r="AC268" s="1">
        <v>6</v>
      </c>
      <c r="AD268" s="1">
        <v>6</v>
      </c>
      <c r="AE268" s="1">
        <v>1.1619999999999999</v>
      </c>
      <c r="AF268" s="1">
        <v>0.95</v>
      </c>
      <c r="AG268" s="1">
        <v>1.18</v>
      </c>
      <c r="AH268" s="1">
        <v>0.95</v>
      </c>
      <c r="AI268" s="1">
        <v>2</v>
      </c>
      <c r="AJ268" s="1">
        <v>1</v>
      </c>
      <c r="AK268" s="1">
        <v>0</v>
      </c>
      <c r="AL268" s="1">
        <v>0.95</v>
      </c>
      <c r="AM268" s="1">
        <v>0.95</v>
      </c>
      <c r="AN268" s="1">
        <v>1.72</v>
      </c>
    </row>
    <row r="269" spans="1:40">
      <c r="A269" s="1">
        <v>1007</v>
      </c>
      <c r="C269" s="1">
        <v>1.214</v>
      </c>
      <c r="D269" s="1">
        <v>1.214</v>
      </c>
      <c r="E269" s="1">
        <v>1.214</v>
      </c>
      <c r="F269" s="1">
        <v>1.214</v>
      </c>
      <c r="G269" s="1">
        <v>1.28</v>
      </c>
      <c r="H269" s="1">
        <v>1</v>
      </c>
      <c r="I269" s="1">
        <v>1</v>
      </c>
      <c r="J269" s="1">
        <v>1.28</v>
      </c>
      <c r="K269" s="1">
        <v>1.28</v>
      </c>
      <c r="L269" s="1">
        <v>1.28</v>
      </c>
      <c r="M269" s="1">
        <v>1.28</v>
      </c>
      <c r="N269" s="1">
        <v>0.95</v>
      </c>
      <c r="O269" s="1">
        <v>0.95</v>
      </c>
      <c r="P269" s="1">
        <v>0.95</v>
      </c>
      <c r="Q269" s="1">
        <v>0.95</v>
      </c>
      <c r="R269" s="1">
        <v>1</v>
      </c>
      <c r="S269" s="1">
        <v>1</v>
      </c>
      <c r="T269" s="1">
        <v>0.95</v>
      </c>
      <c r="U269" s="1">
        <v>0.95</v>
      </c>
      <c r="V269" s="1">
        <v>1</v>
      </c>
      <c r="W269" s="1">
        <v>0</v>
      </c>
      <c r="X269" s="1">
        <v>7</v>
      </c>
      <c r="Y269" s="1">
        <v>0</v>
      </c>
      <c r="Z269" s="1">
        <v>0</v>
      </c>
      <c r="AA269" s="1">
        <v>0</v>
      </c>
      <c r="AB269" s="1">
        <v>0</v>
      </c>
      <c r="AC269" s="1">
        <v>7</v>
      </c>
      <c r="AD269" s="1">
        <v>7</v>
      </c>
      <c r="AE269" s="1">
        <v>1.214</v>
      </c>
      <c r="AF269" s="1">
        <v>0.95</v>
      </c>
      <c r="AG269" s="1">
        <v>1.21</v>
      </c>
      <c r="AH269" s="1">
        <v>0.95</v>
      </c>
      <c r="AI269" s="1">
        <v>2.2000000000000002</v>
      </c>
      <c r="AJ269" s="1">
        <v>1</v>
      </c>
      <c r="AK269" s="1">
        <v>0</v>
      </c>
      <c r="AL269" s="1">
        <v>0.95</v>
      </c>
      <c r="AM269" s="1">
        <v>0.95</v>
      </c>
      <c r="AN269" s="1">
        <v>1.84</v>
      </c>
    </row>
    <row r="270" spans="1:40">
      <c r="A270" s="1">
        <v>1008</v>
      </c>
      <c r="C270" s="1">
        <v>1.266</v>
      </c>
      <c r="D270" s="1">
        <v>1.266</v>
      </c>
      <c r="E270" s="1">
        <v>1.266</v>
      </c>
      <c r="F270" s="1">
        <v>1.266</v>
      </c>
      <c r="G270" s="1">
        <v>1.32</v>
      </c>
      <c r="H270" s="1">
        <v>1</v>
      </c>
      <c r="I270" s="1">
        <v>1</v>
      </c>
      <c r="J270" s="1">
        <v>1.32</v>
      </c>
      <c r="K270" s="1">
        <v>1.32</v>
      </c>
      <c r="L270" s="1">
        <v>1.32</v>
      </c>
      <c r="M270" s="1">
        <v>1.32</v>
      </c>
      <c r="N270" s="1">
        <v>0.95</v>
      </c>
      <c r="O270" s="1">
        <v>0.95</v>
      </c>
      <c r="P270" s="1">
        <v>0.95</v>
      </c>
      <c r="Q270" s="1">
        <v>0.95</v>
      </c>
      <c r="R270" s="1">
        <v>1</v>
      </c>
      <c r="S270" s="1">
        <v>1</v>
      </c>
      <c r="T270" s="1">
        <v>0.95</v>
      </c>
      <c r="U270" s="1">
        <v>0.95</v>
      </c>
      <c r="V270" s="1">
        <v>1</v>
      </c>
      <c r="W270" s="1">
        <v>0</v>
      </c>
      <c r="X270" s="1">
        <v>8</v>
      </c>
      <c r="Y270" s="1">
        <v>0</v>
      </c>
      <c r="Z270" s="1">
        <v>0</v>
      </c>
      <c r="AA270" s="1">
        <v>0</v>
      </c>
      <c r="AB270" s="1">
        <v>0</v>
      </c>
      <c r="AC270" s="1">
        <v>8</v>
      </c>
      <c r="AD270" s="1">
        <v>8</v>
      </c>
      <c r="AE270" s="1">
        <v>1.266</v>
      </c>
      <c r="AF270" s="1">
        <v>0.95</v>
      </c>
      <c r="AG270" s="1">
        <v>1.24</v>
      </c>
      <c r="AH270" s="1">
        <v>0.95</v>
      </c>
      <c r="AI270" s="1">
        <v>2.4</v>
      </c>
      <c r="AJ270" s="1">
        <v>1</v>
      </c>
      <c r="AK270" s="1">
        <v>0</v>
      </c>
      <c r="AL270" s="1">
        <v>0.95</v>
      </c>
      <c r="AM270" s="1">
        <v>0.95</v>
      </c>
      <c r="AN270" s="1">
        <v>1.96</v>
      </c>
    </row>
    <row r="271" spans="1:40">
      <c r="A271" s="1">
        <v>1009</v>
      </c>
      <c r="C271" s="1">
        <v>1.3180000000000001</v>
      </c>
      <c r="D271" s="1">
        <v>1.3180000000000001</v>
      </c>
      <c r="E271" s="1">
        <v>1.3180000000000001</v>
      </c>
      <c r="F271" s="1">
        <v>1.3180000000000001</v>
      </c>
      <c r="G271" s="1">
        <v>1.36</v>
      </c>
      <c r="H271" s="1">
        <v>1</v>
      </c>
      <c r="I271" s="1">
        <v>1</v>
      </c>
      <c r="J271" s="1">
        <v>1.36</v>
      </c>
      <c r="K271" s="1">
        <v>1.36</v>
      </c>
      <c r="L271" s="1">
        <v>1.36</v>
      </c>
      <c r="M271" s="1">
        <v>1.36</v>
      </c>
      <c r="N271" s="1">
        <v>0.95</v>
      </c>
      <c r="O271" s="1">
        <v>0.95</v>
      </c>
      <c r="P271" s="1">
        <v>0.95</v>
      </c>
      <c r="Q271" s="1">
        <v>0.95</v>
      </c>
      <c r="R271" s="1">
        <v>1</v>
      </c>
      <c r="S271" s="1">
        <v>1</v>
      </c>
      <c r="T271" s="1">
        <v>0.95</v>
      </c>
      <c r="U271" s="1">
        <v>0.95</v>
      </c>
      <c r="V271" s="1">
        <v>1</v>
      </c>
      <c r="W271" s="1">
        <v>0</v>
      </c>
      <c r="X271" s="1">
        <v>9</v>
      </c>
      <c r="Y271" s="1">
        <v>0</v>
      </c>
      <c r="Z271" s="1">
        <v>0</v>
      </c>
      <c r="AA271" s="1">
        <v>0</v>
      </c>
      <c r="AB271" s="1">
        <v>0</v>
      </c>
      <c r="AC271" s="1">
        <v>9</v>
      </c>
      <c r="AD271" s="1">
        <v>9</v>
      </c>
      <c r="AE271" s="1">
        <v>1.3180000000000001</v>
      </c>
      <c r="AF271" s="1">
        <v>0.95</v>
      </c>
      <c r="AG271" s="1">
        <v>1.27</v>
      </c>
      <c r="AH271" s="1">
        <v>0.95</v>
      </c>
      <c r="AI271" s="1">
        <v>2.6</v>
      </c>
      <c r="AJ271" s="1">
        <v>1</v>
      </c>
      <c r="AK271" s="1">
        <v>0</v>
      </c>
      <c r="AL271" s="1">
        <v>0.95</v>
      </c>
      <c r="AM271" s="1">
        <v>0.95</v>
      </c>
      <c r="AN271" s="1">
        <v>2.08</v>
      </c>
    </row>
    <row r="272" spans="1:40">
      <c r="A272" s="1">
        <v>1010</v>
      </c>
      <c r="C272" s="1">
        <v>1.37</v>
      </c>
      <c r="D272" s="1">
        <v>1.37</v>
      </c>
      <c r="E272" s="1">
        <v>1.37</v>
      </c>
      <c r="F272" s="1">
        <v>1.37</v>
      </c>
      <c r="G272" s="1">
        <v>1.4</v>
      </c>
      <c r="H272" s="1">
        <v>1</v>
      </c>
      <c r="I272" s="1">
        <v>1</v>
      </c>
      <c r="J272" s="1">
        <v>1.4</v>
      </c>
      <c r="K272" s="1">
        <v>1.4</v>
      </c>
      <c r="L272" s="1">
        <v>1.4</v>
      </c>
      <c r="M272" s="1">
        <v>1.4</v>
      </c>
      <c r="N272" s="1">
        <v>0.95</v>
      </c>
      <c r="O272" s="1">
        <v>0.95</v>
      </c>
      <c r="P272" s="1">
        <v>0.95</v>
      </c>
      <c r="Q272" s="1">
        <v>0.95</v>
      </c>
      <c r="R272" s="1">
        <v>1</v>
      </c>
      <c r="S272" s="1">
        <v>1</v>
      </c>
      <c r="T272" s="1">
        <v>0.95</v>
      </c>
      <c r="U272" s="1">
        <v>0.95</v>
      </c>
      <c r="V272" s="1">
        <v>1</v>
      </c>
      <c r="W272" s="1">
        <v>0</v>
      </c>
      <c r="X272" s="1">
        <v>10</v>
      </c>
      <c r="Y272" s="1">
        <v>0</v>
      </c>
      <c r="Z272" s="1">
        <v>0</v>
      </c>
      <c r="AA272" s="1">
        <v>0</v>
      </c>
      <c r="AB272" s="1">
        <v>0</v>
      </c>
      <c r="AC272" s="1">
        <v>10</v>
      </c>
      <c r="AD272" s="1">
        <v>10</v>
      </c>
      <c r="AE272" s="1">
        <v>1.37</v>
      </c>
      <c r="AF272" s="1">
        <v>0.95</v>
      </c>
      <c r="AG272" s="1">
        <v>1.3</v>
      </c>
      <c r="AH272" s="1">
        <v>0.95</v>
      </c>
      <c r="AI272" s="1">
        <v>2.8</v>
      </c>
      <c r="AJ272" s="1">
        <v>1</v>
      </c>
      <c r="AK272" s="1">
        <v>0</v>
      </c>
      <c r="AL272" s="1">
        <v>0.95</v>
      </c>
      <c r="AM272" s="1">
        <v>0.95</v>
      </c>
      <c r="AN272" s="1">
        <v>2.2000000000000002</v>
      </c>
    </row>
    <row r="273" spans="1:40">
      <c r="A273" s="1">
        <v>1011</v>
      </c>
      <c r="C273" s="1">
        <v>1.4219999999999999</v>
      </c>
      <c r="D273" s="1">
        <v>1.4219999999999999</v>
      </c>
      <c r="E273" s="1">
        <v>1.4219999999999999</v>
      </c>
      <c r="F273" s="1">
        <v>1.4219999999999999</v>
      </c>
      <c r="G273" s="1">
        <v>1.44</v>
      </c>
      <c r="H273" s="1">
        <v>1</v>
      </c>
      <c r="I273" s="1">
        <v>1</v>
      </c>
      <c r="J273" s="1">
        <v>1.43</v>
      </c>
      <c r="K273" s="1">
        <v>1.43</v>
      </c>
      <c r="L273" s="1">
        <v>1.43</v>
      </c>
      <c r="M273" s="1">
        <v>1.43</v>
      </c>
      <c r="N273" s="1">
        <v>0.95</v>
      </c>
      <c r="O273" s="1">
        <v>0.95</v>
      </c>
      <c r="P273" s="1">
        <v>0.95</v>
      </c>
      <c r="Q273" s="1">
        <v>0.95</v>
      </c>
      <c r="R273" s="1">
        <v>1</v>
      </c>
      <c r="S273" s="1">
        <v>1</v>
      </c>
      <c r="T273" s="1">
        <v>0.95</v>
      </c>
      <c r="U273" s="1">
        <v>0.95</v>
      </c>
      <c r="V273" s="1">
        <v>1</v>
      </c>
      <c r="W273" s="1">
        <v>0</v>
      </c>
      <c r="X273" s="1">
        <v>11</v>
      </c>
      <c r="Y273" s="1">
        <v>0</v>
      </c>
      <c r="Z273" s="1">
        <v>0</v>
      </c>
      <c r="AA273" s="1">
        <v>0</v>
      </c>
      <c r="AB273" s="1">
        <v>0</v>
      </c>
      <c r="AC273" s="1">
        <v>11</v>
      </c>
      <c r="AD273" s="1">
        <v>11</v>
      </c>
      <c r="AE273" s="1">
        <v>1.4219999999999999</v>
      </c>
      <c r="AF273" s="1">
        <v>0.95</v>
      </c>
      <c r="AG273" s="1">
        <v>1.31</v>
      </c>
      <c r="AH273" s="1">
        <v>0.95</v>
      </c>
      <c r="AI273" s="1">
        <v>3</v>
      </c>
      <c r="AJ273" s="1">
        <v>1</v>
      </c>
      <c r="AK273" s="1">
        <v>0</v>
      </c>
      <c r="AL273" s="1">
        <v>0.95</v>
      </c>
      <c r="AM273" s="1">
        <v>0.95</v>
      </c>
      <c r="AN273" s="1">
        <v>2.3199999999999998</v>
      </c>
    </row>
    <row r="274" spans="1:40">
      <c r="A274" s="1">
        <v>1012</v>
      </c>
      <c r="C274" s="1">
        <v>1.474</v>
      </c>
      <c r="D274" s="1">
        <v>1.474</v>
      </c>
      <c r="E274" s="1">
        <v>1.474</v>
      </c>
      <c r="F274" s="1">
        <v>1.474</v>
      </c>
      <c r="G274" s="1">
        <v>1.48</v>
      </c>
      <c r="H274" s="1">
        <v>1</v>
      </c>
      <c r="I274" s="1">
        <v>1</v>
      </c>
      <c r="J274" s="1">
        <v>1.46</v>
      </c>
      <c r="K274" s="1">
        <v>1.46</v>
      </c>
      <c r="L274" s="1">
        <v>1.46</v>
      </c>
      <c r="M274" s="1">
        <v>1.46</v>
      </c>
      <c r="N274" s="1">
        <v>0.95</v>
      </c>
      <c r="O274" s="1">
        <v>0.95</v>
      </c>
      <c r="P274" s="1">
        <v>0.95</v>
      </c>
      <c r="Q274" s="1">
        <v>0.95</v>
      </c>
      <c r="R274" s="1">
        <v>1</v>
      </c>
      <c r="S274" s="1">
        <v>1</v>
      </c>
      <c r="T274" s="1">
        <v>0.95</v>
      </c>
      <c r="U274" s="1">
        <v>0.95</v>
      </c>
      <c r="V274" s="1">
        <v>1</v>
      </c>
      <c r="W274" s="1">
        <v>0</v>
      </c>
      <c r="X274" s="1">
        <v>12</v>
      </c>
      <c r="Y274" s="1">
        <v>0</v>
      </c>
      <c r="Z274" s="1">
        <v>0</v>
      </c>
      <c r="AA274" s="1">
        <v>0</v>
      </c>
      <c r="AB274" s="1">
        <v>0</v>
      </c>
      <c r="AC274" s="1">
        <v>12</v>
      </c>
      <c r="AD274" s="1">
        <v>12</v>
      </c>
      <c r="AE274" s="1">
        <v>1.474</v>
      </c>
      <c r="AF274" s="1">
        <v>0.95</v>
      </c>
      <c r="AG274" s="1">
        <v>1.32</v>
      </c>
      <c r="AH274" s="1">
        <v>0.95</v>
      </c>
      <c r="AI274" s="1">
        <v>3.2</v>
      </c>
      <c r="AJ274" s="1">
        <v>1</v>
      </c>
      <c r="AK274" s="1">
        <v>0</v>
      </c>
      <c r="AL274" s="1">
        <v>0.95</v>
      </c>
      <c r="AM274" s="1">
        <v>0.95</v>
      </c>
      <c r="AN274" s="1">
        <v>2.44</v>
      </c>
    </row>
    <row r="275" spans="1:40">
      <c r="A275" s="1">
        <v>1013</v>
      </c>
      <c r="C275" s="1">
        <v>1.526</v>
      </c>
      <c r="D275" s="1">
        <v>1.526</v>
      </c>
      <c r="E275" s="1">
        <v>1.526</v>
      </c>
      <c r="F275" s="1">
        <v>1.526</v>
      </c>
      <c r="G275" s="1">
        <v>1.52</v>
      </c>
      <c r="H275" s="1">
        <v>1</v>
      </c>
      <c r="I275" s="1">
        <v>1</v>
      </c>
      <c r="J275" s="1">
        <v>1.49</v>
      </c>
      <c r="K275" s="1">
        <v>1.49</v>
      </c>
      <c r="L275" s="1">
        <v>1.49</v>
      </c>
      <c r="M275" s="1">
        <v>1.49</v>
      </c>
      <c r="N275" s="1">
        <v>0.95</v>
      </c>
      <c r="O275" s="1">
        <v>0.95</v>
      </c>
      <c r="P275" s="1">
        <v>0.95</v>
      </c>
      <c r="Q275" s="1">
        <v>0.95</v>
      </c>
      <c r="R275" s="1">
        <v>1</v>
      </c>
      <c r="S275" s="1">
        <v>1</v>
      </c>
      <c r="T275" s="1">
        <v>0.95</v>
      </c>
      <c r="U275" s="1">
        <v>0.95</v>
      </c>
      <c r="V275" s="1">
        <v>1</v>
      </c>
      <c r="W275" s="1">
        <v>0</v>
      </c>
      <c r="X275" s="1">
        <v>13</v>
      </c>
      <c r="Y275" s="1">
        <v>0</v>
      </c>
      <c r="Z275" s="1">
        <v>0</v>
      </c>
      <c r="AA275" s="1">
        <v>0</v>
      </c>
      <c r="AB275" s="1">
        <v>0</v>
      </c>
      <c r="AC275" s="1">
        <v>13</v>
      </c>
      <c r="AD275" s="1">
        <v>13</v>
      </c>
      <c r="AE275" s="1">
        <v>1.526</v>
      </c>
      <c r="AF275" s="1">
        <v>0.95</v>
      </c>
      <c r="AG275" s="1">
        <v>1.33</v>
      </c>
      <c r="AH275" s="1">
        <v>0.95</v>
      </c>
      <c r="AI275" s="1">
        <v>3.4</v>
      </c>
      <c r="AJ275" s="1">
        <v>1</v>
      </c>
      <c r="AK275" s="1">
        <v>0</v>
      </c>
      <c r="AL275" s="1">
        <v>0.95</v>
      </c>
      <c r="AM275" s="1">
        <v>0.95</v>
      </c>
      <c r="AN275" s="1">
        <v>2.56</v>
      </c>
    </row>
    <row r="276" spans="1:40">
      <c r="A276" s="1">
        <v>1014</v>
      </c>
      <c r="C276" s="1">
        <v>1.5780000000000001</v>
      </c>
      <c r="D276" s="1">
        <v>1.5780000000000001</v>
      </c>
      <c r="E276" s="1">
        <v>1.5780000000000001</v>
      </c>
      <c r="F276" s="1">
        <v>1.5780000000000001</v>
      </c>
      <c r="G276" s="1">
        <v>1.56</v>
      </c>
      <c r="H276" s="1">
        <v>1</v>
      </c>
      <c r="I276" s="1">
        <v>1</v>
      </c>
      <c r="J276" s="1">
        <v>1.52</v>
      </c>
      <c r="K276" s="1">
        <v>1.52</v>
      </c>
      <c r="L276" s="1">
        <v>1.52</v>
      </c>
      <c r="M276" s="1">
        <v>1.52</v>
      </c>
      <c r="N276" s="1">
        <v>0.95</v>
      </c>
      <c r="O276" s="1">
        <v>0.95</v>
      </c>
      <c r="P276" s="1">
        <v>0.95</v>
      </c>
      <c r="Q276" s="1">
        <v>0.95</v>
      </c>
      <c r="R276" s="1">
        <v>1</v>
      </c>
      <c r="S276" s="1">
        <v>1</v>
      </c>
      <c r="T276" s="1">
        <v>0.95</v>
      </c>
      <c r="U276" s="1">
        <v>0.95</v>
      </c>
      <c r="V276" s="1">
        <v>1</v>
      </c>
      <c r="W276" s="1">
        <v>0</v>
      </c>
      <c r="X276" s="1">
        <v>14</v>
      </c>
      <c r="Y276" s="1">
        <v>0</v>
      </c>
      <c r="Z276" s="1">
        <v>0</v>
      </c>
      <c r="AA276" s="1">
        <v>0</v>
      </c>
      <c r="AB276" s="1">
        <v>0</v>
      </c>
      <c r="AC276" s="1">
        <v>14</v>
      </c>
      <c r="AD276" s="1">
        <v>14</v>
      </c>
      <c r="AE276" s="1">
        <v>1.5780000000000001</v>
      </c>
      <c r="AF276" s="1">
        <v>0.95</v>
      </c>
      <c r="AG276" s="1">
        <v>1.34</v>
      </c>
      <c r="AH276" s="1">
        <v>0.95</v>
      </c>
      <c r="AI276" s="1">
        <v>3.6</v>
      </c>
      <c r="AJ276" s="1">
        <v>1</v>
      </c>
      <c r="AK276" s="1">
        <v>0</v>
      </c>
      <c r="AL276" s="1">
        <v>0.95</v>
      </c>
      <c r="AM276" s="1">
        <v>0.95</v>
      </c>
      <c r="AN276" s="1">
        <v>2.68</v>
      </c>
    </row>
    <row r="277" spans="1:40">
      <c r="A277" s="1">
        <v>1015</v>
      </c>
      <c r="C277" s="1">
        <v>1.63</v>
      </c>
      <c r="D277" s="1">
        <v>1.63</v>
      </c>
      <c r="E277" s="1">
        <v>1.63</v>
      </c>
      <c r="F277" s="1">
        <v>1.63</v>
      </c>
      <c r="G277" s="1">
        <v>1.6</v>
      </c>
      <c r="H277" s="1">
        <v>1</v>
      </c>
      <c r="I277" s="1">
        <v>1</v>
      </c>
      <c r="J277" s="1">
        <v>1.55</v>
      </c>
      <c r="K277" s="1">
        <v>1.55</v>
      </c>
      <c r="L277" s="1">
        <v>1.55</v>
      </c>
      <c r="M277" s="1">
        <v>1.55</v>
      </c>
      <c r="N277" s="1">
        <v>0.95</v>
      </c>
      <c r="O277" s="1">
        <v>0.95</v>
      </c>
      <c r="P277" s="1">
        <v>0.95</v>
      </c>
      <c r="Q277" s="1">
        <v>0.95</v>
      </c>
      <c r="R277" s="1">
        <v>1</v>
      </c>
      <c r="S277" s="1">
        <v>1</v>
      </c>
      <c r="T277" s="1">
        <v>0.95</v>
      </c>
      <c r="U277" s="1">
        <v>0.95</v>
      </c>
      <c r="V277" s="1">
        <v>1</v>
      </c>
      <c r="W277" s="1">
        <v>0</v>
      </c>
      <c r="X277" s="1">
        <v>15</v>
      </c>
      <c r="Y277" s="1">
        <v>0</v>
      </c>
      <c r="Z277" s="1">
        <v>0</v>
      </c>
      <c r="AA277" s="1">
        <v>0</v>
      </c>
      <c r="AB277" s="1">
        <v>0</v>
      </c>
      <c r="AC277" s="1">
        <v>15</v>
      </c>
      <c r="AD277" s="1">
        <v>15</v>
      </c>
      <c r="AE277" s="1">
        <v>1.63</v>
      </c>
      <c r="AF277" s="1">
        <v>0.95</v>
      </c>
      <c r="AG277" s="1">
        <v>1.35</v>
      </c>
      <c r="AH277" s="1">
        <v>0.95</v>
      </c>
      <c r="AI277" s="1">
        <v>3.8</v>
      </c>
      <c r="AJ277" s="1">
        <v>1</v>
      </c>
      <c r="AK277" s="1">
        <v>0</v>
      </c>
      <c r="AL277" s="1">
        <v>0.95</v>
      </c>
      <c r="AM277" s="1">
        <v>0.95</v>
      </c>
      <c r="AN277" s="1">
        <v>2.8</v>
      </c>
    </row>
    <row r="278" spans="1:40">
      <c r="A278" s="1">
        <v>1016</v>
      </c>
      <c r="C278" s="1">
        <v>1.6819999999999999</v>
      </c>
      <c r="D278" s="1">
        <v>1.6819999999999999</v>
      </c>
      <c r="E278" s="1">
        <v>1.6819999999999999</v>
      </c>
      <c r="F278" s="1">
        <v>1.6819999999999999</v>
      </c>
      <c r="G278" s="1">
        <v>1.64</v>
      </c>
      <c r="H278" s="1">
        <v>1</v>
      </c>
      <c r="I278" s="1">
        <v>1</v>
      </c>
      <c r="J278" s="1">
        <v>1.58</v>
      </c>
      <c r="K278" s="1">
        <v>1.58</v>
      </c>
      <c r="L278" s="1">
        <v>1.58</v>
      </c>
      <c r="M278" s="1">
        <v>1.58</v>
      </c>
      <c r="N278" s="1">
        <v>0.95</v>
      </c>
      <c r="O278" s="1">
        <v>0.95</v>
      </c>
      <c r="P278" s="1">
        <v>0.95</v>
      </c>
      <c r="Q278" s="1">
        <v>0.95</v>
      </c>
      <c r="R278" s="1">
        <v>1</v>
      </c>
      <c r="S278" s="1">
        <v>1</v>
      </c>
      <c r="T278" s="1">
        <v>0.95</v>
      </c>
      <c r="U278" s="1">
        <v>0.95</v>
      </c>
      <c r="V278" s="1">
        <v>1</v>
      </c>
      <c r="W278" s="1">
        <v>0</v>
      </c>
      <c r="X278" s="1">
        <v>16</v>
      </c>
      <c r="Y278" s="1">
        <v>0</v>
      </c>
      <c r="Z278" s="1">
        <v>0</v>
      </c>
      <c r="AA278" s="1">
        <v>0</v>
      </c>
      <c r="AB278" s="1">
        <v>0</v>
      </c>
      <c r="AC278" s="1">
        <v>16</v>
      </c>
      <c r="AD278" s="1">
        <v>16</v>
      </c>
      <c r="AE278" s="1">
        <v>1.6819999999999999</v>
      </c>
      <c r="AF278" s="1">
        <v>0.95</v>
      </c>
      <c r="AG278" s="1">
        <v>1.36</v>
      </c>
      <c r="AH278" s="1">
        <v>0.95</v>
      </c>
      <c r="AI278" s="1">
        <v>4</v>
      </c>
      <c r="AJ278" s="1">
        <v>1</v>
      </c>
      <c r="AK278" s="1">
        <v>0</v>
      </c>
      <c r="AL278" s="1">
        <v>0.95</v>
      </c>
      <c r="AM278" s="1">
        <v>0.95</v>
      </c>
      <c r="AN278" s="1">
        <v>2.92</v>
      </c>
    </row>
    <row r="279" spans="1:40">
      <c r="A279" s="1">
        <v>1017</v>
      </c>
      <c r="C279" s="1">
        <v>1.734</v>
      </c>
      <c r="D279" s="1">
        <v>1.734</v>
      </c>
      <c r="E279" s="1">
        <v>1.734</v>
      </c>
      <c r="F279" s="1">
        <v>1.734</v>
      </c>
      <c r="G279" s="1">
        <v>1.68</v>
      </c>
      <c r="H279" s="1">
        <v>1</v>
      </c>
      <c r="I279" s="1">
        <v>1</v>
      </c>
      <c r="J279" s="1">
        <v>1.61</v>
      </c>
      <c r="K279" s="1">
        <v>1.61</v>
      </c>
      <c r="L279" s="1">
        <v>1.61</v>
      </c>
      <c r="M279" s="1">
        <v>1.61</v>
      </c>
      <c r="N279" s="1">
        <v>0.95</v>
      </c>
      <c r="O279" s="1">
        <v>0.95</v>
      </c>
      <c r="P279" s="1">
        <v>0.95</v>
      </c>
      <c r="Q279" s="1">
        <v>0.95</v>
      </c>
      <c r="R279" s="1">
        <v>1</v>
      </c>
      <c r="S279" s="1">
        <v>1</v>
      </c>
      <c r="T279" s="1">
        <v>0.95</v>
      </c>
      <c r="U279" s="1">
        <v>0.95</v>
      </c>
      <c r="V279" s="1">
        <v>1</v>
      </c>
      <c r="W279" s="1">
        <v>0</v>
      </c>
      <c r="X279" s="1">
        <v>17</v>
      </c>
      <c r="Y279" s="1">
        <v>0</v>
      </c>
      <c r="Z279" s="1">
        <v>0</v>
      </c>
      <c r="AA279" s="1">
        <v>0</v>
      </c>
      <c r="AB279" s="1">
        <v>0</v>
      </c>
      <c r="AC279" s="1">
        <v>17</v>
      </c>
      <c r="AD279" s="1">
        <v>17</v>
      </c>
      <c r="AE279" s="1">
        <v>1.734</v>
      </c>
      <c r="AF279" s="1">
        <v>0.95</v>
      </c>
      <c r="AG279" s="1">
        <v>1.37</v>
      </c>
      <c r="AH279" s="1">
        <v>0.95</v>
      </c>
      <c r="AI279" s="1">
        <v>4.2</v>
      </c>
      <c r="AJ279" s="1">
        <v>1</v>
      </c>
      <c r="AK279" s="1">
        <v>0</v>
      </c>
      <c r="AL279" s="1">
        <v>0.95</v>
      </c>
      <c r="AM279" s="1">
        <v>0.95</v>
      </c>
      <c r="AN279" s="1">
        <v>3.04</v>
      </c>
    </row>
    <row r="280" spans="1:40">
      <c r="A280" s="1">
        <v>1018</v>
      </c>
      <c r="C280" s="1">
        <v>1.786</v>
      </c>
      <c r="D280" s="1">
        <v>1.786</v>
      </c>
      <c r="E280" s="1">
        <v>1.786</v>
      </c>
      <c r="F280" s="1">
        <v>1.786</v>
      </c>
      <c r="G280" s="1">
        <v>1.72</v>
      </c>
      <c r="H280" s="1">
        <v>1</v>
      </c>
      <c r="I280" s="1">
        <v>1</v>
      </c>
      <c r="J280" s="1">
        <v>1.64</v>
      </c>
      <c r="K280" s="1">
        <v>1.64</v>
      </c>
      <c r="L280" s="1">
        <v>1.64</v>
      </c>
      <c r="M280" s="1">
        <v>1.64</v>
      </c>
      <c r="N280" s="1">
        <v>0.95</v>
      </c>
      <c r="O280" s="1">
        <v>0.95</v>
      </c>
      <c r="P280" s="1">
        <v>0.95</v>
      </c>
      <c r="Q280" s="1">
        <v>0.95</v>
      </c>
      <c r="R280" s="1">
        <v>1</v>
      </c>
      <c r="S280" s="1">
        <v>1</v>
      </c>
      <c r="T280" s="1">
        <v>0.95</v>
      </c>
      <c r="U280" s="1">
        <v>0.95</v>
      </c>
      <c r="V280" s="1">
        <v>1</v>
      </c>
      <c r="W280" s="1">
        <v>0</v>
      </c>
      <c r="X280" s="1">
        <v>18</v>
      </c>
      <c r="Y280" s="1">
        <v>0</v>
      </c>
      <c r="Z280" s="1">
        <v>0</v>
      </c>
      <c r="AA280" s="1">
        <v>0</v>
      </c>
      <c r="AB280" s="1">
        <v>0</v>
      </c>
      <c r="AC280" s="1">
        <v>18</v>
      </c>
      <c r="AD280" s="1">
        <v>18</v>
      </c>
      <c r="AE280" s="1">
        <v>1.786</v>
      </c>
      <c r="AF280" s="1">
        <v>0.95</v>
      </c>
      <c r="AG280" s="1">
        <v>1.38</v>
      </c>
      <c r="AH280" s="1">
        <v>0.95</v>
      </c>
      <c r="AI280" s="1">
        <v>4.4000000000000004</v>
      </c>
      <c r="AJ280" s="1">
        <v>1</v>
      </c>
      <c r="AK280" s="1">
        <v>0</v>
      </c>
      <c r="AL280" s="1">
        <v>0.95</v>
      </c>
      <c r="AM280" s="1">
        <v>0.95</v>
      </c>
      <c r="AN280" s="1">
        <v>3.16</v>
      </c>
    </row>
    <row r="281" spans="1:40">
      <c r="A281" s="1">
        <v>1019</v>
      </c>
      <c r="C281" s="1">
        <v>1.8380000000000001</v>
      </c>
      <c r="D281" s="1">
        <v>1.8380000000000001</v>
      </c>
      <c r="E281" s="1">
        <v>1.8380000000000001</v>
      </c>
      <c r="F281" s="1">
        <v>1.8380000000000001</v>
      </c>
      <c r="G281" s="1">
        <v>1.76</v>
      </c>
      <c r="H281" s="1">
        <v>1</v>
      </c>
      <c r="I281" s="1">
        <v>1</v>
      </c>
      <c r="J281" s="1">
        <v>1.67</v>
      </c>
      <c r="K281" s="1">
        <v>1.67</v>
      </c>
      <c r="L281" s="1">
        <v>1.67</v>
      </c>
      <c r="M281" s="1">
        <v>1.67</v>
      </c>
      <c r="N281" s="1">
        <v>0.95</v>
      </c>
      <c r="O281" s="1">
        <v>0.95</v>
      </c>
      <c r="P281" s="1">
        <v>0.95</v>
      </c>
      <c r="Q281" s="1">
        <v>0.95</v>
      </c>
      <c r="R281" s="1">
        <v>1</v>
      </c>
      <c r="S281" s="1">
        <v>1</v>
      </c>
      <c r="T281" s="1">
        <v>0.95</v>
      </c>
      <c r="U281" s="1">
        <v>0.95</v>
      </c>
      <c r="V281" s="1">
        <v>1</v>
      </c>
      <c r="W281" s="1">
        <v>0</v>
      </c>
      <c r="X281" s="1">
        <v>19</v>
      </c>
      <c r="Y281" s="1">
        <v>0</v>
      </c>
      <c r="Z281" s="1">
        <v>0</v>
      </c>
      <c r="AA281" s="1">
        <v>0</v>
      </c>
      <c r="AB281" s="1">
        <v>0</v>
      </c>
      <c r="AC281" s="1">
        <v>19</v>
      </c>
      <c r="AD281" s="1">
        <v>19</v>
      </c>
      <c r="AE281" s="1">
        <v>1.8380000000000001</v>
      </c>
      <c r="AF281" s="1">
        <v>0.95</v>
      </c>
      <c r="AG281" s="1">
        <v>1.39</v>
      </c>
      <c r="AH281" s="1">
        <v>0.95</v>
      </c>
      <c r="AI281" s="1">
        <v>4.5999999999999996</v>
      </c>
      <c r="AJ281" s="1">
        <v>1</v>
      </c>
      <c r="AK281" s="1">
        <v>0</v>
      </c>
      <c r="AL281" s="1">
        <v>0.95</v>
      </c>
      <c r="AM281" s="1">
        <v>0.95</v>
      </c>
      <c r="AN281" s="1">
        <v>3.28</v>
      </c>
    </row>
    <row r="282" spans="1:40">
      <c r="A282" s="1">
        <v>1020</v>
      </c>
      <c r="C282" s="1">
        <v>1.89</v>
      </c>
      <c r="D282" s="1">
        <v>1.89</v>
      </c>
      <c r="E282" s="1">
        <v>1.89</v>
      </c>
      <c r="F282" s="1">
        <v>1.89</v>
      </c>
      <c r="G282" s="1">
        <v>1.8</v>
      </c>
      <c r="H282" s="1">
        <v>1</v>
      </c>
      <c r="I282" s="1">
        <v>1</v>
      </c>
      <c r="J282" s="1">
        <v>1.7</v>
      </c>
      <c r="K282" s="1">
        <v>1.7</v>
      </c>
      <c r="L282" s="1">
        <v>1.7</v>
      </c>
      <c r="M282" s="1">
        <v>1.7</v>
      </c>
      <c r="N282" s="1">
        <v>0.95</v>
      </c>
      <c r="O282" s="1">
        <v>0.95</v>
      </c>
      <c r="P282" s="1">
        <v>0.95</v>
      </c>
      <c r="Q282" s="1">
        <v>0.95</v>
      </c>
      <c r="R282" s="1">
        <v>1</v>
      </c>
      <c r="S282" s="1">
        <v>1</v>
      </c>
      <c r="T282" s="1">
        <v>0.95</v>
      </c>
      <c r="U282" s="1">
        <v>0.95</v>
      </c>
      <c r="V282" s="1">
        <v>1</v>
      </c>
      <c r="W282" s="1">
        <v>0</v>
      </c>
      <c r="X282" s="1">
        <v>20</v>
      </c>
      <c r="Y282" s="1">
        <v>0</v>
      </c>
      <c r="Z282" s="1">
        <v>0</v>
      </c>
      <c r="AA282" s="1">
        <v>0</v>
      </c>
      <c r="AB282" s="1">
        <v>0</v>
      </c>
      <c r="AC282" s="1">
        <v>20</v>
      </c>
      <c r="AD282" s="1">
        <v>20</v>
      </c>
      <c r="AE282" s="1">
        <v>1.89</v>
      </c>
      <c r="AF282" s="1">
        <v>0.95</v>
      </c>
      <c r="AG282" s="1">
        <v>1.4</v>
      </c>
      <c r="AH282" s="1">
        <v>0.95</v>
      </c>
      <c r="AI282" s="1">
        <v>4.8</v>
      </c>
      <c r="AJ282" s="1">
        <v>1</v>
      </c>
      <c r="AK282" s="1">
        <v>0</v>
      </c>
      <c r="AL282" s="1">
        <v>0.95</v>
      </c>
      <c r="AM282" s="1">
        <v>0.95</v>
      </c>
      <c r="AN282" s="1">
        <v>3.4</v>
      </c>
    </row>
    <row r="283" spans="1:40">
      <c r="A283" s="1">
        <v>1021</v>
      </c>
      <c r="C283" s="1">
        <v>1.9419999999999999</v>
      </c>
      <c r="D283" s="1">
        <v>1.9419999999999999</v>
      </c>
      <c r="E283" s="1">
        <v>1.9419999999999999</v>
      </c>
      <c r="F283" s="1">
        <v>1.9419999999999999</v>
      </c>
      <c r="G283" s="1">
        <v>1.84</v>
      </c>
      <c r="H283" s="1">
        <v>1</v>
      </c>
      <c r="I283" s="1">
        <v>1</v>
      </c>
      <c r="J283" s="1">
        <v>1.74</v>
      </c>
      <c r="K283" s="1">
        <v>1.74</v>
      </c>
      <c r="L283" s="1">
        <v>1.74</v>
      </c>
      <c r="M283" s="1">
        <v>1.74</v>
      </c>
      <c r="N283" s="1">
        <v>0.95</v>
      </c>
      <c r="O283" s="1">
        <v>0.95</v>
      </c>
      <c r="P283" s="1">
        <v>0.95</v>
      </c>
      <c r="Q283" s="1">
        <v>0.95</v>
      </c>
      <c r="R283" s="1">
        <v>1</v>
      </c>
      <c r="S283" s="1">
        <v>1</v>
      </c>
      <c r="T283" s="1">
        <v>0.95</v>
      </c>
      <c r="U283" s="1">
        <v>0.95</v>
      </c>
      <c r="V283" s="1">
        <v>1</v>
      </c>
      <c r="W283" s="1">
        <v>0</v>
      </c>
      <c r="X283" s="1">
        <v>21</v>
      </c>
      <c r="Y283" s="1">
        <v>0</v>
      </c>
      <c r="Z283" s="1">
        <v>0</v>
      </c>
      <c r="AA283" s="1">
        <v>0</v>
      </c>
      <c r="AB283" s="1">
        <v>0</v>
      </c>
      <c r="AC283" s="1">
        <v>21</v>
      </c>
      <c r="AD283" s="1">
        <v>21</v>
      </c>
      <c r="AE283" s="1">
        <v>1.9419999999999999</v>
      </c>
      <c r="AF283" s="1">
        <v>0.95</v>
      </c>
      <c r="AG283" s="1">
        <v>1.41</v>
      </c>
      <c r="AH283" s="1">
        <v>0.95</v>
      </c>
      <c r="AI283" s="1">
        <v>5</v>
      </c>
      <c r="AJ283" s="1">
        <v>1</v>
      </c>
      <c r="AK283" s="1">
        <v>0</v>
      </c>
      <c r="AL283" s="1">
        <v>0.95</v>
      </c>
      <c r="AM283" s="1">
        <v>0.95</v>
      </c>
      <c r="AN283" s="1">
        <v>3.52</v>
      </c>
    </row>
    <row r="284" spans="1:40">
      <c r="A284" s="1">
        <v>1022</v>
      </c>
      <c r="C284" s="1">
        <v>1.994</v>
      </c>
      <c r="D284" s="1">
        <v>1.994</v>
      </c>
      <c r="E284" s="1">
        <v>1.994</v>
      </c>
      <c r="F284" s="1">
        <v>1.994</v>
      </c>
      <c r="G284" s="1">
        <v>1.88</v>
      </c>
      <c r="H284" s="1">
        <v>1</v>
      </c>
      <c r="I284" s="1">
        <v>1</v>
      </c>
      <c r="J284" s="1">
        <v>1.78</v>
      </c>
      <c r="K284" s="1">
        <v>1.78</v>
      </c>
      <c r="L284" s="1">
        <v>1.78</v>
      </c>
      <c r="M284" s="1">
        <v>1.78</v>
      </c>
      <c r="N284" s="1">
        <v>0.95</v>
      </c>
      <c r="O284" s="1">
        <v>0.95</v>
      </c>
      <c r="P284" s="1">
        <v>0.95</v>
      </c>
      <c r="Q284" s="1">
        <v>0.95</v>
      </c>
      <c r="R284" s="1">
        <v>1</v>
      </c>
      <c r="S284" s="1">
        <v>1</v>
      </c>
      <c r="T284" s="1">
        <v>0.95</v>
      </c>
      <c r="U284" s="1">
        <v>0.95</v>
      </c>
      <c r="V284" s="1">
        <v>1</v>
      </c>
      <c r="W284" s="1">
        <v>0</v>
      </c>
      <c r="X284" s="1">
        <v>22</v>
      </c>
      <c r="Y284" s="1">
        <v>0</v>
      </c>
      <c r="Z284" s="1">
        <v>0</v>
      </c>
      <c r="AA284" s="1">
        <v>0</v>
      </c>
      <c r="AB284" s="1">
        <v>0</v>
      </c>
      <c r="AC284" s="1">
        <v>22</v>
      </c>
      <c r="AD284" s="1">
        <v>22</v>
      </c>
      <c r="AE284" s="1">
        <v>1.994</v>
      </c>
      <c r="AF284" s="1">
        <v>0.95</v>
      </c>
      <c r="AG284" s="1">
        <v>1.42</v>
      </c>
      <c r="AH284" s="1">
        <v>0.95</v>
      </c>
      <c r="AI284" s="1">
        <v>5.2</v>
      </c>
      <c r="AJ284" s="1">
        <v>1</v>
      </c>
      <c r="AK284" s="1">
        <v>0</v>
      </c>
      <c r="AL284" s="1">
        <v>0.95</v>
      </c>
      <c r="AM284" s="1">
        <v>0.95</v>
      </c>
      <c r="AN284" s="1">
        <v>3.64</v>
      </c>
    </row>
    <row r="285" spans="1:40">
      <c r="A285" s="1">
        <v>1023</v>
      </c>
      <c r="C285" s="1">
        <v>2.0459999999999998</v>
      </c>
      <c r="D285" s="1">
        <v>2.0459999999999998</v>
      </c>
      <c r="E285" s="1">
        <v>2.0459999999999998</v>
      </c>
      <c r="F285" s="1">
        <v>2.0459999999999998</v>
      </c>
      <c r="G285" s="1">
        <v>1.92</v>
      </c>
      <c r="H285" s="1">
        <v>1</v>
      </c>
      <c r="I285" s="1">
        <v>1</v>
      </c>
      <c r="J285" s="1">
        <v>1.82</v>
      </c>
      <c r="K285" s="1">
        <v>1.82</v>
      </c>
      <c r="L285" s="1">
        <v>1.82</v>
      </c>
      <c r="M285" s="1">
        <v>1.82</v>
      </c>
      <c r="N285" s="1">
        <v>0.95</v>
      </c>
      <c r="O285" s="1">
        <v>0.95</v>
      </c>
      <c r="P285" s="1">
        <v>0.95</v>
      </c>
      <c r="Q285" s="1">
        <v>0.95</v>
      </c>
      <c r="R285" s="1">
        <v>1</v>
      </c>
      <c r="S285" s="1">
        <v>1</v>
      </c>
      <c r="T285" s="1">
        <v>0.95</v>
      </c>
      <c r="U285" s="1">
        <v>0.95</v>
      </c>
      <c r="V285" s="1">
        <v>1</v>
      </c>
      <c r="W285" s="1">
        <v>0</v>
      </c>
      <c r="X285" s="1">
        <v>23</v>
      </c>
      <c r="Y285" s="1">
        <v>0</v>
      </c>
      <c r="Z285" s="1">
        <v>0</v>
      </c>
      <c r="AA285" s="1">
        <v>0</v>
      </c>
      <c r="AB285" s="1">
        <v>0</v>
      </c>
      <c r="AC285" s="1">
        <v>23</v>
      </c>
      <c r="AD285" s="1">
        <v>23</v>
      </c>
      <c r="AE285" s="1">
        <v>2.0459999999999998</v>
      </c>
      <c r="AF285" s="1">
        <v>0.95</v>
      </c>
      <c r="AG285" s="1">
        <v>1.43</v>
      </c>
      <c r="AH285" s="1">
        <v>0.95</v>
      </c>
      <c r="AI285" s="1">
        <v>5.4</v>
      </c>
      <c r="AJ285" s="1">
        <v>1</v>
      </c>
      <c r="AK285" s="1">
        <v>0</v>
      </c>
      <c r="AL285" s="1">
        <v>0.95</v>
      </c>
      <c r="AM285" s="1">
        <v>0.95</v>
      </c>
      <c r="AN285" s="1">
        <v>3.76</v>
      </c>
    </row>
    <row r="286" spans="1:40">
      <c r="A286" s="1">
        <v>1024</v>
      </c>
      <c r="C286" s="1">
        <v>2.0979999999999999</v>
      </c>
      <c r="D286" s="1">
        <v>2.0979999999999999</v>
      </c>
      <c r="E286" s="1">
        <v>2.0979999999999999</v>
      </c>
      <c r="F286" s="1">
        <v>2.0979999999999999</v>
      </c>
      <c r="G286" s="1">
        <v>1.96</v>
      </c>
      <c r="H286" s="1">
        <v>1</v>
      </c>
      <c r="I286" s="1">
        <v>1</v>
      </c>
      <c r="J286" s="1">
        <v>1.86</v>
      </c>
      <c r="K286" s="1">
        <v>1.86</v>
      </c>
      <c r="L286" s="1">
        <v>1.86</v>
      </c>
      <c r="M286" s="1">
        <v>1.86</v>
      </c>
      <c r="N286" s="1">
        <v>0.95</v>
      </c>
      <c r="O286" s="1">
        <v>0.95</v>
      </c>
      <c r="P286" s="1">
        <v>0.95</v>
      </c>
      <c r="Q286" s="1">
        <v>0.95</v>
      </c>
      <c r="R286" s="1">
        <v>1</v>
      </c>
      <c r="S286" s="1">
        <v>1</v>
      </c>
      <c r="T286" s="1">
        <v>0.95</v>
      </c>
      <c r="U286" s="1">
        <v>0.95</v>
      </c>
      <c r="V286" s="1">
        <v>1</v>
      </c>
      <c r="W286" s="1">
        <v>0</v>
      </c>
      <c r="X286" s="1">
        <v>24</v>
      </c>
      <c r="Y286" s="1">
        <v>0</v>
      </c>
      <c r="Z286" s="1">
        <v>0</v>
      </c>
      <c r="AA286" s="1">
        <v>0</v>
      </c>
      <c r="AB286" s="1">
        <v>0</v>
      </c>
      <c r="AC286" s="1">
        <v>24</v>
      </c>
      <c r="AD286" s="1">
        <v>24</v>
      </c>
      <c r="AE286" s="1">
        <v>2.0979999999999999</v>
      </c>
      <c r="AF286" s="1">
        <v>0.95</v>
      </c>
      <c r="AG286" s="1">
        <v>1.44</v>
      </c>
      <c r="AH286" s="1">
        <v>0.95</v>
      </c>
      <c r="AI286" s="1">
        <v>5.6</v>
      </c>
      <c r="AJ286" s="1">
        <v>1</v>
      </c>
      <c r="AK286" s="1">
        <v>0</v>
      </c>
      <c r="AL286" s="1">
        <v>0.95</v>
      </c>
      <c r="AM286" s="1">
        <v>0.95</v>
      </c>
      <c r="AN286" s="1">
        <v>3.88</v>
      </c>
    </row>
    <row r="287" spans="1:40">
      <c r="A287" s="1">
        <v>1025</v>
      </c>
      <c r="C287" s="1">
        <v>2.15</v>
      </c>
      <c r="D287" s="1">
        <v>2.15</v>
      </c>
      <c r="E287" s="1">
        <v>2.15</v>
      </c>
      <c r="F287" s="1">
        <v>2.15</v>
      </c>
      <c r="G287" s="1">
        <v>2</v>
      </c>
      <c r="H287" s="1">
        <v>1</v>
      </c>
      <c r="I287" s="1">
        <v>1</v>
      </c>
      <c r="J287" s="1">
        <v>1.9</v>
      </c>
      <c r="K287" s="1">
        <v>1.9</v>
      </c>
      <c r="L287" s="1">
        <v>1.9</v>
      </c>
      <c r="M287" s="1">
        <v>1.9</v>
      </c>
      <c r="N287" s="1">
        <v>0.95</v>
      </c>
      <c r="O287" s="1">
        <v>0.95</v>
      </c>
      <c r="P287" s="1">
        <v>0.95</v>
      </c>
      <c r="Q287" s="1">
        <v>0.95</v>
      </c>
      <c r="R287" s="1">
        <v>1</v>
      </c>
      <c r="S287" s="1">
        <v>1</v>
      </c>
      <c r="T287" s="1">
        <v>0.95</v>
      </c>
      <c r="U287" s="1">
        <v>0.95</v>
      </c>
      <c r="V287" s="1">
        <v>1</v>
      </c>
      <c r="W287" s="1">
        <v>0</v>
      </c>
      <c r="X287" s="1">
        <v>25</v>
      </c>
      <c r="Y287" s="1">
        <v>0</v>
      </c>
      <c r="Z287" s="1">
        <v>0</v>
      </c>
      <c r="AA287" s="1">
        <v>0</v>
      </c>
      <c r="AB287" s="1">
        <v>0</v>
      </c>
      <c r="AC287" s="1">
        <v>25</v>
      </c>
      <c r="AD287" s="1">
        <v>25</v>
      </c>
      <c r="AE287" s="1">
        <v>2.15</v>
      </c>
      <c r="AF287" s="1">
        <v>0.95</v>
      </c>
      <c r="AG287" s="1">
        <v>1.45</v>
      </c>
      <c r="AH287" s="1">
        <v>0.95</v>
      </c>
      <c r="AI287" s="1">
        <v>5.8</v>
      </c>
      <c r="AJ287" s="1">
        <v>1</v>
      </c>
      <c r="AK287" s="1">
        <v>0</v>
      </c>
      <c r="AL287" s="1">
        <v>0.95</v>
      </c>
      <c r="AM287" s="1">
        <v>0.95</v>
      </c>
      <c r="AN287" s="1">
        <v>4</v>
      </c>
    </row>
    <row r="288" spans="1:40">
      <c r="A288" s="1">
        <v>1100</v>
      </c>
      <c r="C288" s="1">
        <v>0.85</v>
      </c>
      <c r="D288" s="1">
        <v>0.85</v>
      </c>
      <c r="E288" s="1">
        <v>0.85</v>
      </c>
      <c r="F288" s="1">
        <v>0.85</v>
      </c>
      <c r="G288" s="1">
        <v>1</v>
      </c>
      <c r="H288" s="1">
        <v>1</v>
      </c>
      <c r="I288" s="1">
        <v>1</v>
      </c>
      <c r="J288" s="1">
        <v>1</v>
      </c>
      <c r="K288" s="1">
        <v>1</v>
      </c>
      <c r="L288" s="1">
        <v>1</v>
      </c>
      <c r="M288" s="1">
        <v>1</v>
      </c>
      <c r="N288" s="1">
        <v>0.95</v>
      </c>
      <c r="O288" s="1">
        <v>0.95</v>
      </c>
      <c r="P288" s="1">
        <v>0.95</v>
      </c>
      <c r="Q288" s="1">
        <v>0.95</v>
      </c>
      <c r="R288" s="1">
        <v>0.95</v>
      </c>
      <c r="S288" s="1">
        <v>0.95</v>
      </c>
      <c r="T288" s="1">
        <v>1</v>
      </c>
      <c r="U288" s="1">
        <v>0.95</v>
      </c>
      <c r="V288" s="1">
        <v>1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0.85</v>
      </c>
      <c r="AF288" s="1">
        <v>0.95</v>
      </c>
      <c r="AG288" s="1">
        <v>1</v>
      </c>
      <c r="AH288" s="1">
        <v>0.95</v>
      </c>
      <c r="AI288" s="1">
        <v>1</v>
      </c>
      <c r="AJ288" s="1">
        <v>1</v>
      </c>
      <c r="AK288" s="1">
        <v>0</v>
      </c>
      <c r="AL288" s="1">
        <v>0.95</v>
      </c>
      <c r="AM288" s="1">
        <v>0.95</v>
      </c>
      <c r="AN288" s="1">
        <v>1</v>
      </c>
    </row>
    <row r="289" spans="1:40">
      <c r="A289" s="1">
        <v>1101</v>
      </c>
      <c r="C289" s="1">
        <v>0.90200000000000002</v>
      </c>
      <c r="D289" s="1">
        <v>0.90200000000000002</v>
      </c>
      <c r="E289" s="1">
        <v>0.90200000000000002</v>
      </c>
      <c r="F289" s="1">
        <v>0.90200000000000002</v>
      </c>
      <c r="G289" s="1">
        <v>1.04</v>
      </c>
      <c r="H289" s="1">
        <v>1</v>
      </c>
      <c r="I289" s="1">
        <v>1</v>
      </c>
      <c r="J289" s="1">
        <v>1.04</v>
      </c>
      <c r="K289" s="1">
        <v>1.04</v>
      </c>
      <c r="L289" s="1">
        <v>1.04</v>
      </c>
      <c r="M289" s="1">
        <v>1.04</v>
      </c>
      <c r="N289" s="1">
        <v>0.95</v>
      </c>
      <c r="O289" s="1">
        <v>0.95</v>
      </c>
      <c r="P289" s="1">
        <v>0.95</v>
      </c>
      <c r="Q289" s="1">
        <v>0.95</v>
      </c>
      <c r="R289" s="1">
        <v>0.95</v>
      </c>
      <c r="S289" s="1">
        <v>0.95</v>
      </c>
      <c r="T289" s="1">
        <v>1</v>
      </c>
      <c r="U289" s="1">
        <v>0.95</v>
      </c>
      <c r="V289" s="1">
        <v>1</v>
      </c>
      <c r="W289" s="1">
        <v>1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1</v>
      </c>
      <c r="AD289" s="1">
        <v>1</v>
      </c>
      <c r="AE289" s="1">
        <v>0.90200000000000002</v>
      </c>
      <c r="AF289" s="1">
        <v>0.95</v>
      </c>
      <c r="AG289" s="1">
        <v>1.03</v>
      </c>
      <c r="AH289" s="1">
        <v>0.95</v>
      </c>
      <c r="AI289" s="1">
        <v>1</v>
      </c>
      <c r="AJ289" s="1">
        <v>1</v>
      </c>
      <c r="AK289" s="1">
        <v>0</v>
      </c>
      <c r="AL289" s="1">
        <v>0.95</v>
      </c>
      <c r="AM289" s="1">
        <v>0.95</v>
      </c>
      <c r="AN289" s="1">
        <v>1.1200000000000001</v>
      </c>
    </row>
    <row r="290" spans="1:40">
      <c r="A290" s="1">
        <v>1102</v>
      </c>
      <c r="C290" s="1">
        <v>0.95399999999999996</v>
      </c>
      <c r="D290" s="1">
        <v>0.95399999999999996</v>
      </c>
      <c r="E290" s="1">
        <v>0.95399999999999996</v>
      </c>
      <c r="F290" s="1">
        <v>0.95399999999999996</v>
      </c>
      <c r="G290" s="1">
        <v>1.08</v>
      </c>
      <c r="H290" s="1">
        <v>1</v>
      </c>
      <c r="I290" s="1">
        <v>1</v>
      </c>
      <c r="J290" s="1">
        <v>1.08</v>
      </c>
      <c r="K290" s="1">
        <v>1.08</v>
      </c>
      <c r="L290" s="1">
        <v>1.08</v>
      </c>
      <c r="M290" s="1">
        <v>1.08</v>
      </c>
      <c r="N290" s="1">
        <v>0.95</v>
      </c>
      <c r="O290" s="1">
        <v>0.95</v>
      </c>
      <c r="P290" s="1">
        <v>0.95</v>
      </c>
      <c r="Q290" s="1">
        <v>0.95</v>
      </c>
      <c r="R290" s="1">
        <v>0.95</v>
      </c>
      <c r="S290" s="1">
        <v>0.95</v>
      </c>
      <c r="T290" s="1">
        <v>1</v>
      </c>
      <c r="U290" s="1">
        <v>0.95</v>
      </c>
      <c r="V290" s="1">
        <v>1</v>
      </c>
      <c r="W290" s="1">
        <v>2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2</v>
      </c>
      <c r="AD290" s="1">
        <v>2</v>
      </c>
      <c r="AE290" s="1">
        <v>0.95399999999999996</v>
      </c>
      <c r="AF290" s="1">
        <v>0.95</v>
      </c>
      <c r="AG290" s="1">
        <v>1.06</v>
      </c>
      <c r="AH290" s="1">
        <v>0.95</v>
      </c>
      <c r="AI290" s="1">
        <v>1.2</v>
      </c>
      <c r="AJ290" s="1">
        <v>1</v>
      </c>
      <c r="AK290" s="1">
        <v>0</v>
      </c>
      <c r="AL290" s="1">
        <v>0.95</v>
      </c>
      <c r="AM290" s="1">
        <v>0.95</v>
      </c>
      <c r="AN290" s="1">
        <v>1.24</v>
      </c>
    </row>
    <row r="291" spans="1:40">
      <c r="A291" s="1">
        <v>1103</v>
      </c>
      <c r="C291" s="1">
        <v>1.006</v>
      </c>
      <c r="D291" s="1">
        <v>1.006</v>
      </c>
      <c r="E291" s="1">
        <v>1.006</v>
      </c>
      <c r="F291" s="1">
        <v>1.006</v>
      </c>
      <c r="G291" s="1">
        <v>1.1200000000000001</v>
      </c>
      <c r="H291" s="1">
        <v>1</v>
      </c>
      <c r="I291" s="1">
        <v>1</v>
      </c>
      <c r="J291" s="1">
        <v>1.1200000000000001</v>
      </c>
      <c r="K291" s="1">
        <v>1.1200000000000001</v>
      </c>
      <c r="L291" s="1">
        <v>1.1200000000000001</v>
      </c>
      <c r="M291" s="1">
        <v>1.1200000000000001</v>
      </c>
      <c r="N291" s="1">
        <v>0.95</v>
      </c>
      <c r="O291" s="1">
        <v>0.95</v>
      </c>
      <c r="P291" s="1">
        <v>0.95</v>
      </c>
      <c r="Q291" s="1">
        <v>0.95</v>
      </c>
      <c r="R291" s="1">
        <v>0.95</v>
      </c>
      <c r="S291" s="1">
        <v>0.95</v>
      </c>
      <c r="T291" s="1">
        <v>1</v>
      </c>
      <c r="U291" s="1">
        <v>0.95</v>
      </c>
      <c r="V291" s="1">
        <v>1</v>
      </c>
      <c r="W291" s="1">
        <v>3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3</v>
      </c>
      <c r="AD291" s="1">
        <v>3</v>
      </c>
      <c r="AE291" s="1">
        <v>1.006</v>
      </c>
      <c r="AF291" s="1">
        <v>0.95</v>
      </c>
      <c r="AG291" s="1">
        <v>1.0900000000000001</v>
      </c>
      <c r="AH291" s="1">
        <v>0.95</v>
      </c>
      <c r="AI291" s="1">
        <v>1.4</v>
      </c>
      <c r="AJ291" s="1">
        <v>1</v>
      </c>
      <c r="AK291" s="1">
        <v>0</v>
      </c>
      <c r="AL291" s="1">
        <v>0.95</v>
      </c>
      <c r="AM291" s="1">
        <v>0.95</v>
      </c>
      <c r="AN291" s="1">
        <v>1.36</v>
      </c>
    </row>
    <row r="292" spans="1:40">
      <c r="A292" s="1">
        <v>1104</v>
      </c>
      <c r="C292" s="1">
        <v>1.0580000000000001</v>
      </c>
      <c r="D292" s="1">
        <v>1.0580000000000001</v>
      </c>
      <c r="E292" s="1">
        <v>1.0580000000000001</v>
      </c>
      <c r="F292" s="1">
        <v>1.0580000000000001</v>
      </c>
      <c r="G292" s="1">
        <v>1.1599999999999999</v>
      </c>
      <c r="H292" s="1">
        <v>1</v>
      </c>
      <c r="I292" s="1">
        <v>1</v>
      </c>
      <c r="J292" s="1">
        <v>1.1599999999999999</v>
      </c>
      <c r="K292" s="1">
        <v>1.1599999999999999</v>
      </c>
      <c r="L292" s="1">
        <v>1.1599999999999999</v>
      </c>
      <c r="M292" s="1">
        <v>1.1599999999999999</v>
      </c>
      <c r="N292" s="1">
        <v>0.95</v>
      </c>
      <c r="O292" s="1">
        <v>0.95</v>
      </c>
      <c r="P292" s="1">
        <v>0.95</v>
      </c>
      <c r="Q292" s="1">
        <v>0.95</v>
      </c>
      <c r="R292" s="1">
        <v>0.95</v>
      </c>
      <c r="S292" s="1">
        <v>0.95</v>
      </c>
      <c r="T292" s="1">
        <v>1</v>
      </c>
      <c r="U292" s="1">
        <v>0.95</v>
      </c>
      <c r="V292" s="1">
        <v>1</v>
      </c>
      <c r="W292" s="1">
        <v>4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4</v>
      </c>
      <c r="AD292" s="1">
        <v>4</v>
      </c>
      <c r="AE292" s="1">
        <v>1.0580000000000001</v>
      </c>
      <c r="AF292" s="1">
        <v>0.95</v>
      </c>
      <c r="AG292" s="1">
        <v>1.1200000000000001</v>
      </c>
      <c r="AH292" s="1">
        <v>0.95</v>
      </c>
      <c r="AI292" s="1">
        <v>1.6</v>
      </c>
      <c r="AJ292" s="1">
        <v>1</v>
      </c>
      <c r="AK292" s="1">
        <v>0</v>
      </c>
      <c r="AL292" s="1">
        <v>0.95</v>
      </c>
      <c r="AM292" s="1">
        <v>0.95</v>
      </c>
      <c r="AN292" s="1">
        <v>1.48</v>
      </c>
    </row>
    <row r="293" spans="1:40">
      <c r="A293" s="1">
        <v>1105</v>
      </c>
      <c r="C293" s="1">
        <v>1.1100000000000001</v>
      </c>
      <c r="D293" s="1">
        <v>1.1100000000000001</v>
      </c>
      <c r="E293" s="1">
        <v>1.1100000000000001</v>
      </c>
      <c r="F293" s="1">
        <v>1.1100000000000001</v>
      </c>
      <c r="G293" s="1">
        <v>1.2</v>
      </c>
      <c r="H293" s="1">
        <v>1</v>
      </c>
      <c r="I293" s="1">
        <v>1</v>
      </c>
      <c r="J293" s="1">
        <v>1.2</v>
      </c>
      <c r="K293" s="1">
        <v>1.2</v>
      </c>
      <c r="L293" s="1">
        <v>1.2</v>
      </c>
      <c r="M293" s="1">
        <v>1.2</v>
      </c>
      <c r="N293" s="1">
        <v>0.95</v>
      </c>
      <c r="O293" s="1">
        <v>0.95</v>
      </c>
      <c r="P293" s="1">
        <v>0.95</v>
      </c>
      <c r="Q293" s="1">
        <v>0.95</v>
      </c>
      <c r="R293" s="1">
        <v>0.95</v>
      </c>
      <c r="S293" s="1">
        <v>0.95</v>
      </c>
      <c r="T293" s="1">
        <v>1</v>
      </c>
      <c r="U293" s="1">
        <v>0.95</v>
      </c>
      <c r="V293" s="1">
        <v>1</v>
      </c>
      <c r="W293" s="1">
        <v>5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5</v>
      </c>
      <c r="AD293" s="1">
        <v>5</v>
      </c>
      <c r="AE293" s="1">
        <v>1.1100000000000001</v>
      </c>
      <c r="AF293" s="1">
        <v>0.95</v>
      </c>
      <c r="AG293" s="1">
        <v>1.1499999999999999</v>
      </c>
      <c r="AH293" s="1">
        <v>0.95</v>
      </c>
      <c r="AI293" s="1">
        <v>1.8</v>
      </c>
      <c r="AJ293" s="1">
        <v>1</v>
      </c>
      <c r="AK293" s="1">
        <v>0</v>
      </c>
      <c r="AL293" s="1">
        <v>0.95</v>
      </c>
      <c r="AM293" s="1">
        <v>0.95</v>
      </c>
      <c r="AN293" s="1">
        <v>1.6</v>
      </c>
    </row>
    <row r="294" spans="1:40">
      <c r="A294" s="1">
        <v>1106</v>
      </c>
      <c r="C294" s="1">
        <v>1.1619999999999999</v>
      </c>
      <c r="D294" s="1">
        <v>1.1619999999999999</v>
      </c>
      <c r="E294" s="1">
        <v>1.1619999999999999</v>
      </c>
      <c r="F294" s="1">
        <v>1.1619999999999999</v>
      </c>
      <c r="G294" s="1">
        <v>1.24</v>
      </c>
      <c r="H294" s="1">
        <v>1</v>
      </c>
      <c r="I294" s="1">
        <v>1</v>
      </c>
      <c r="J294" s="1">
        <v>1.24</v>
      </c>
      <c r="K294" s="1">
        <v>1.24</v>
      </c>
      <c r="L294" s="1">
        <v>1.24</v>
      </c>
      <c r="M294" s="1">
        <v>1.24</v>
      </c>
      <c r="N294" s="1">
        <v>0.95</v>
      </c>
      <c r="O294" s="1">
        <v>0.95</v>
      </c>
      <c r="P294" s="1">
        <v>0.95</v>
      </c>
      <c r="Q294" s="1">
        <v>0.95</v>
      </c>
      <c r="R294" s="1">
        <v>0.95</v>
      </c>
      <c r="S294" s="1">
        <v>0.95</v>
      </c>
      <c r="T294" s="1">
        <v>1</v>
      </c>
      <c r="U294" s="1">
        <v>0.95</v>
      </c>
      <c r="V294" s="1">
        <v>1</v>
      </c>
      <c r="W294" s="1">
        <v>6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6</v>
      </c>
      <c r="AD294" s="1">
        <v>6</v>
      </c>
      <c r="AE294" s="1">
        <v>1.1619999999999999</v>
      </c>
      <c r="AF294" s="1">
        <v>0.95</v>
      </c>
      <c r="AG294" s="1">
        <v>1.18</v>
      </c>
      <c r="AH294" s="1">
        <v>0.95</v>
      </c>
      <c r="AI294" s="1">
        <v>2</v>
      </c>
      <c r="AJ294" s="1">
        <v>1</v>
      </c>
      <c r="AK294" s="1">
        <v>0</v>
      </c>
      <c r="AL294" s="1">
        <v>0.95</v>
      </c>
      <c r="AM294" s="1">
        <v>0.95</v>
      </c>
      <c r="AN294" s="1">
        <v>1.72</v>
      </c>
    </row>
    <row r="295" spans="1:40">
      <c r="A295" s="1">
        <v>1107</v>
      </c>
      <c r="C295" s="1">
        <v>1.214</v>
      </c>
      <c r="D295" s="1">
        <v>1.214</v>
      </c>
      <c r="E295" s="1">
        <v>1.214</v>
      </c>
      <c r="F295" s="1">
        <v>1.214</v>
      </c>
      <c r="G295" s="1">
        <v>1.28</v>
      </c>
      <c r="H295" s="1">
        <v>1</v>
      </c>
      <c r="I295" s="1">
        <v>1</v>
      </c>
      <c r="J295" s="1">
        <v>1.28</v>
      </c>
      <c r="K295" s="1">
        <v>1.28</v>
      </c>
      <c r="L295" s="1">
        <v>1.28</v>
      </c>
      <c r="M295" s="1">
        <v>1.28</v>
      </c>
      <c r="N295" s="1">
        <v>0.95</v>
      </c>
      <c r="O295" s="1">
        <v>0.95</v>
      </c>
      <c r="P295" s="1">
        <v>0.95</v>
      </c>
      <c r="Q295" s="1">
        <v>0.95</v>
      </c>
      <c r="R295" s="1">
        <v>0.95</v>
      </c>
      <c r="S295" s="1">
        <v>0.95</v>
      </c>
      <c r="T295" s="1">
        <v>1</v>
      </c>
      <c r="U295" s="1">
        <v>0.95</v>
      </c>
      <c r="V295" s="1">
        <v>1</v>
      </c>
      <c r="W295" s="1">
        <v>7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7</v>
      </c>
      <c r="AD295" s="1">
        <v>7</v>
      </c>
      <c r="AE295" s="1">
        <v>1.214</v>
      </c>
      <c r="AF295" s="1">
        <v>0.95</v>
      </c>
      <c r="AG295" s="1">
        <v>1.21</v>
      </c>
      <c r="AH295" s="1">
        <v>0.95</v>
      </c>
      <c r="AI295" s="1">
        <v>2.2000000000000002</v>
      </c>
      <c r="AJ295" s="1">
        <v>1</v>
      </c>
      <c r="AK295" s="1">
        <v>0</v>
      </c>
      <c r="AL295" s="1">
        <v>0.95</v>
      </c>
      <c r="AM295" s="1">
        <v>0.95</v>
      </c>
      <c r="AN295" s="1">
        <v>1.84</v>
      </c>
    </row>
    <row r="296" spans="1:40">
      <c r="A296" s="1">
        <v>1108</v>
      </c>
      <c r="C296" s="1">
        <v>1.266</v>
      </c>
      <c r="D296" s="1">
        <v>1.266</v>
      </c>
      <c r="E296" s="1">
        <v>1.266</v>
      </c>
      <c r="F296" s="1">
        <v>1.266</v>
      </c>
      <c r="G296" s="1">
        <v>1.32</v>
      </c>
      <c r="H296" s="1">
        <v>1</v>
      </c>
      <c r="I296" s="1">
        <v>1</v>
      </c>
      <c r="J296" s="1">
        <v>1.32</v>
      </c>
      <c r="K296" s="1">
        <v>1.32</v>
      </c>
      <c r="L296" s="1">
        <v>1.32</v>
      </c>
      <c r="M296" s="1">
        <v>1.32</v>
      </c>
      <c r="N296" s="1">
        <v>0.95</v>
      </c>
      <c r="O296" s="1">
        <v>0.95</v>
      </c>
      <c r="P296" s="1">
        <v>0.95</v>
      </c>
      <c r="Q296" s="1">
        <v>0.95</v>
      </c>
      <c r="R296" s="1">
        <v>0.95</v>
      </c>
      <c r="S296" s="1">
        <v>0.95</v>
      </c>
      <c r="T296" s="1">
        <v>1</v>
      </c>
      <c r="U296" s="1">
        <v>0.95</v>
      </c>
      <c r="V296" s="1">
        <v>1</v>
      </c>
      <c r="W296" s="1">
        <v>8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8</v>
      </c>
      <c r="AD296" s="1">
        <v>8</v>
      </c>
      <c r="AE296" s="1">
        <v>1.266</v>
      </c>
      <c r="AF296" s="1">
        <v>0.95</v>
      </c>
      <c r="AG296" s="1">
        <v>1.24</v>
      </c>
      <c r="AH296" s="1">
        <v>0.95</v>
      </c>
      <c r="AI296" s="1">
        <v>2.4</v>
      </c>
      <c r="AJ296" s="1">
        <v>1</v>
      </c>
      <c r="AK296" s="1">
        <v>0</v>
      </c>
      <c r="AL296" s="1">
        <v>0.95</v>
      </c>
      <c r="AM296" s="1">
        <v>0.95</v>
      </c>
      <c r="AN296" s="1">
        <v>1.96</v>
      </c>
    </row>
    <row r="297" spans="1:40">
      <c r="A297" s="1">
        <v>1109</v>
      </c>
      <c r="C297" s="1">
        <v>1.3180000000000001</v>
      </c>
      <c r="D297" s="1">
        <v>1.3180000000000001</v>
      </c>
      <c r="E297" s="1">
        <v>1.3180000000000001</v>
      </c>
      <c r="F297" s="1">
        <v>1.3180000000000001</v>
      </c>
      <c r="G297" s="1">
        <v>1.36</v>
      </c>
      <c r="H297" s="1">
        <v>1</v>
      </c>
      <c r="I297" s="1">
        <v>1</v>
      </c>
      <c r="J297" s="1">
        <v>1.36</v>
      </c>
      <c r="K297" s="1">
        <v>1.36</v>
      </c>
      <c r="L297" s="1">
        <v>1.36</v>
      </c>
      <c r="M297" s="1">
        <v>1.36</v>
      </c>
      <c r="N297" s="1">
        <v>0.95</v>
      </c>
      <c r="O297" s="1">
        <v>0.95</v>
      </c>
      <c r="P297" s="1">
        <v>0.95</v>
      </c>
      <c r="Q297" s="1">
        <v>0.95</v>
      </c>
      <c r="R297" s="1">
        <v>0.95</v>
      </c>
      <c r="S297" s="1">
        <v>0.95</v>
      </c>
      <c r="T297" s="1">
        <v>1</v>
      </c>
      <c r="U297" s="1">
        <v>0.95</v>
      </c>
      <c r="V297" s="1">
        <v>1</v>
      </c>
      <c r="W297" s="1">
        <v>9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9</v>
      </c>
      <c r="AD297" s="1">
        <v>9</v>
      </c>
      <c r="AE297" s="1">
        <v>1.3180000000000001</v>
      </c>
      <c r="AF297" s="1">
        <v>0.95</v>
      </c>
      <c r="AG297" s="1">
        <v>1.27</v>
      </c>
      <c r="AH297" s="1">
        <v>0.95</v>
      </c>
      <c r="AI297" s="1">
        <v>2.6</v>
      </c>
      <c r="AJ297" s="1">
        <v>1</v>
      </c>
      <c r="AK297" s="1">
        <v>0</v>
      </c>
      <c r="AL297" s="1">
        <v>0.95</v>
      </c>
      <c r="AM297" s="1">
        <v>0.95</v>
      </c>
      <c r="AN297" s="1">
        <v>2.08</v>
      </c>
    </row>
    <row r="298" spans="1:40">
      <c r="A298" s="1">
        <v>1110</v>
      </c>
      <c r="C298" s="1">
        <v>1.37</v>
      </c>
      <c r="D298" s="1">
        <v>1.37</v>
      </c>
      <c r="E298" s="1">
        <v>1.37</v>
      </c>
      <c r="F298" s="1">
        <v>1.37</v>
      </c>
      <c r="G298" s="1">
        <v>1.4</v>
      </c>
      <c r="H298" s="1">
        <v>1</v>
      </c>
      <c r="I298" s="1">
        <v>1</v>
      </c>
      <c r="J298" s="1">
        <v>1.4</v>
      </c>
      <c r="K298" s="1">
        <v>1.4</v>
      </c>
      <c r="L298" s="1">
        <v>1.4</v>
      </c>
      <c r="M298" s="1">
        <v>1.4</v>
      </c>
      <c r="N298" s="1">
        <v>0.95</v>
      </c>
      <c r="O298" s="1">
        <v>0.95</v>
      </c>
      <c r="P298" s="1">
        <v>0.95</v>
      </c>
      <c r="Q298" s="1">
        <v>0.95</v>
      </c>
      <c r="R298" s="1">
        <v>0.95</v>
      </c>
      <c r="S298" s="1">
        <v>0.95</v>
      </c>
      <c r="T298" s="1">
        <v>1</v>
      </c>
      <c r="U298" s="1">
        <v>0.95</v>
      </c>
      <c r="V298" s="1">
        <v>1</v>
      </c>
      <c r="W298" s="1">
        <v>10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10</v>
      </c>
      <c r="AD298" s="1">
        <v>10</v>
      </c>
      <c r="AE298" s="1">
        <v>1.37</v>
      </c>
      <c r="AF298" s="1">
        <v>0.95</v>
      </c>
      <c r="AG298" s="1">
        <v>1.3</v>
      </c>
      <c r="AH298" s="1">
        <v>0.95</v>
      </c>
      <c r="AI298" s="1">
        <v>2.8</v>
      </c>
      <c r="AJ298" s="1">
        <v>1</v>
      </c>
      <c r="AK298" s="1">
        <v>0</v>
      </c>
      <c r="AL298" s="1">
        <v>0.95</v>
      </c>
      <c r="AM298" s="1">
        <v>0.95</v>
      </c>
      <c r="AN298" s="1">
        <v>2.2000000000000002</v>
      </c>
    </row>
    <row r="299" spans="1:40">
      <c r="A299" s="1">
        <v>1111</v>
      </c>
      <c r="C299" s="1">
        <v>1.4219999999999999</v>
      </c>
      <c r="D299" s="1">
        <v>1.4219999999999999</v>
      </c>
      <c r="E299" s="1">
        <v>1.4219999999999999</v>
      </c>
      <c r="F299" s="1">
        <v>1.4219999999999999</v>
      </c>
      <c r="G299" s="1">
        <v>1.44</v>
      </c>
      <c r="H299" s="1">
        <v>1</v>
      </c>
      <c r="I299" s="1">
        <v>1</v>
      </c>
      <c r="J299" s="1">
        <v>1.43</v>
      </c>
      <c r="K299" s="1">
        <v>1.43</v>
      </c>
      <c r="L299" s="1">
        <v>1.43</v>
      </c>
      <c r="M299" s="1">
        <v>1.43</v>
      </c>
      <c r="N299" s="1">
        <v>0.95</v>
      </c>
      <c r="O299" s="1">
        <v>0.95</v>
      </c>
      <c r="P299" s="1">
        <v>0.95</v>
      </c>
      <c r="Q299" s="1">
        <v>0.95</v>
      </c>
      <c r="R299" s="1">
        <v>0.95</v>
      </c>
      <c r="S299" s="1">
        <v>0.95</v>
      </c>
      <c r="T299" s="1">
        <v>1</v>
      </c>
      <c r="U299" s="1">
        <v>0.95</v>
      </c>
      <c r="V299" s="1">
        <v>1</v>
      </c>
      <c r="W299" s="1">
        <v>11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11</v>
      </c>
      <c r="AD299" s="1">
        <v>11</v>
      </c>
      <c r="AE299" s="1">
        <v>1.4219999999999999</v>
      </c>
      <c r="AF299" s="1">
        <v>0.95</v>
      </c>
      <c r="AG299" s="1">
        <v>1.31</v>
      </c>
      <c r="AH299" s="1">
        <v>0.95</v>
      </c>
      <c r="AI299" s="1">
        <v>3</v>
      </c>
      <c r="AJ299" s="1">
        <v>1</v>
      </c>
      <c r="AK299" s="1">
        <v>0</v>
      </c>
      <c r="AL299" s="1">
        <v>0.95</v>
      </c>
      <c r="AM299" s="1">
        <v>0.95</v>
      </c>
      <c r="AN299" s="1">
        <v>2.3199999999999998</v>
      </c>
    </row>
    <row r="300" spans="1:40">
      <c r="A300" s="1">
        <v>1112</v>
      </c>
      <c r="C300" s="1">
        <v>1.474</v>
      </c>
      <c r="D300" s="1">
        <v>1.474</v>
      </c>
      <c r="E300" s="1">
        <v>1.474</v>
      </c>
      <c r="F300" s="1">
        <v>1.474</v>
      </c>
      <c r="G300" s="1">
        <v>1.48</v>
      </c>
      <c r="H300" s="1">
        <v>1</v>
      </c>
      <c r="I300" s="1">
        <v>1</v>
      </c>
      <c r="J300" s="1">
        <v>1.46</v>
      </c>
      <c r="K300" s="1">
        <v>1.46</v>
      </c>
      <c r="L300" s="1">
        <v>1.46</v>
      </c>
      <c r="M300" s="1">
        <v>1.46</v>
      </c>
      <c r="N300" s="1">
        <v>0.95</v>
      </c>
      <c r="O300" s="1">
        <v>0.95</v>
      </c>
      <c r="P300" s="1">
        <v>0.95</v>
      </c>
      <c r="Q300" s="1">
        <v>0.95</v>
      </c>
      <c r="R300" s="1">
        <v>0.95</v>
      </c>
      <c r="S300" s="1">
        <v>0.95</v>
      </c>
      <c r="T300" s="1">
        <v>1</v>
      </c>
      <c r="U300" s="1">
        <v>0.95</v>
      </c>
      <c r="V300" s="1">
        <v>1</v>
      </c>
      <c r="W300" s="1">
        <v>12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12</v>
      </c>
      <c r="AD300" s="1">
        <v>12</v>
      </c>
      <c r="AE300" s="1">
        <v>1.474</v>
      </c>
      <c r="AF300" s="1">
        <v>0.95</v>
      </c>
      <c r="AG300" s="1">
        <v>1.32</v>
      </c>
      <c r="AH300" s="1">
        <v>0.95</v>
      </c>
      <c r="AI300" s="1">
        <v>3.2</v>
      </c>
      <c r="AJ300" s="1">
        <v>1</v>
      </c>
      <c r="AK300" s="1">
        <v>0</v>
      </c>
      <c r="AL300" s="1">
        <v>0.95</v>
      </c>
      <c r="AM300" s="1">
        <v>0.95</v>
      </c>
      <c r="AN300" s="1">
        <v>2.44</v>
      </c>
    </row>
    <row r="301" spans="1:40">
      <c r="A301" s="1">
        <v>1113</v>
      </c>
      <c r="C301" s="1">
        <v>1.526</v>
      </c>
      <c r="D301" s="1">
        <v>1.526</v>
      </c>
      <c r="E301" s="1">
        <v>1.526</v>
      </c>
      <c r="F301" s="1">
        <v>1.526</v>
      </c>
      <c r="G301" s="1">
        <v>1.52</v>
      </c>
      <c r="H301" s="1">
        <v>1</v>
      </c>
      <c r="I301" s="1">
        <v>1</v>
      </c>
      <c r="J301" s="1">
        <v>1.49</v>
      </c>
      <c r="K301" s="1">
        <v>1.49</v>
      </c>
      <c r="L301" s="1">
        <v>1.49</v>
      </c>
      <c r="M301" s="1">
        <v>1.49</v>
      </c>
      <c r="N301" s="1">
        <v>0.95</v>
      </c>
      <c r="O301" s="1">
        <v>0.95</v>
      </c>
      <c r="P301" s="1">
        <v>0.95</v>
      </c>
      <c r="Q301" s="1">
        <v>0.95</v>
      </c>
      <c r="R301" s="1">
        <v>0.95</v>
      </c>
      <c r="S301" s="1">
        <v>0.95</v>
      </c>
      <c r="T301" s="1">
        <v>1</v>
      </c>
      <c r="U301" s="1">
        <v>0.95</v>
      </c>
      <c r="V301" s="1">
        <v>1</v>
      </c>
      <c r="W301" s="1">
        <v>13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13</v>
      </c>
      <c r="AD301" s="1">
        <v>13</v>
      </c>
      <c r="AE301" s="1">
        <v>1.526</v>
      </c>
      <c r="AF301" s="1">
        <v>0.95</v>
      </c>
      <c r="AG301" s="1">
        <v>1.33</v>
      </c>
      <c r="AH301" s="1">
        <v>0.95</v>
      </c>
      <c r="AI301" s="1">
        <v>3.4</v>
      </c>
      <c r="AJ301" s="1">
        <v>1</v>
      </c>
      <c r="AK301" s="1">
        <v>0</v>
      </c>
      <c r="AL301" s="1">
        <v>0.95</v>
      </c>
      <c r="AM301" s="1">
        <v>0.95</v>
      </c>
      <c r="AN301" s="1">
        <v>2.56</v>
      </c>
    </row>
    <row r="302" spans="1:40">
      <c r="A302" s="1">
        <v>1114</v>
      </c>
      <c r="C302" s="1">
        <v>1.5780000000000001</v>
      </c>
      <c r="D302" s="1">
        <v>1.5780000000000001</v>
      </c>
      <c r="E302" s="1">
        <v>1.5780000000000001</v>
      </c>
      <c r="F302" s="1">
        <v>1.5780000000000001</v>
      </c>
      <c r="G302" s="1">
        <v>1.56</v>
      </c>
      <c r="H302" s="1">
        <v>1</v>
      </c>
      <c r="I302" s="1">
        <v>1</v>
      </c>
      <c r="J302" s="1">
        <v>1.52</v>
      </c>
      <c r="K302" s="1">
        <v>1.52</v>
      </c>
      <c r="L302" s="1">
        <v>1.52</v>
      </c>
      <c r="M302" s="1">
        <v>1.52</v>
      </c>
      <c r="N302" s="1">
        <v>0.95</v>
      </c>
      <c r="O302" s="1">
        <v>0.95</v>
      </c>
      <c r="P302" s="1">
        <v>0.95</v>
      </c>
      <c r="Q302" s="1">
        <v>0.95</v>
      </c>
      <c r="R302" s="1">
        <v>0.95</v>
      </c>
      <c r="S302" s="1">
        <v>0.95</v>
      </c>
      <c r="T302" s="1">
        <v>1</v>
      </c>
      <c r="U302" s="1">
        <v>0.95</v>
      </c>
      <c r="V302" s="1">
        <v>1</v>
      </c>
      <c r="W302" s="1">
        <v>14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14</v>
      </c>
      <c r="AD302" s="1">
        <v>14</v>
      </c>
      <c r="AE302" s="1">
        <v>1.5780000000000001</v>
      </c>
      <c r="AF302" s="1">
        <v>0.95</v>
      </c>
      <c r="AG302" s="1">
        <v>1.34</v>
      </c>
      <c r="AH302" s="1">
        <v>0.95</v>
      </c>
      <c r="AI302" s="1">
        <v>3.6</v>
      </c>
      <c r="AJ302" s="1">
        <v>1</v>
      </c>
      <c r="AK302" s="1">
        <v>0</v>
      </c>
      <c r="AL302" s="1">
        <v>0.95</v>
      </c>
      <c r="AM302" s="1">
        <v>0.95</v>
      </c>
      <c r="AN302" s="1">
        <v>2.68</v>
      </c>
    </row>
    <row r="303" spans="1:40">
      <c r="A303" s="1">
        <v>1115</v>
      </c>
      <c r="C303" s="1">
        <v>1.63</v>
      </c>
      <c r="D303" s="1">
        <v>1.63</v>
      </c>
      <c r="E303" s="1">
        <v>1.63</v>
      </c>
      <c r="F303" s="1">
        <v>1.63</v>
      </c>
      <c r="G303" s="1">
        <v>1.6</v>
      </c>
      <c r="H303" s="1">
        <v>1</v>
      </c>
      <c r="I303" s="1">
        <v>1</v>
      </c>
      <c r="J303" s="1">
        <v>1.55</v>
      </c>
      <c r="K303" s="1">
        <v>1.55</v>
      </c>
      <c r="L303" s="1">
        <v>1.55</v>
      </c>
      <c r="M303" s="1">
        <v>1.55</v>
      </c>
      <c r="N303" s="1">
        <v>0.95</v>
      </c>
      <c r="O303" s="1">
        <v>0.95</v>
      </c>
      <c r="P303" s="1">
        <v>0.95</v>
      </c>
      <c r="Q303" s="1">
        <v>0.95</v>
      </c>
      <c r="R303" s="1">
        <v>0.95</v>
      </c>
      <c r="S303" s="1">
        <v>0.95</v>
      </c>
      <c r="T303" s="1">
        <v>1</v>
      </c>
      <c r="U303" s="1">
        <v>0.95</v>
      </c>
      <c r="V303" s="1">
        <v>1</v>
      </c>
      <c r="W303" s="1">
        <v>15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15</v>
      </c>
      <c r="AD303" s="1">
        <v>15</v>
      </c>
      <c r="AE303" s="1">
        <v>1.63</v>
      </c>
      <c r="AF303" s="1">
        <v>0.95</v>
      </c>
      <c r="AG303" s="1">
        <v>1.35</v>
      </c>
      <c r="AH303" s="1">
        <v>0.95</v>
      </c>
      <c r="AI303" s="1">
        <v>3.8</v>
      </c>
      <c r="AJ303" s="1">
        <v>1</v>
      </c>
      <c r="AK303" s="1">
        <v>0</v>
      </c>
      <c r="AL303" s="1">
        <v>0.95</v>
      </c>
      <c r="AM303" s="1">
        <v>0.95</v>
      </c>
      <c r="AN303" s="1">
        <v>2.8</v>
      </c>
    </row>
    <row r="304" spans="1:40">
      <c r="A304" s="1">
        <v>1116</v>
      </c>
      <c r="C304" s="1">
        <v>1.6819999999999999</v>
      </c>
      <c r="D304" s="1">
        <v>1.6819999999999999</v>
      </c>
      <c r="E304" s="1">
        <v>1.6819999999999999</v>
      </c>
      <c r="F304" s="1">
        <v>1.6819999999999999</v>
      </c>
      <c r="G304" s="1">
        <v>1.64</v>
      </c>
      <c r="H304" s="1">
        <v>1</v>
      </c>
      <c r="I304" s="1">
        <v>1</v>
      </c>
      <c r="J304" s="1">
        <v>1.58</v>
      </c>
      <c r="K304" s="1">
        <v>1.58</v>
      </c>
      <c r="L304" s="1">
        <v>1.58</v>
      </c>
      <c r="M304" s="1">
        <v>1.58</v>
      </c>
      <c r="N304" s="1">
        <v>0.95</v>
      </c>
      <c r="O304" s="1">
        <v>0.95</v>
      </c>
      <c r="P304" s="1">
        <v>0.95</v>
      </c>
      <c r="Q304" s="1">
        <v>0.95</v>
      </c>
      <c r="R304" s="1">
        <v>0.95</v>
      </c>
      <c r="S304" s="1">
        <v>0.95</v>
      </c>
      <c r="T304" s="1">
        <v>1</v>
      </c>
      <c r="U304" s="1">
        <v>0.95</v>
      </c>
      <c r="V304" s="1">
        <v>1</v>
      </c>
      <c r="W304" s="1">
        <v>16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16</v>
      </c>
      <c r="AD304" s="1">
        <v>16</v>
      </c>
      <c r="AE304" s="1">
        <v>1.6819999999999999</v>
      </c>
      <c r="AF304" s="1">
        <v>0.95</v>
      </c>
      <c r="AG304" s="1">
        <v>1.36</v>
      </c>
      <c r="AH304" s="1">
        <v>0.95</v>
      </c>
      <c r="AI304" s="1">
        <v>4</v>
      </c>
      <c r="AJ304" s="1">
        <v>1</v>
      </c>
      <c r="AK304" s="1">
        <v>0</v>
      </c>
      <c r="AL304" s="1">
        <v>0.95</v>
      </c>
      <c r="AM304" s="1">
        <v>0.95</v>
      </c>
      <c r="AN304" s="1">
        <v>2.92</v>
      </c>
    </row>
    <row r="305" spans="1:40">
      <c r="A305" s="1">
        <v>1117</v>
      </c>
      <c r="C305" s="1">
        <v>1.734</v>
      </c>
      <c r="D305" s="1">
        <v>1.734</v>
      </c>
      <c r="E305" s="1">
        <v>1.734</v>
      </c>
      <c r="F305" s="1">
        <v>1.734</v>
      </c>
      <c r="G305" s="1">
        <v>1.68</v>
      </c>
      <c r="H305" s="1">
        <v>1</v>
      </c>
      <c r="I305" s="1">
        <v>1</v>
      </c>
      <c r="J305" s="1">
        <v>1.61</v>
      </c>
      <c r="K305" s="1">
        <v>1.61</v>
      </c>
      <c r="L305" s="1">
        <v>1.61</v>
      </c>
      <c r="M305" s="1">
        <v>1.61</v>
      </c>
      <c r="N305" s="1">
        <v>0.95</v>
      </c>
      <c r="O305" s="1">
        <v>0.95</v>
      </c>
      <c r="P305" s="1">
        <v>0.95</v>
      </c>
      <c r="Q305" s="1">
        <v>0.95</v>
      </c>
      <c r="R305" s="1">
        <v>0.95</v>
      </c>
      <c r="S305" s="1">
        <v>0.95</v>
      </c>
      <c r="T305" s="1">
        <v>1</v>
      </c>
      <c r="U305" s="1">
        <v>0.95</v>
      </c>
      <c r="V305" s="1">
        <v>1</v>
      </c>
      <c r="W305" s="1">
        <v>17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17</v>
      </c>
      <c r="AD305" s="1">
        <v>17</v>
      </c>
      <c r="AE305" s="1">
        <v>1.734</v>
      </c>
      <c r="AF305" s="1">
        <v>0.95</v>
      </c>
      <c r="AG305" s="1">
        <v>1.37</v>
      </c>
      <c r="AH305" s="1">
        <v>0.95</v>
      </c>
      <c r="AI305" s="1">
        <v>4.2</v>
      </c>
      <c r="AJ305" s="1">
        <v>1</v>
      </c>
      <c r="AK305" s="1">
        <v>0</v>
      </c>
      <c r="AL305" s="1">
        <v>0.95</v>
      </c>
      <c r="AM305" s="1">
        <v>0.95</v>
      </c>
      <c r="AN305" s="1">
        <v>3.04</v>
      </c>
    </row>
    <row r="306" spans="1:40">
      <c r="A306" s="1">
        <v>1118</v>
      </c>
      <c r="C306" s="1">
        <v>1.786</v>
      </c>
      <c r="D306" s="1">
        <v>1.786</v>
      </c>
      <c r="E306" s="1">
        <v>1.786</v>
      </c>
      <c r="F306" s="1">
        <v>1.786</v>
      </c>
      <c r="G306" s="1">
        <v>1.72</v>
      </c>
      <c r="H306" s="1">
        <v>1</v>
      </c>
      <c r="I306" s="1">
        <v>1</v>
      </c>
      <c r="J306" s="1">
        <v>1.64</v>
      </c>
      <c r="K306" s="1">
        <v>1.64</v>
      </c>
      <c r="L306" s="1">
        <v>1.64</v>
      </c>
      <c r="M306" s="1">
        <v>1.64</v>
      </c>
      <c r="N306" s="1">
        <v>0.95</v>
      </c>
      <c r="O306" s="1">
        <v>0.95</v>
      </c>
      <c r="P306" s="1">
        <v>0.95</v>
      </c>
      <c r="Q306" s="1">
        <v>0.95</v>
      </c>
      <c r="R306" s="1">
        <v>0.95</v>
      </c>
      <c r="S306" s="1">
        <v>0.95</v>
      </c>
      <c r="T306" s="1">
        <v>1</v>
      </c>
      <c r="U306" s="1">
        <v>0.95</v>
      </c>
      <c r="V306" s="1">
        <v>1</v>
      </c>
      <c r="W306" s="1">
        <v>18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18</v>
      </c>
      <c r="AD306" s="1">
        <v>18</v>
      </c>
      <c r="AE306" s="1">
        <v>1.786</v>
      </c>
      <c r="AF306" s="1">
        <v>0.95</v>
      </c>
      <c r="AG306" s="1">
        <v>1.38</v>
      </c>
      <c r="AH306" s="1">
        <v>0.95</v>
      </c>
      <c r="AI306" s="1">
        <v>4.4000000000000004</v>
      </c>
      <c r="AJ306" s="1">
        <v>1</v>
      </c>
      <c r="AK306" s="1">
        <v>0</v>
      </c>
      <c r="AL306" s="1">
        <v>0.95</v>
      </c>
      <c r="AM306" s="1">
        <v>0.95</v>
      </c>
      <c r="AN306" s="1">
        <v>3.16</v>
      </c>
    </row>
    <row r="307" spans="1:40">
      <c r="A307" s="1">
        <v>1119</v>
      </c>
      <c r="C307" s="1">
        <v>1.8380000000000001</v>
      </c>
      <c r="D307" s="1">
        <v>1.8380000000000001</v>
      </c>
      <c r="E307" s="1">
        <v>1.8380000000000001</v>
      </c>
      <c r="F307" s="1">
        <v>1.8380000000000001</v>
      </c>
      <c r="G307" s="1">
        <v>1.76</v>
      </c>
      <c r="H307" s="1">
        <v>1</v>
      </c>
      <c r="I307" s="1">
        <v>1</v>
      </c>
      <c r="J307" s="1">
        <v>1.67</v>
      </c>
      <c r="K307" s="1">
        <v>1.67</v>
      </c>
      <c r="L307" s="1">
        <v>1.67</v>
      </c>
      <c r="M307" s="1">
        <v>1.67</v>
      </c>
      <c r="N307" s="1">
        <v>0.95</v>
      </c>
      <c r="O307" s="1">
        <v>0.95</v>
      </c>
      <c r="P307" s="1">
        <v>0.95</v>
      </c>
      <c r="Q307" s="1">
        <v>0.95</v>
      </c>
      <c r="R307" s="1">
        <v>0.95</v>
      </c>
      <c r="S307" s="1">
        <v>0.95</v>
      </c>
      <c r="T307" s="1">
        <v>1</v>
      </c>
      <c r="U307" s="1">
        <v>0.95</v>
      </c>
      <c r="V307" s="1">
        <v>1</v>
      </c>
      <c r="W307" s="1">
        <v>19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19</v>
      </c>
      <c r="AD307" s="1">
        <v>19</v>
      </c>
      <c r="AE307" s="1">
        <v>1.8380000000000001</v>
      </c>
      <c r="AF307" s="1">
        <v>0.95</v>
      </c>
      <c r="AG307" s="1">
        <v>1.39</v>
      </c>
      <c r="AH307" s="1">
        <v>0.95</v>
      </c>
      <c r="AI307" s="1">
        <v>4.5999999999999996</v>
      </c>
      <c r="AJ307" s="1">
        <v>1</v>
      </c>
      <c r="AK307" s="1">
        <v>0</v>
      </c>
      <c r="AL307" s="1">
        <v>0.95</v>
      </c>
      <c r="AM307" s="1">
        <v>0.95</v>
      </c>
      <c r="AN307" s="1">
        <v>3.28</v>
      </c>
    </row>
    <row r="308" spans="1:40">
      <c r="A308" s="1">
        <v>1120</v>
      </c>
      <c r="C308" s="1">
        <v>1.89</v>
      </c>
      <c r="D308" s="1">
        <v>1.89</v>
      </c>
      <c r="E308" s="1">
        <v>1.89</v>
      </c>
      <c r="F308" s="1">
        <v>1.89</v>
      </c>
      <c r="G308" s="1">
        <v>1.8</v>
      </c>
      <c r="H308" s="1">
        <v>1</v>
      </c>
      <c r="I308" s="1">
        <v>1</v>
      </c>
      <c r="J308" s="1">
        <v>1.7</v>
      </c>
      <c r="K308" s="1">
        <v>1.7</v>
      </c>
      <c r="L308" s="1">
        <v>1.7</v>
      </c>
      <c r="M308" s="1">
        <v>1.7</v>
      </c>
      <c r="N308" s="1">
        <v>0.95</v>
      </c>
      <c r="O308" s="1">
        <v>0.95</v>
      </c>
      <c r="P308" s="1">
        <v>0.95</v>
      </c>
      <c r="Q308" s="1">
        <v>0.95</v>
      </c>
      <c r="R308" s="1">
        <v>0.95</v>
      </c>
      <c r="S308" s="1">
        <v>0.95</v>
      </c>
      <c r="T308" s="1">
        <v>1</v>
      </c>
      <c r="U308" s="1">
        <v>0.95</v>
      </c>
      <c r="V308" s="1">
        <v>1</v>
      </c>
      <c r="W308" s="1">
        <v>20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20</v>
      </c>
      <c r="AD308" s="1">
        <v>20</v>
      </c>
      <c r="AE308" s="1">
        <v>1.89</v>
      </c>
      <c r="AF308" s="1">
        <v>0.95</v>
      </c>
      <c r="AG308" s="1">
        <v>1.4</v>
      </c>
      <c r="AH308" s="1">
        <v>0.95</v>
      </c>
      <c r="AI308" s="1">
        <v>4.8</v>
      </c>
      <c r="AJ308" s="1">
        <v>1</v>
      </c>
      <c r="AK308" s="1">
        <v>0</v>
      </c>
      <c r="AL308" s="1">
        <v>0.95</v>
      </c>
      <c r="AM308" s="1">
        <v>0.95</v>
      </c>
      <c r="AN308" s="1">
        <v>3.4</v>
      </c>
    </row>
    <row r="309" spans="1:40">
      <c r="A309" s="1">
        <v>1121</v>
      </c>
      <c r="C309" s="1">
        <v>1.9419999999999999</v>
      </c>
      <c r="D309" s="1">
        <v>1.9419999999999999</v>
      </c>
      <c r="E309" s="1">
        <v>1.9419999999999999</v>
      </c>
      <c r="F309" s="1">
        <v>1.9419999999999999</v>
      </c>
      <c r="G309" s="1">
        <v>1.84</v>
      </c>
      <c r="H309" s="1">
        <v>1</v>
      </c>
      <c r="I309" s="1">
        <v>1</v>
      </c>
      <c r="J309" s="1">
        <v>1.74</v>
      </c>
      <c r="K309" s="1">
        <v>1.74</v>
      </c>
      <c r="L309" s="1">
        <v>1.74</v>
      </c>
      <c r="M309" s="1">
        <v>1.74</v>
      </c>
      <c r="N309" s="1">
        <v>0.95</v>
      </c>
      <c r="O309" s="1">
        <v>0.95</v>
      </c>
      <c r="P309" s="1">
        <v>0.95</v>
      </c>
      <c r="Q309" s="1">
        <v>0.95</v>
      </c>
      <c r="R309" s="1">
        <v>0.95</v>
      </c>
      <c r="S309" s="1">
        <v>0.95</v>
      </c>
      <c r="T309" s="1">
        <v>1</v>
      </c>
      <c r="U309" s="1">
        <v>0.95</v>
      </c>
      <c r="V309" s="1">
        <v>1</v>
      </c>
      <c r="W309" s="1">
        <v>21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21</v>
      </c>
      <c r="AD309" s="1">
        <v>21</v>
      </c>
      <c r="AE309" s="1">
        <v>1.9419999999999999</v>
      </c>
      <c r="AF309" s="1">
        <v>0.95</v>
      </c>
      <c r="AG309" s="1">
        <v>1.41</v>
      </c>
      <c r="AH309" s="1">
        <v>0.95</v>
      </c>
      <c r="AI309" s="1">
        <v>5</v>
      </c>
      <c r="AJ309" s="1">
        <v>1</v>
      </c>
      <c r="AK309" s="1">
        <v>0</v>
      </c>
      <c r="AL309" s="1">
        <v>0.95</v>
      </c>
      <c r="AM309" s="1">
        <v>0.95</v>
      </c>
      <c r="AN309" s="1">
        <v>3.52</v>
      </c>
    </row>
    <row r="310" spans="1:40">
      <c r="A310" s="1">
        <v>1122</v>
      </c>
      <c r="C310" s="1">
        <v>1.994</v>
      </c>
      <c r="D310" s="1">
        <v>1.994</v>
      </c>
      <c r="E310" s="1">
        <v>1.994</v>
      </c>
      <c r="F310" s="1">
        <v>1.994</v>
      </c>
      <c r="G310" s="1">
        <v>1.88</v>
      </c>
      <c r="H310" s="1">
        <v>1</v>
      </c>
      <c r="I310" s="1">
        <v>1</v>
      </c>
      <c r="J310" s="1">
        <v>1.78</v>
      </c>
      <c r="K310" s="1">
        <v>1.78</v>
      </c>
      <c r="L310" s="1">
        <v>1.78</v>
      </c>
      <c r="M310" s="1">
        <v>1.78</v>
      </c>
      <c r="N310" s="1">
        <v>0.95</v>
      </c>
      <c r="O310" s="1">
        <v>0.95</v>
      </c>
      <c r="P310" s="1">
        <v>0.95</v>
      </c>
      <c r="Q310" s="1">
        <v>0.95</v>
      </c>
      <c r="R310" s="1">
        <v>0.95</v>
      </c>
      <c r="S310" s="1">
        <v>0.95</v>
      </c>
      <c r="T310" s="1">
        <v>1</v>
      </c>
      <c r="U310" s="1">
        <v>0.95</v>
      </c>
      <c r="V310" s="1">
        <v>1</v>
      </c>
      <c r="W310" s="1">
        <v>22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22</v>
      </c>
      <c r="AD310" s="1">
        <v>22</v>
      </c>
      <c r="AE310" s="1">
        <v>1.994</v>
      </c>
      <c r="AF310" s="1">
        <v>0.95</v>
      </c>
      <c r="AG310" s="1">
        <v>1.42</v>
      </c>
      <c r="AH310" s="1">
        <v>0.95</v>
      </c>
      <c r="AI310" s="1">
        <v>5.2</v>
      </c>
      <c r="AJ310" s="1">
        <v>1</v>
      </c>
      <c r="AK310" s="1">
        <v>0</v>
      </c>
      <c r="AL310" s="1">
        <v>0.95</v>
      </c>
      <c r="AM310" s="1">
        <v>0.95</v>
      </c>
      <c r="AN310" s="1">
        <v>3.64</v>
      </c>
    </row>
    <row r="311" spans="1:40">
      <c r="A311" s="1">
        <v>1123</v>
      </c>
      <c r="C311" s="1">
        <v>2.0459999999999998</v>
      </c>
      <c r="D311" s="1">
        <v>2.0459999999999998</v>
      </c>
      <c r="E311" s="1">
        <v>2.0459999999999998</v>
      </c>
      <c r="F311" s="1">
        <v>2.0459999999999998</v>
      </c>
      <c r="G311" s="1">
        <v>1.92</v>
      </c>
      <c r="H311" s="1">
        <v>1</v>
      </c>
      <c r="I311" s="1">
        <v>1</v>
      </c>
      <c r="J311" s="1">
        <v>1.82</v>
      </c>
      <c r="K311" s="1">
        <v>1.82</v>
      </c>
      <c r="L311" s="1">
        <v>1.82</v>
      </c>
      <c r="M311" s="1">
        <v>1.82</v>
      </c>
      <c r="N311" s="1">
        <v>0.95</v>
      </c>
      <c r="O311" s="1">
        <v>0.95</v>
      </c>
      <c r="P311" s="1">
        <v>0.95</v>
      </c>
      <c r="Q311" s="1">
        <v>0.95</v>
      </c>
      <c r="R311" s="1">
        <v>0.95</v>
      </c>
      <c r="S311" s="1">
        <v>0.95</v>
      </c>
      <c r="T311" s="1">
        <v>1</v>
      </c>
      <c r="U311" s="1">
        <v>0.95</v>
      </c>
      <c r="V311" s="1">
        <v>1</v>
      </c>
      <c r="W311" s="1">
        <v>23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23</v>
      </c>
      <c r="AD311" s="1">
        <v>23</v>
      </c>
      <c r="AE311" s="1">
        <v>2.0459999999999998</v>
      </c>
      <c r="AF311" s="1">
        <v>0.95</v>
      </c>
      <c r="AG311" s="1">
        <v>1.43</v>
      </c>
      <c r="AH311" s="1">
        <v>0.95</v>
      </c>
      <c r="AI311" s="1">
        <v>5.4</v>
      </c>
      <c r="AJ311" s="1">
        <v>1</v>
      </c>
      <c r="AK311" s="1">
        <v>0</v>
      </c>
      <c r="AL311" s="1">
        <v>0.95</v>
      </c>
      <c r="AM311" s="1">
        <v>0.95</v>
      </c>
      <c r="AN311" s="1">
        <v>3.76</v>
      </c>
    </row>
    <row r="312" spans="1:40">
      <c r="A312" s="1">
        <v>1124</v>
      </c>
      <c r="C312" s="1">
        <v>2.0979999999999999</v>
      </c>
      <c r="D312" s="1">
        <v>2.0979999999999999</v>
      </c>
      <c r="E312" s="1">
        <v>2.0979999999999999</v>
      </c>
      <c r="F312" s="1">
        <v>2.0979999999999999</v>
      </c>
      <c r="G312" s="1">
        <v>1.96</v>
      </c>
      <c r="H312" s="1">
        <v>1</v>
      </c>
      <c r="I312" s="1">
        <v>1</v>
      </c>
      <c r="J312" s="1">
        <v>1.86</v>
      </c>
      <c r="K312" s="1">
        <v>1.86</v>
      </c>
      <c r="L312" s="1">
        <v>1.86</v>
      </c>
      <c r="M312" s="1">
        <v>1.86</v>
      </c>
      <c r="N312" s="1">
        <v>0.95</v>
      </c>
      <c r="O312" s="1">
        <v>0.95</v>
      </c>
      <c r="P312" s="1">
        <v>0.95</v>
      </c>
      <c r="Q312" s="1">
        <v>0.95</v>
      </c>
      <c r="R312" s="1">
        <v>0.95</v>
      </c>
      <c r="S312" s="1">
        <v>0.95</v>
      </c>
      <c r="T312" s="1">
        <v>1</v>
      </c>
      <c r="U312" s="1">
        <v>0.95</v>
      </c>
      <c r="V312" s="1">
        <v>1</v>
      </c>
      <c r="W312" s="1">
        <v>24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24</v>
      </c>
      <c r="AD312" s="1">
        <v>24</v>
      </c>
      <c r="AE312" s="1">
        <v>2.0979999999999999</v>
      </c>
      <c r="AF312" s="1">
        <v>0.95</v>
      </c>
      <c r="AG312" s="1">
        <v>1.44</v>
      </c>
      <c r="AH312" s="1">
        <v>0.95</v>
      </c>
      <c r="AI312" s="1">
        <v>5.6</v>
      </c>
      <c r="AJ312" s="1">
        <v>1</v>
      </c>
      <c r="AK312" s="1">
        <v>0</v>
      </c>
      <c r="AL312" s="1">
        <v>0.95</v>
      </c>
      <c r="AM312" s="1">
        <v>0.95</v>
      </c>
      <c r="AN312" s="1">
        <v>3.88</v>
      </c>
    </row>
    <row r="313" spans="1:40">
      <c r="A313" s="1">
        <v>1125</v>
      </c>
      <c r="C313" s="1">
        <v>2.15</v>
      </c>
      <c r="D313" s="1">
        <v>2.15</v>
      </c>
      <c r="E313" s="1">
        <v>2.15</v>
      </c>
      <c r="F313" s="1">
        <v>2.15</v>
      </c>
      <c r="G313" s="1">
        <v>2</v>
      </c>
      <c r="H313" s="1">
        <v>1</v>
      </c>
      <c r="I313" s="1">
        <v>1</v>
      </c>
      <c r="J313" s="1">
        <v>1.9</v>
      </c>
      <c r="K313" s="1">
        <v>1.9</v>
      </c>
      <c r="L313" s="1">
        <v>1.9</v>
      </c>
      <c r="M313" s="1">
        <v>1.9</v>
      </c>
      <c r="N313" s="1">
        <v>0.95</v>
      </c>
      <c r="O313" s="1">
        <v>0.95</v>
      </c>
      <c r="P313" s="1">
        <v>0.95</v>
      </c>
      <c r="Q313" s="1">
        <v>0.95</v>
      </c>
      <c r="R313" s="1">
        <v>0.95</v>
      </c>
      <c r="S313" s="1">
        <v>0.95</v>
      </c>
      <c r="T313" s="1">
        <v>1</v>
      </c>
      <c r="U313" s="1">
        <v>0.95</v>
      </c>
      <c r="V313" s="1">
        <v>1</v>
      </c>
      <c r="W313" s="1">
        <v>25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25</v>
      </c>
      <c r="AD313" s="1">
        <v>25</v>
      </c>
      <c r="AE313" s="1">
        <v>2.15</v>
      </c>
      <c r="AF313" s="1">
        <v>0.95</v>
      </c>
      <c r="AG313" s="1">
        <v>1.45</v>
      </c>
      <c r="AH313" s="1">
        <v>0.95</v>
      </c>
      <c r="AI313" s="1">
        <v>5.8</v>
      </c>
      <c r="AJ313" s="1">
        <v>1</v>
      </c>
      <c r="AK313" s="1">
        <v>0</v>
      </c>
      <c r="AL313" s="1">
        <v>0.95</v>
      </c>
      <c r="AM313" s="1">
        <v>0.95</v>
      </c>
      <c r="AN313" s="1">
        <v>4</v>
      </c>
    </row>
    <row r="314" spans="1:40">
      <c r="A314" s="1">
        <v>1200</v>
      </c>
      <c r="C314" s="1">
        <v>0.9</v>
      </c>
      <c r="D314" s="1">
        <v>0.9</v>
      </c>
      <c r="E314" s="1">
        <v>0.9</v>
      </c>
      <c r="F314" s="1">
        <v>0.9</v>
      </c>
      <c r="G314" s="1">
        <v>1</v>
      </c>
      <c r="H314" s="1">
        <v>1</v>
      </c>
      <c r="I314" s="1">
        <v>1</v>
      </c>
      <c r="J314" s="1">
        <v>0.8</v>
      </c>
      <c r="K314" s="1">
        <v>0.8</v>
      </c>
      <c r="L314" s="1">
        <v>0.8</v>
      </c>
      <c r="M314" s="1">
        <v>0.8</v>
      </c>
      <c r="N314" s="1">
        <v>1</v>
      </c>
      <c r="O314" s="1">
        <v>1</v>
      </c>
      <c r="P314" s="1">
        <v>1</v>
      </c>
      <c r="Q314" s="1">
        <v>1</v>
      </c>
      <c r="R314" s="1">
        <v>1</v>
      </c>
      <c r="S314" s="1">
        <v>1</v>
      </c>
      <c r="T314" s="1">
        <v>1</v>
      </c>
      <c r="U314" s="1">
        <v>1</v>
      </c>
      <c r="V314" s="1">
        <v>1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0.9</v>
      </c>
      <c r="AF314" s="1">
        <v>1</v>
      </c>
      <c r="AG314" s="1">
        <v>1</v>
      </c>
      <c r="AH314" s="1">
        <v>1</v>
      </c>
      <c r="AI314" s="1">
        <v>1</v>
      </c>
      <c r="AJ314" s="1">
        <v>1</v>
      </c>
      <c r="AK314" s="1">
        <v>0</v>
      </c>
      <c r="AL314" s="1">
        <v>1</v>
      </c>
      <c r="AM314" s="1">
        <v>1</v>
      </c>
      <c r="AN314" s="1">
        <v>1</v>
      </c>
    </row>
    <row r="315" spans="1:40">
      <c r="A315" s="1">
        <v>1201</v>
      </c>
      <c r="C315" s="1">
        <v>0.95399999999999996</v>
      </c>
      <c r="D315" s="1">
        <v>0.95399999999999996</v>
      </c>
      <c r="E315" s="1">
        <v>0.95399999999999996</v>
      </c>
      <c r="F315" s="1">
        <v>0.95399999999999996</v>
      </c>
      <c r="G315" s="1">
        <v>1.04</v>
      </c>
      <c r="H315" s="1">
        <v>1</v>
      </c>
      <c r="I315" s="1">
        <v>1</v>
      </c>
      <c r="J315" s="1">
        <v>0.84</v>
      </c>
      <c r="K315" s="1">
        <v>0.84</v>
      </c>
      <c r="L315" s="1">
        <v>0.84</v>
      </c>
      <c r="M315" s="1">
        <v>0.84</v>
      </c>
      <c r="N315" s="1">
        <v>1</v>
      </c>
      <c r="O315" s="1">
        <v>1</v>
      </c>
      <c r="P315" s="1">
        <v>1</v>
      </c>
      <c r="Q315" s="1">
        <v>1</v>
      </c>
      <c r="R315" s="1">
        <v>1</v>
      </c>
      <c r="S315" s="1">
        <v>1</v>
      </c>
      <c r="T315" s="1">
        <v>1</v>
      </c>
      <c r="U315" s="1">
        <v>1</v>
      </c>
      <c r="V315" s="1">
        <v>1.01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1</v>
      </c>
      <c r="AD315" s="1">
        <v>1</v>
      </c>
      <c r="AE315" s="1">
        <v>0.95399999999999996</v>
      </c>
      <c r="AF315" s="1">
        <v>1</v>
      </c>
      <c r="AG315" s="1">
        <v>1.04</v>
      </c>
      <c r="AH315" s="1">
        <v>1</v>
      </c>
      <c r="AI315" s="1">
        <v>1</v>
      </c>
      <c r="AJ315" s="1">
        <v>1</v>
      </c>
      <c r="AK315" s="1">
        <v>0</v>
      </c>
      <c r="AL315" s="1">
        <v>1</v>
      </c>
      <c r="AM315" s="1">
        <v>1</v>
      </c>
      <c r="AN315" s="1">
        <v>1.1200000000000001</v>
      </c>
    </row>
    <row r="316" spans="1:40">
      <c r="A316" s="1">
        <v>1202</v>
      </c>
      <c r="C316" s="1">
        <v>1.008</v>
      </c>
      <c r="D316" s="1">
        <v>1.008</v>
      </c>
      <c r="E316" s="1">
        <v>1.008</v>
      </c>
      <c r="F316" s="1">
        <v>1.008</v>
      </c>
      <c r="G316" s="1">
        <v>1.08</v>
      </c>
      <c r="H316" s="1">
        <v>1</v>
      </c>
      <c r="I316" s="1">
        <v>1</v>
      </c>
      <c r="J316" s="1">
        <v>0.88</v>
      </c>
      <c r="K316" s="1">
        <v>0.88</v>
      </c>
      <c r="L316" s="1">
        <v>0.88</v>
      </c>
      <c r="M316" s="1">
        <v>0.88</v>
      </c>
      <c r="N316" s="1">
        <v>1</v>
      </c>
      <c r="O316" s="1">
        <v>1</v>
      </c>
      <c r="P316" s="1">
        <v>1</v>
      </c>
      <c r="Q316" s="1">
        <v>1</v>
      </c>
      <c r="R316" s="1">
        <v>1</v>
      </c>
      <c r="S316" s="1">
        <v>1</v>
      </c>
      <c r="T316" s="1">
        <v>1</v>
      </c>
      <c r="U316" s="1">
        <v>1</v>
      </c>
      <c r="V316" s="1">
        <v>1.01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2</v>
      </c>
      <c r="AD316" s="1">
        <v>2</v>
      </c>
      <c r="AE316" s="1">
        <v>1.008</v>
      </c>
      <c r="AF316" s="1">
        <v>1</v>
      </c>
      <c r="AG316" s="1">
        <v>1.08</v>
      </c>
      <c r="AH316" s="1">
        <v>1</v>
      </c>
      <c r="AI316" s="1">
        <v>1.2</v>
      </c>
      <c r="AJ316" s="1">
        <v>1</v>
      </c>
      <c r="AK316" s="1">
        <v>0</v>
      </c>
      <c r="AL316" s="1">
        <v>1</v>
      </c>
      <c r="AM316" s="1">
        <v>1</v>
      </c>
      <c r="AN316" s="1">
        <v>1.24</v>
      </c>
    </row>
    <row r="317" spans="1:40">
      <c r="A317" s="1">
        <v>1203</v>
      </c>
      <c r="C317" s="1">
        <v>1.0620000000000001</v>
      </c>
      <c r="D317" s="1">
        <v>1.0620000000000001</v>
      </c>
      <c r="E317" s="1">
        <v>1.0620000000000001</v>
      </c>
      <c r="F317" s="1">
        <v>1.0620000000000001</v>
      </c>
      <c r="G317" s="1">
        <v>1.1200000000000001</v>
      </c>
      <c r="H317" s="1">
        <v>1</v>
      </c>
      <c r="I317" s="1">
        <v>1</v>
      </c>
      <c r="J317" s="1">
        <v>0.92</v>
      </c>
      <c r="K317" s="1">
        <v>0.92</v>
      </c>
      <c r="L317" s="1">
        <v>0.92</v>
      </c>
      <c r="M317" s="1">
        <v>0.92</v>
      </c>
      <c r="N317" s="1">
        <v>1</v>
      </c>
      <c r="O317" s="1">
        <v>1</v>
      </c>
      <c r="P317" s="1">
        <v>1</v>
      </c>
      <c r="Q317" s="1">
        <v>1</v>
      </c>
      <c r="R317" s="1">
        <v>1</v>
      </c>
      <c r="S317" s="1">
        <v>1</v>
      </c>
      <c r="T317" s="1">
        <v>1</v>
      </c>
      <c r="U317" s="1">
        <v>1</v>
      </c>
      <c r="V317" s="1">
        <v>1.02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3</v>
      </c>
      <c r="AD317" s="1">
        <v>3</v>
      </c>
      <c r="AE317" s="1">
        <v>1.0620000000000001</v>
      </c>
      <c r="AF317" s="1">
        <v>1</v>
      </c>
      <c r="AG317" s="1">
        <v>1.1200000000000001</v>
      </c>
      <c r="AH317" s="1">
        <v>1</v>
      </c>
      <c r="AI317" s="1">
        <v>1.4</v>
      </c>
      <c r="AJ317" s="1">
        <v>1</v>
      </c>
      <c r="AK317" s="1">
        <v>0</v>
      </c>
      <c r="AL317" s="1">
        <v>1</v>
      </c>
      <c r="AM317" s="1">
        <v>1</v>
      </c>
      <c r="AN317" s="1">
        <v>1.36</v>
      </c>
    </row>
    <row r="318" spans="1:40">
      <c r="A318" s="1">
        <v>1204</v>
      </c>
      <c r="C318" s="1">
        <v>1.1160000000000001</v>
      </c>
      <c r="D318" s="1">
        <v>1.1160000000000001</v>
      </c>
      <c r="E318" s="1">
        <v>1.1160000000000001</v>
      </c>
      <c r="F318" s="1">
        <v>1.1160000000000001</v>
      </c>
      <c r="G318" s="1">
        <v>1.1599999999999999</v>
      </c>
      <c r="H318" s="1">
        <v>1</v>
      </c>
      <c r="I318" s="1">
        <v>1</v>
      </c>
      <c r="J318" s="1">
        <v>0.96</v>
      </c>
      <c r="K318" s="1">
        <v>0.96</v>
      </c>
      <c r="L318" s="1">
        <v>0.96</v>
      </c>
      <c r="M318" s="1">
        <v>0.96</v>
      </c>
      <c r="N318" s="1">
        <v>1</v>
      </c>
      <c r="O318" s="1">
        <v>1</v>
      </c>
      <c r="P318" s="1">
        <v>1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1.02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4</v>
      </c>
      <c r="AD318" s="1">
        <v>4</v>
      </c>
      <c r="AE318" s="1">
        <v>1.1160000000000001</v>
      </c>
      <c r="AF318" s="1">
        <v>1</v>
      </c>
      <c r="AG318" s="1">
        <v>1.1599999999999999</v>
      </c>
      <c r="AH318" s="1">
        <v>1</v>
      </c>
      <c r="AI318" s="1">
        <v>1.6</v>
      </c>
      <c r="AJ318" s="1">
        <v>1</v>
      </c>
      <c r="AK318" s="1">
        <v>0</v>
      </c>
      <c r="AL318" s="1">
        <v>1</v>
      </c>
      <c r="AM318" s="1">
        <v>1</v>
      </c>
      <c r="AN318" s="1">
        <v>1.48</v>
      </c>
    </row>
    <row r="319" spans="1:40">
      <c r="A319" s="1">
        <v>1205</v>
      </c>
      <c r="C319" s="1">
        <v>1.17</v>
      </c>
      <c r="D319" s="1">
        <v>1.17</v>
      </c>
      <c r="E319" s="1">
        <v>1.17</v>
      </c>
      <c r="F319" s="1">
        <v>1.17</v>
      </c>
      <c r="G319" s="1">
        <v>1.2</v>
      </c>
      <c r="H319" s="1">
        <v>1</v>
      </c>
      <c r="I319" s="1">
        <v>1</v>
      </c>
      <c r="J319" s="1">
        <v>1</v>
      </c>
      <c r="K319" s="1">
        <v>1</v>
      </c>
      <c r="L319" s="1">
        <v>1</v>
      </c>
      <c r="M319" s="1">
        <v>1</v>
      </c>
      <c r="N319" s="1">
        <v>1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1.03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5</v>
      </c>
      <c r="AD319" s="1">
        <v>5</v>
      </c>
      <c r="AE319" s="1">
        <v>1.17</v>
      </c>
      <c r="AF319" s="1">
        <v>1</v>
      </c>
      <c r="AG319" s="1">
        <v>1.2</v>
      </c>
      <c r="AH319" s="1">
        <v>1</v>
      </c>
      <c r="AI319" s="1">
        <v>1.8</v>
      </c>
      <c r="AJ319" s="1">
        <v>1</v>
      </c>
      <c r="AK319" s="1">
        <v>0</v>
      </c>
      <c r="AL319" s="1">
        <v>1</v>
      </c>
      <c r="AM319" s="1">
        <v>1</v>
      </c>
      <c r="AN319" s="1">
        <v>1.6</v>
      </c>
    </row>
    <row r="320" spans="1:40">
      <c r="A320" s="1">
        <v>1206</v>
      </c>
      <c r="C320" s="1">
        <v>1.224</v>
      </c>
      <c r="D320" s="1">
        <v>1.224</v>
      </c>
      <c r="E320" s="1">
        <v>1.224</v>
      </c>
      <c r="F320" s="1">
        <v>1.224</v>
      </c>
      <c r="G320" s="1">
        <v>1.24</v>
      </c>
      <c r="H320" s="1">
        <v>1</v>
      </c>
      <c r="I320" s="1">
        <v>1</v>
      </c>
      <c r="J320" s="1">
        <v>1.04</v>
      </c>
      <c r="K320" s="1">
        <v>1.04</v>
      </c>
      <c r="L320" s="1">
        <v>1.04</v>
      </c>
      <c r="M320" s="1">
        <v>1.04</v>
      </c>
      <c r="N320" s="1">
        <v>1</v>
      </c>
      <c r="O320" s="1">
        <v>1</v>
      </c>
      <c r="P320" s="1">
        <v>1</v>
      </c>
      <c r="Q320" s="1">
        <v>1</v>
      </c>
      <c r="R320" s="1">
        <v>1</v>
      </c>
      <c r="S320" s="1">
        <v>1</v>
      </c>
      <c r="T320" s="1">
        <v>1</v>
      </c>
      <c r="U320" s="1">
        <v>1</v>
      </c>
      <c r="V320" s="1">
        <v>1.03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6</v>
      </c>
      <c r="AD320" s="1">
        <v>6</v>
      </c>
      <c r="AE320" s="1">
        <v>1.224</v>
      </c>
      <c r="AF320" s="1">
        <v>1</v>
      </c>
      <c r="AG320" s="1">
        <v>1.24</v>
      </c>
      <c r="AH320" s="1">
        <v>1</v>
      </c>
      <c r="AI320" s="1">
        <v>2</v>
      </c>
      <c r="AJ320" s="1">
        <v>1</v>
      </c>
      <c r="AK320" s="1">
        <v>0</v>
      </c>
      <c r="AL320" s="1">
        <v>1</v>
      </c>
      <c r="AM320" s="1">
        <v>1</v>
      </c>
      <c r="AN320" s="1">
        <v>1.72</v>
      </c>
    </row>
    <row r="321" spans="1:40">
      <c r="A321" s="1">
        <v>1207</v>
      </c>
      <c r="C321" s="1">
        <v>1.278</v>
      </c>
      <c r="D321" s="1">
        <v>1.278</v>
      </c>
      <c r="E321" s="1">
        <v>1.278</v>
      </c>
      <c r="F321" s="1">
        <v>1.278</v>
      </c>
      <c r="G321" s="1">
        <v>1.28</v>
      </c>
      <c r="H321" s="1">
        <v>1</v>
      </c>
      <c r="I321" s="1">
        <v>1</v>
      </c>
      <c r="J321" s="1">
        <v>1.08</v>
      </c>
      <c r="K321" s="1">
        <v>1.08</v>
      </c>
      <c r="L321" s="1">
        <v>1.08</v>
      </c>
      <c r="M321" s="1">
        <v>1.08</v>
      </c>
      <c r="N321" s="1">
        <v>1</v>
      </c>
      <c r="O321" s="1">
        <v>1</v>
      </c>
      <c r="P321" s="1">
        <v>1</v>
      </c>
      <c r="Q321" s="1">
        <v>1</v>
      </c>
      <c r="R321" s="1">
        <v>1</v>
      </c>
      <c r="S321" s="1">
        <v>1</v>
      </c>
      <c r="T321" s="1">
        <v>1</v>
      </c>
      <c r="U321" s="1">
        <v>1</v>
      </c>
      <c r="V321" s="1">
        <v>1.04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7</v>
      </c>
      <c r="AD321" s="1">
        <v>7</v>
      </c>
      <c r="AE321" s="1">
        <v>1.278</v>
      </c>
      <c r="AF321" s="1">
        <v>1</v>
      </c>
      <c r="AG321" s="1">
        <v>1.28</v>
      </c>
      <c r="AH321" s="1">
        <v>1</v>
      </c>
      <c r="AI321" s="1">
        <v>2.2000000000000002</v>
      </c>
      <c r="AJ321" s="1">
        <v>1</v>
      </c>
      <c r="AK321" s="1">
        <v>0</v>
      </c>
      <c r="AL321" s="1">
        <v>1</v>
      </c>
      <c r="AM321" s="1">
        <v>1</v>
      </c>
      <c r="AN321" s="1">
        <v>1.84</v>
      </c>
    </row>
    <row r="322" spans="1:40">
      <c r="A322" s="1">
        <v>1208</v>
      </c>
      <c r="C322" s="1">
        <v>1.3320000000000001</v>
      </c>
      <c r="D322" s="1">
        <v>1.3320000000000001</v>
      </c>
      <c r="E322" s="1">
        <v>1.3320000000000001</v>
      </c>
      <c r="F322" s="1">
        <v>1.3320000000000001</v>
      </c>
      <c r="G322" s="1">
        <v>1.32</v>
      </c>
      <c r="H322" s="1">
        <v>1</v>
      </c>
      <c r="I322" s="1">
        <v>1</v>
      </c>
      <c r="J322" s="1">
        <v>1.1200000000000001</v>
      </c>
      <c r="K322" s="1">
        <v>1.1200000000000001</v>
      </c>
      <c r="L322" s="1">
        <v>1.1200000000000001</v>
      </c>
      <c r="M322" s="1">
        <v>1.1200000000000001</v>
      </c>
      <c r="N322" s="1">
        <v>1</v>
      </c>
      <c r="O322" s="1">
        <v>1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1</v>
      </c>
      <c r="V322" s="1">
        <v>1.04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8</v>
      </c>
      <c r="AD322" s="1">
        <v>8</v>
      </c>
      <c r="AE322" s="1">
        <v>1.3320000000000001</v>
      </c>
      <c r="AF322" s="1">
        <v>1</v>
      </c>
      <c r="AG322" s="1">
        <v>1.32</v>
      </c>
      <c r="AH322" s="1">
        <v>1</v>
      </c>
      <c r="AI322" s="1">
        <v>2.4</v>
      </c>
      <c r="AJ322" s="1">
        <v>1</v>
      </c>
      <c r="AK322" s="1">
        <v>0</v>
      </c>
      <c r="AL322" s="1">
        <v>1</v>
      </c>
      <c r="AM322" s="1">
        <v>1</v>
      </c>
      <c r="AN322" s="1">
        <v>1.96</v>
      </c>
    </row>
    <row r="323" spans="1:40">
      <c r="A323" s="1">
        <v>1209</v>
      </c>
      <c r="C323" s="1">
        <v>1.3859999999999999</v>
      </c>
      <c r="D323" s="1">
        <v>1.3859999999999999</v>
      </c>
      <c r="E323" s="1">
        <v>1.3859999999999999</v>
      </c>
      <c r="F323" s="1">
        <v>1.3859999999999999</v>
      </c>
      <c r="G323" s="1">
        <v>1.36</v>
      </c>
      <c r="H323" s="1">
        <v>1</v>
      </c>
      <c r="I323" s="1">
        <v>1</v>
      </c>
      <c r="J323" s="1">
        <v>1.1599999999999999</v>
      </c>
      <c r="K323" s="1">
        <v>1.1599999999999999</v>
      </c>
      <c r="L323" s="1">
        <v>1.1599999999999999</v>
      </c>
      <c r="M323" s="1">
        <v>1.1599999999999999</v>
      </c>
      <c r="N323" s="1">
        <v>1</v>
      </c>
      <c r="O323" s="1">
        <v>1</v>
      </c>
      <c r="P323" s="1">
        <v>1</v>
      </c>
      <c r="Q323" s="1">
        <v>1</v>
      </c>
      <c r="R323" s="1">
        <v>1</v>
      </c>
      <c r="S323" s="1">
        <v>1</v>
      </c>
      <c r="T323" s="1">
        <v>1</v>
      </c>
      <c r="U323" s="1">
        <v>1</v>
      </c>
      <c r="V323" s="1">
        <v>1.04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9</v>
      </c>
      <c r="AD323" s="1">
        <v>9</v>
      </c>
      <c r="AE323" s="1">
        <v>1.3859999999999999</v>
      </c>
      <c r="AF323" s="1">
        <v>1</v>
      </c>
      <c r="AG323" s="1">
        <v>1.36</v>
      </c>
      <c r="AH323" s="1">
        <v>1</v>
      </c>
      <c r="AI323" s="1">
        <v>2.6</v>
      </c>
      <c r="AJ323" s="1">
        <v>1</v>
      </c>
      <c r="AK323" s="1">
        <v>0</v>
      </c>
      <c r="AL323" s="1">
        <v>1</v>
      </c>
      <c r="AM323" s="1">
        <v>1</v>
      </c>
      <c r="AN323" s="1">
        <v>2.08</v>
      </c>
    </row>
    <row r="324" spans="1:40">
      <c r="A324" s="1">
        <v>1210</v>
      </c>
      <c r="C324" s="1">
        <v>1.44</v>
      </c>
      <c r="D324" s="1">
        <v>1.44</v>
      </c>
      <c r="E324" s="1">
        <v>1.44</v>
      </c>
      <c r="F324" s="1">
        <v>1.44</v>
      </c>
      <c r="G324" s="1">
        <v>1.4</v>
      </c>
      <c r="H324" s="1">
        <v>1</v>
      </c>
      <c r="I324" s="1">
        <v>1</v>
      </c>
      <c r="J324" s="1">
        <v>1.2</v>
      </c>
      <c r="K324" s="1">
        <v>1.2</v>
      </c>
      <c r="L324" s="1">
        <v>1.2</v>
      </c>
      <c r="M324" s="1">
        <v>1.2</v>
      </c>
      <c r="N324" s="1">
        <v>1</v>
      </c>
      <c r="O324" s="1">
        <v>1</v>
      </c>
      <c r="P324" s="1">
        <v>1</v>
      </c>
      <c r="Q324" s="1">
        <v>1</v>
      </c>
      <c r="R324" s="1">
        <v>1</v>
      </c>
      <c r="S324" s="1">
        <v>1</v>
      </c>
      <c r="T324" s="1">
        <v>1</v>
      </c>
      <c r="U324" s="1">
        <v>1</v>
      </c>
      <c r="V324" s="1">
        <v>1.05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10</v>
      </c>
      <c r="AD324" s="1">
        <v>10</v>
      </c>
      <c r="AE324" s="1">
        <v>1.44</v>
      </c>
      <c r="AF324" s="1">
        <v>1</v>
      </c>
      <c r="AG324" s="1">
        <v>1.4</v>
      </c>
      <c r="AH324" s="1">
        <v>1</v>
      </c>
      <c r="AI324" s="1">
        <v>2.8</v>
      </c>
      <c r="AJ324" s="1">
        <v>1</v>
      </c>
      <c r="AK324" s="1">
        <v>0</v>
      </c>
      <c r="AL324" s="1">
        <v>1</v>
      </c>
      <c r="AM324" s="1">
        <v>1</v>
      </c>
      <c r="AN324" s="1">
        <v>2.2000000000000002</v>
      </c>
    </row>
    <row r="325" spans="1:40">
      <c r="A325" s="1">
        <v>1211</v>
      </c>
      <c r="C325" s="1">
        <v>1.494</v>
      </c>
      <c r="D325" s="1">
        <v>1.494</v>
      </c>
      <c r="E325" s="1">
        <v>1.494</v>
      </c>
      <c r="F325" s="1">
        <v>1.494</v>
      </c>
      <c r="G325" s="1">
        <v>1.44</v>
      </c>
      <c r="H325" s="1">
        <v>1</v>
      </c>
      <c r="I325" s="1">
        <v>1</v>
      </c>
      <c r="J325" s="1">
        <v>1.22</v>
      </c>
      <c r="K325" s="1">
        <v>1.22</v>
      </c>
      <c r="L325" s="1">
        <v>1.22</v>
      </c>
      <c r="M325" s="1">
        <v>1.22</v>
      </c>
      <c r="N325" s="1">
        <v>1</v>
      </c>
      <c r="O325" s="1">
        <v>1</v>
      </c>
      <c r="P325" s="1">
        <v>1</v>
      </c>
      <c r="Q325" s="1">
        <v>1</v>
      </c>
      <c r="R325" s="1">
        <v>1</v>
      </c>
      <c r="S325" s="1">
        <v>1</v>
      </c>
      <c r="T325" s="1">
        <v>1</v>
      </c>
      <c r="U325" s="1">
        <v>1</v>
      </c>
      <c r="V325" s="1">
        <v>1.05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11</v>
      </c>
      <c r="AD325" s="1">
        <v>11</v>
      </c>
      <c r="AE325" s="1">
        <v>1.494</v>
      </c>
      <c r="AF325" s="1">
        <v>1</v>
      </c>
      <c r="AG325" s="1">
        <v>1.43</v>
      </c>
      <c r="AH325" s="1">
        <v>1</v>
      </c>
      <c r="AI325" s="1">
        <v>3</v>
      </c>
      <c r="AJ325" s="1">
        <v>1</v>
      </c>
      <c r="AK325" s="1">
        <v>0</v>
      </c>
      <c r="AL325" s="1">
        <v>1</v>
      </c>
      <c r="AM325" s="1">
        <v>1</v>
      </c>
      <c r="AN325" s="1">
        <v>2.3199999999999998</v>
      </c>
    </row>
    <row r="326" spans="1:40">
      <c r="A326" s="1">
        <v>1212</v>
      </c>
      <c r="C326" s="1">
        <v>1.548</v>
      </c>
      <c r="D326" s="1">
        <v>1.548</v>
      </c>
      <c r="E326" s="1">
        <v>1.548</v>
      </c>
      <c r="F326" s="1">
        <v>1.548</v>
      </c>
      <c r="G326" s="1">
        <v>1.48</v>
      </c>
      <c r="H326" s="1">
        <v>1</v>
      </c>
      <c r="I326" s="1">
        <v>1</v>
      </c>
      <c r="J326" s="1">
        <v>1.24</v>
      </c>
      <c r="K326" s="1">
        <v>1.24</v>
      </c>
      <c r="L326" s="1">
        <v>1.24</v>
      </c>
      <c r="M326" s="1">
        <v>1.24</v>
      </c>
      <c r="N326" s="1">
        <v>1</v>
      </c>
      <c r="O326" s="1">
        <v>1</v>
      </c>
      <c r="P326" s="1">
        <v>1</v>
      </c>
      <c r="Q326" s="1">
        <v>1</v>
      </c>
      <c r="R326" s="1">
        <v>1</v>
      </c>
      <c r="S326" s="1">
        <v>1</v>
      </c>
      <c r="T326" s="1">
        <v>1</v>
      </c>
      <c r="U326" s="1">
        <v>1</v>
      </c>
      <c r="V326" s="1">
        <v>1.05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12</v>
      </c>
      <c r="AD326" s="1">
        <v>12</v>
      </c>
      <c r="AE326" s="1">
        <v>1.548</v>
      </c>
      <c r="AF326" s="1">
        <v>1</v>
      </c>
      <c r="AG326" s="1">
        <v>1.46</v>
      </c>
      <c r="AH326" s="1">
        <v>1</v>
      </c>
      <c r="AI326" s="1">
        <v>3.2</v>
      </c>
      <c r="AJ326" s="1">
        <v>1</v>
      </c>
      <c r="AK326" s="1">
        <v>0</v>
      </c>
      <c r="AL326" s="1">
        <v>1</v>
      </c>
      <c r="AM326" s="1">
        <v>1</v>
      </c>
      <c r="AN326" s="1">
        <v>2.44</v>
      </c>
    </row>
    <row r="327" spans="1:40">
      <c r="A327" s="1">
        <v>1213</v>
      </c>
      <c r="C327" s="1">
        <v>1.6020000000000001</v>
      </c>
      <c r="D327" s="1">
        <v>1.6020000000000001</v>
      </c>
      <c r="E327" s="1">
        <v>1.6020000000000001</v>
      </c>
      <c r="F327" s="1">
        <v>1.6020000000000001</v>
      </c>
      <c r="G327" s="1">
        <v>1.52</v>
      </c>
      <c r="H327" s="1">
        <v>1</v>
      </c>
      <c r="I327" s="1">
        <v>1</v>
      </c>
      <c r="J327" s="1">
        <v>1.26</v>
      </c>
      <c r="K327" s="1">
        <v>1.26</v>
      </c>
      <c r="L327" s="1">
        <v>1.26</v>
      </c>
      <c r="M327" s="1">
        <v>1.26</v>
      </c>
      <c r="N327" s="1">
        <v>1</v>
      </c>
      <c r="O327" s="1">
        <v>1</v>
      </c>
      <c r="P327" s="1">
        <v>1</v>
      </c>
      <c r="Q327" s="1">
        <v>1</v>
      </c>
      <c r="R327" s="1">
        <v>1</v>
      </c>
      <c r="S327" s="1">
        <v>1</v>
      </c>
      <c r="T327" s="1">
        <v>1</v>
      </c>
      <c r="U327" s="1">
        <v>1</v>
      </c>
      <c r="V327" s="1">
        <v>1.06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13</v>
      </c>
      <c r="AD327" s="1">
        <v>13</v>
      </c>
      <c r="AE327" s="1">
        <v>1.6020000000000001</v>
      </c>
      <c r="AF327" s="1">
        <v>1</v>
      </c>
      <c r="AG327" s="1">
        <v>1.49</v>
      </c>
      <c r="AH327" s="1">
        <v>1</v>
      </c>
      <c r="AI327" s="1">
        <v>3.4</v>
      </c>
      <c r="AJ327" s="1">
        <v>1</v>
      </c>
      <c r="AK327" s="1">
        <v>0</v>
      </c>
      <c r="AL327" s="1">
        <v>1</v>
      </c>
      <c r="AM327" s="1">
        <v>1</v>
      </c>
      <c r="AN327" s="1">
        <v>2.56</v>
      </c>
    </row>
    <row r="328" spans="1:40">
      <c r="A328" s="1">
        <v>1214</v>
      </c>
      <c r="C328" s="1">
        <v>1.6559999999999999</v>
      </c>
      <c r="D328" s="1">
        <v>1.6559999999999999</v>
      </c>
      <c r="E328" s="1">
        <v>1.6559999999999999</v>
      </c>
      <c r="F328" s="1">
        <v>1.6559999999999999</v>
      </c>
      <c r="G328" s="1">
        <v>1.56</v>
      </c>
      <c r="H328" s="1">
        <v>1</v>
      </c>
      <c r="I328" s="1">
        <v>1</v>
      </c>
      <c r="J328" s="1">
        <v>1.28</v>
      </c>
      <c r="K328" s="1">
        <v>1.28</v>
      </c>
      <c r="L328" s="1">
        <v>1.28</v>
      </c>
      <c r="M328" s="1">
        <v>1.28</v>
      </c>
      <c r="N328" s="1">
        <v>1</v>
      </c>
      <c r="O328" s="1">
        <v>1</v>
      </c>
      <c r="P328" s="1">
        <v>1</v>
      </c>
      <c r="Q328" s="1">
        <v>1</v>
      </c>
      <c r="R328" s="1">
        <v>1</v>
      </c>
      <c r="S328" s="1">
        <v>1</v>
      </c>
      <c r="T328" s="1">
        <v>1</v>
      </c>
      <c r="U328" s="1">
        <v>1</v>
      </c>
      <c r="V328" s="1">
        <v>1.06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14</v>
      </c>
      <c r="AD328" s="1">
        <v>14</v>
      </c>
      <c r="AE328" s="1">
        <v>1.6559999999999999</v>
      </c>
      <c r="AF328" s="1">
        <v>1</v>
      </c>
      <c r="AG328" s="1">
        <v>1.52</v>
      </c>
      <c r="AH328" s="1">
        <v>1</v>
      </c>
      <c r="AI328" s="1">
        <v>3.6</v>
      </c>
      <c r="AJ328" s="1">
        <v>1</v>
      </c>
      <c r="AK328" s="1">
        <v>0</v>
      </c>
      <c r="AL328" s="1">
        <v>1</v>
      </c>
      <c r="AM328" s="1">
        <v>1</v>
      </c>
      <c r="AN328" s="1">
        <v>2.68</v>
      </c>
    </row>
    <row r="329" spans="1:40">
      <c r="A329" s="1">
        <v>1215</v>
      </c>
      <c r="C329" s="1">
        <v>1.71</v>
      </c>
      <c r="D329" s="1">
        <v>1.71</v>
      </c>
      <c r="E329" s="1">
        <v>1.71</v>
      </c>
      <c r="F329" s="1">
        <v>1.71</v>
      </c>
      <c r="G329" s="1">
        <v>1.6</v>
      </c>
      <c r="H329" s="1">
        <v>1</v>
      </c>
      <c r="I329" s="1">
        <v>1</v>
      </c>
      <c r="J329" s="1">
        <v>1.3</v>
      </c>
      <c r="K329" s="1">
        <v>1.3</v>
      </c>
      <c r="L329" s="1">
        <v>1.3</v>
      </c>
      <c r="M329" s="1">
        <v>1.3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1.06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15</v>
      </c>
      <c r="AD329" s="1">
        <v>15</v>
      </c>
      <c r="AE329" s="1">
        <v>1.71</v>
      </c>
      <c r="AF329" s="1">
        <v>1</v>
      </c>
      <c r="AG329" s="1">
        <v>1.55</v>
      </c>
      <c r="AH329" s="1">
        <v>1</v>
      </c>
      <c r="AI329" s="1">
        <v>3.8</v>
      </c>
      <c r="AJ329" s="1">
        <v>1</v>
      </c>
      <c r="AK329" s="1">
        <v>0</v>
      </c>
      <c r="AL329" s="1">
        <v>1</v>
      </c>
      <c r="AM329" s="1">
        <v>1</v>
      </c>
      <c r="AN329" s="1">
        <v>2.8</v>
      </c>
    </row>
    <row r="330" spans="1:40">
      <c r="A330" s="1">
        <v>1216</v>
      </c>
      <c r="C330" s="1">
        <v>1.764</v>
      </c>
      <c r="D330" s="1">
        <v>1.764</v>
      </c>
      <c r="E330" s="1">
        <v>1.764</v>
      </c>
      <c r="F330" s="1">
        <v>1.764</v>
      </c>
      <c r="G330" s="1">
        <v>1.64</v>
      </c>
      <c r="H330" s="1">
        <v>1</v>
      </c>
      <c r="I330" s="1">
        <v>1</v>
      </c>
      <c r="J330" s="1">
        <v>1.32</v>
      </c>
      <c r="K330" s="1">
        <v>1.32</v>
      </c>
      <c r="L330" s="1">
        <v>1.32</v>
      </c>
      <c r="M330" s="1">
        <v>1.32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1.07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16</v>
      </c>
      <c r="AD330" s="1">
        <v>16</v>
      </c>
      <c r="AE330" s="1">
        <v>1.764</v>
      </c>
      <c r="AF330" s="1">
        <v>1</v>
      </c>
      <c r="AG330" s="1">
        <v>1.58</v>
      </c>
      <c r="AH330" s="1">
        <v>1</v>
      </c>
      <c r="AI330" s="1">
        <v>4</v>
      </c>
      <c r="AJ330" s="1">
        <v>1</v>
      </c>
      <c r="AK330" s="1">
        <v>0</v>
      </c>
      <c r="AL330" s="1">
        <v>1</v>
      </c>
      <c r="AM330" s="1">
        <v>1</v>
      </c>
      <c r="AN330" s="1">
        <v>2.92</v>
      </c>
    </row>
    <row r="331" spans="1:40">
      <c r="A331" s="1">
        <v>1217</v>
      </c>
      <c r="C331" s="1">
        <v>1.8180000000000001</v>
      </c>
      <c r="D331" s="1">
        <v>1.8180000000000001</v>
      </c>
      <c r="E331" s="1">
        <v>1.8180000000000001</v>
      </c>
      <c r="F331" s="1">
        <v>1.8180000000000001</v>
      </c>
      <c r="G331" s="1">
        <v>1.68</v>
      </c>
      <c r="H331" s="1">
        <v>1</v>
      </c>
      <c r="I331" s="1">
        <v>1</v>
      </c>
      <c r="J331" s="1">
        <v>1.34</v>
      </c>
      <c r="K331" s="1">
        <v>1.34</v>
      </c>
      <c r="L331" s="1">
        <v>1.34</v>
      </c>
      <c r="M331" s="1">
        <v>1.34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1.07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17</v>
      </c>
      <c r="AD331" s="1">
        <v>17</v>
      </c>
      <c r="AE331" s="1">
        <v>1.8180000000000001</v>
      </c>
      <c r="AF331" s="1">
        <v>1</v>
      </c>
      <c r="AG331" s="1">
        <v>1.61</v>
      </c>
      <c r="AH331" s="1">
        <v>1</v>
      </c>
      <c r="AI331" s="1">
        <v>4.2</v>
      </c>
      <c r="AJ331" s="1">
        <v>1</v>
      </c>
      <c r="AK331" s="1">
        <v>0</v>
      </c>
      <c r="AL331" s="1">
        <v>1</v>
      </c>
      <c r="AM331" s="1">
        <v>1</v>
      </c>
      <c r="AN331" s="1">
        <v>3.04</v>
      </c>
    </row>
    <row r="332" spans="1:40">
      <c r="A332" s="1">
        <v>1218</v>
      </c>
      <c r="C332" s="1">
        <v>1.8720000000000001</v>
      </c>
      <c r="D332" s="1">
        <v>1.8720000000000001</v>
      </c>
      <c r="E332" s="1">
        <v>1.8720000000000001</v>
      </c>
      <c r="F332" s="1">
        <v>1.8720000000000001</v>
      </c>
      <c r="G332" s="1">
        <v>1.72</v>
      </c>
      <c r="H332" s="1">
        <v>1</v>
      </c>
      <c r="I332" s="1">
        <v>1</v>
      </c>
      <c r="J332" s="1">
        <v>1.36</v>
      </c>
      <c r="K332" s="1">
        <v>1.36</v>
      </c>
      <c r="L332" s="1">
        <v>1.36</v>
      </c>
      <c r="M332" s="1">
        <v>1.36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1.07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18</v>
      </c>
      <c r="AD332" s="1">
        <v>18</v>
      </c>
      <c r="AE332" s="1">
        <v>1.8720000000000001</v>
      </c>
      <c r="AF332" s="1">
        <v>1</v>
      </c>
      <c r="AG332" s="1">
        <v>1.64</v>
      </c>
      <c r="AH332" s="1">
        <v>1</v>
      </c>
      <c r="AI332" s="1">
        <v>4.4000000000000004</v>
      </c>
      <c r="AJ332" s="1">
        <v>1</v>
      </c>
      <c r="AK332" s="1">
        <v>0</v>
      </c>
      <c r="AL332" s="1">
        <v>1</v>
      </c>
      <c r="AM332" s="1">
        <v>1</v>
      </c>
      <c r="AN332" s="1">
        <v>3.16</v>
      </c>
    </row>
    <row r="333" spans="1:40">
      <c r="A333" s="1">
        <v>1219</v>
      </c>
      <c r="C333" s="1">
        <v>1.9259999999999999</v>
      </c>
      <c r="D333" s="1">
        <v>1.9259999999999999</v>
      </c>
      <c r="E333" s="1">
        <v>1.9259999999999999</v>
      </c>
      <c r="F333" s="1">
        <v>1.9259999999999999</v>
      </c>
      <c r="G333" s="1">
        <v>1.76</v>
      </c>
      <c r="H333" s="1">
        <v>1</v>
      </c>
      <c r="I333" s="1">
        <v>1</v>
      </c>
      <c r="J333" s="1">
        <v>1.38</v>
      </c>
      <c r="K333" s="1">
        <v>1.38</v>
      </c>
      <c r="L333" s="1">
        <v>1.38</v>
      </c>
      <c r="M333" s="1">
        <v>1.38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1.08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19</v>
      </c>
      <c r="AD333" s="1">
        <v>19</v>
      </c>
      <c r="AE333" s="1">
        <v>1.9259999999999999</v>
      </c>
      <c r="AF333" s="1">
        <v>1</v>
      </c>
      <c r="AG333" s="1">
        <v>1.67</v>
      </c>
      <c r="AH333" s="1">
        <v>1</v>
      </c>
      <c r="AI333" s="1">
        <v>4.5999999999999996</v>
      </c>
      <c r="AJ333" s="1">
        <v>1</v>
      </c>
      <c r="AK333" s="1">
        <v>0</v>
      </c>
      <c r="AL333" s="1">
        <v>1</v>
      </c>
      <c r="AM333" s="1">
        <v>1</v>
      </c>
      <c r="AN333" s="1">
        <v>3.28</v>
      </c>
    </row>
    <row r="334" spans="1:40">
      <c r="A334" s="1">
        <v>1220</v>
      </c>
      <c r="C334" s="1">
        <v>1.98</v>
      </c>
      <c r="D334" s="1">
        <v>1.98</v>
      </c>
      <c r="E334" s="1">
        <v>1.98</v>
      </c>
      <c r="F334" s="1">
        <v>1.98</v>
      </c>
      <c r="G334" s="1">
        <v>1.8</v>
      </c>
      <c r="H334" s="1">
        <v>1</v>
      </c>
      <c r="I334" s="1">
        <v>1</v>
      </c>
      <c r="J334" s="1">
        <v>1.4</v>
      </c>
      <c r="K334" s="1">
        <v>1.4</v>
      </c>
      <c r="L334" s="1">
        <v>1.4</v>
      </c>
      <c r="M334" s="1">
        <v>1.4</v>
      </c>
      <c r="N334" s="1">
        <v>1</v>
      </c>
      <c r="O334" s="1">
        <v>1</v>
      </c>
      <c r="P334" s="1">
        <v>1</v>
      </c>
      <c r="Q334" s="1">
        <v>1</v>
      </c>
      <c r="R334" s="1">
        <v>1</v>
      </c>
      <c r="S334" s="1">
        <v>1</v>
      </c>
      <c r="T334" s="1">
        <v>1</v>
      </c>
      <c r="U334" s="1">
        <v>1</v>
      </c>
      <c r="V334" s="1">
        <v>1.08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20</v>
      </c>
      <c r="AD334" s="1">
        <v>20</v>
      </c>
      <c r="AE334" s="1">
        <v>1.98</v>
      </c>
      <c r="AF334" s="1">
        <v>1</v>
      </c>
      <c r="AG334" s="1">
        <v>1.7</v>
      </c>
      <c r="AH334" s="1">
        <v>1</v>
      </c>
      <c r="AI334" s="1">
        <v>4.8</v>
      </c>
      <c r="AJ334" s="1">
        <v>1</v>
      </c>
      <c r="AK334" s="1">
        <v>0</v>
      </c>
      <c r="AL334" s="1">
        <v>1</v>
      </c>
      <c r="AM334" s="1">
        <v>1</v>
      </c>
      <c r="AN334" s="1">
        <v>3.4</v>
      </c>
    </row>
    <row r="335" spans="1:40">
      <c r="A335" s="1">
        <v>1221</v>
      </c>
      <c r="C335" s="1">
        <v>2.0339999999999998</v>
      </c>
      <c r="D335" s="1">
        <v>2.0339999999999998</v>
      </c>
      <c r="E335" s="1">
        <v>2.0339999999999998</v>
      </c>
      <c r="F335" s="1">
        <v>2.0339999999999998</v>
      </c>
      <c r="G335" s="1">
        <v>1.84</v>
      </c>
      <c r="H335" s="1">
        <v>1</v>
      </c>
      <c r="I335" s="1">
        <v>1</v>
      </c>
      <c r="J335" s="1">
        <v>1.42</v>
      </c>
      <c r="K335" s="1">
        <v>1.42</v>
      </c>
      <c r="L335" s="1">
        <v>1.42</v>
      </c>
      <c r="M335" s="1">
        <v>1.42</v>
      </c>
      <c r="N335" s="1">
        <v>1</v>
      </c>
      <c r="O335" s="1">
        <v>1</v>
      </c>
      <c r="P335" s="1">
        <v>1</v>
      </c>
      <c r="Q335" s="1">
        <v>1</v>
      </c>
      <c r="R335" s="1">
        <v>1</v>
      </c>
      <c r="S335" s="1">
        <v>1</v>
      </c>
      <c r="T335" s="1">
        <v>1</v>
      </c>
      <c r="U335" s="1">
        <v>1</v>
      </c>
      <c r="V335" s="1">
        <v>1.08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21</v>
      </c>
      <c r="AD335" s="1">
        <v>21</v>
      </c>
      <c r="AE335" s="1">
        <v>2.0339999999999998</v>
      </c>
      <c r="AF335" s="1">
        <v>1</v>
      </c>
      <c r="AG335" s="1">
        <v>1.72</v>
      </c>
      <c r="AH335" s="1">
        <v>1</v>
      </c>
      <c r="AI335" s="1">
        <v>5</v>
      </c>
      <c r="AJ335" s="1">
        <v>1</v>
      </c>
      <c r="AK335" s="1">
        <v>0</v>
      </c>
      <c r="AL335" s="1">
        <v>1</v>
      </c>
      <c r="AM335" s="1">
        <v>1</v>
      </c>
      <c r="AN335" s="1">
        <v>3.52</v>
      </c>
    </row>
    <row r="336" spans="1:40">
      <c r="A336" s="1">
        <v>1222</v>
      </c>
      <c r="C336" s="1">
        <v>2.0880000000000001</v>
      </c>
      <c r="D336" s="1">
        <v>2.0880000000000001</v>
      </c>
      <c r="E336" s="1">
        <v>2.0880000000000001</v>
      </c>
      <c r="F336" s="1">
        <v>2.0880000000000001</v>
      </c>
      <c r="G336" s="1">
        <v>1.88</v>
      </c>
      <c r="H336" s="1">
        <v>1</v>
      </c>
      <c r="I336" s="1">
        <v>1</v>
      </c>
      <c r="J336" s="1">
        <v>1.44</v>
      </c>
      <c r="K336" s="1">
        <v>1.44</v>
      </c>
      <c r="L336" s="1">
        <v>1.44</v>
      </c>
      <c r="M336" s="1">
        <v>1.44</v>
      </c>
      <c r="N336" s="1">
        <v>1</v>
      </c>
      <c r="O336" s="1">
        <v>1</v>
      </c>
      <c r="P336" s="1">
        <v>1</v>
      </c>
      <c r="Q336" s="1">
        <v>1</v>
      </c>
      <c r="R336" s="1">
        <v>1</v>
      </c>
      <c r="S336" s="1">
        <v>1</v>
      </c>
      <c r="T336" s="1">
        <v>1</v>
      </c>
      <c r="U336" s="1">
        <v>1</v>
      </c>
      <c r="V336" s="1">
        <v>1.0900000000000001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22</v>
      </c>
      <c r="AD336" s="1">
        <v>22</v>
      </c>
      <c r="AE336" s="1">
        <v>2.0880000000000001</v>
      </c>
      <c r="AF336" s="1">
        <v>1</v>
      </c>
      <c r="AG336" s="1">
        <v>1.74</v>
      </c>
      <c r="AH336" s="1">
        <v>1</v>
      </c>
      <c r="AI336" s="1">
        <v>5.2</v>
      </c>
      <c r="AJ336" s="1">
        <v>1</v>
      </c>
      <c r="AK336" s="1">
        <v>0</v>
      </c>
      <c r="AL336" s="1">
        <v>1</v>
      </c>
      <c r="AM336" s="1">
        <v>1</v>
      </c>
      <c r="AN336" s="1">
        <v>3.64</v>
      </c>
    </row>
    <row r="337" spans="1:40">
      <c r="A337" s="1">
        <v>1223</v>
      </c>
      <c r="C337" s="1">
        <v>2.1419999999999999</v>
      </c>
      <c r="D337" s="1">
        <v>2.1419999999999999</v>
      </c>
      <c r="E337" s="1">
        <v>2.1419999999999999</v>
      </c>
      <c r="F337" s="1">
        <v>2.1419999999999999</v>
      </c>
      <c r="G337" s="1">
        <v>1.92</v>
      </c>
      <c r="H337" s="1">
        <v>1</v>
      </c>
      <c r="I337" s="1">
        <v>1</v>
      </c>
      <c r="J337" s="1">
        <v>1.46</v>
      </c>
      <c r="K337" s="1">
        <v>1.46</v>
      </c>
      <c r="L337" s="1">
        <v>1.46</v>
      </c>
      <c r="M337" s="1">
        <v>1.46</v>
      </c>
      <c r="N337" s="1">
        <v>1</v>
      </c>
      <c r="O337" s="1">
        <v>1</v>
      </c>
      <c r="P337" s="1">
        <v>1</v>
      </c>
      <c r="Q337" s="1">
        <v>1</v>
      </c>
      <c r="R337" s="1">
        <v>1</v>
      </c>
      <c r="S337" s="1">
        <v>1</v>
      </c>
      <c r="T337" s="1">
        <v>1</v>
      </c>
      <c r="U337" s="1">
        <v>1</v>
      </c>
      <c r="V337" s="1">
        <v>1.0900000000000001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23</v>
      </c>
      <c r="AD337" s="1">
        <v>23</v>
      </c>
      <c r="AE337" s="1">
        <v>2.1419999999999999</v>
      </c>
      <c r="AF337" s="1">
        <v>1</v>
      </c>
      <c r="AG337" s="1">
        <v>1.76</v>
      </c>
      <c r="AH337" s="1">
        <v>1</v>
      </c>
      <c r="AI337" s="1">
        <v>5.4</v>
      </c>
      <c r="AJ337" s="1">
        <v>1</v>
      </c>
      <c r="AK337" s="1">
        <v>0</v>
      </c>
      <c r="AL337" s="1">
        <v>1</v>
      </c>
      <c r="AM337" s="1">
        <v>1</v>
      </c>
      <c r="AN337" s="1">
        <v>3.76</v>
      </c>
    </row>
    <row r="338" spans="1:40">
      <c r="A338" s="1">
        <v>1224</v>
      </c>
      <c r="C338" s="1">
        <v>2.1960000000000002</v>
      </c>
      <c r="D338" s="1">
        <v>2.1960000000000002</v>
      </c>
      <c r="E338" s="1">
        <v>2.1960000000000002</v>
      </c>
      <c r="F338" s="1">
        <v>2.1960000000000002</v>
      </c>
      <c r="G338" s="1">
        <v>1.96</v>
      </c>
      <c r="H338" s="1">
        <v>1</v>
      </c>
      <c r="I338" s="1">
        <v>1</v>
      </c>
      <c r="J338" s="1">
        <v>1.48</v>
      </c>
      <c r="K338" s="1">
        <v>1.48</v>
      </c>
      <c r="L338" s="1">
        <v>1.48</v>
      </c>
      <c r="M338" s="1">
        <v>1.48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1.0900000000000001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24</v>
      </c>
      <c r="AD338" s="1">
        <v>24</v>
      </c>
      <c r="AE338" s="1">
        <v>2.1960000000000002</v>
      </c>
      <c r="AF338" s="1">
        <v>1</v>
      </c>
      <c r="AG338" s="1">
        <v>1.78</v>
      </c>
      <c r="AH338" s="1">
        <v>1</v>
      </c>
      <c r="AI338" s="1">
        <v>5.6</v>
      </c>
      <c r="AJ338" s="1">
        <v>1</v>
      </c>
      <c r="AK338" s="1">
        <v>0</v>
      </c>
      <c r="AL338" s="1">
        <v>1</v>
      </c>
      <c r="AM338" s="1">
        <v>1</v>
      </c>
      <c r="AN338" s="1">
        <v>3.88</v>
      </c>
    </row>
    <row r="339" spans="1:40">
      <c r="A339" s="1">
        <v>1225</v>
      </c>
      <c r="C339" s="1">
        <v>2.25</v>
      </c>
      <c r="D339" s="1">
        <v>2.25</v>
      </c>
      <c r="E339" s="1">
        <v>2.25</v>
      </c>
      <c r="F339" s="1">
        <v>2.25</v>
      </c>
      <c r="G339" s="1">
        <v>2</v>
      </c>
      <c r="H339" s="1">
        <v>1</v>
      </c>
      <c r="I339" s="1">
        <v>1</v>
      </c>
      <c r="J339" s="1">
        <v>1.5</v>
      </c>
      <c r="K339" s="1">
        <v>1.5</v>
      </c>
      <c r="L339" s="1">
        <v>1.5</v>
      </c>
      <c r="M339" s="1">
        <v>1.5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1.1000000000000001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25</v>
      </c>
      <c r="AD339" s="1">
        <v>25</v>
      </c>
      <c r="AE339" s="1">
        <v>2.25</v>
      </c>
      <c r="AF339" s="1">
        <v>1</v>
      </c>
      <c r="AG339" s="1">
        <v>1.8</v>
      </c>
      <c r="AH339" s="1">
        <v>1</v>
      </c>
      <c r="AI339" s="1">
        <v>5.8</v>
      </c>
      <c r="AJ339" s="1">
        <v>1</v>
      </c>
      <c r="AK339" s="1">
        <v>0</v>
      </c>
      <c r="AL339" s="1">
        <v>1</v>
      </c>
      <c r="AM339" s="1">
        <v>1</v>
      </c>
      <c r="AN339" s="1">
        <v>4</v>
      </c>
    </row>
    <row r="340" spans="1:40">
      <c r="A340" s="1">
        <v>1600</v>
      </c>
      <c r="C340" s="1">
        <v>1</v>
      </c>
      <c r="D340" s="1">
        <v>1</v>
      </c>
      <c r="E340" s="1">
        <v>1</v>
      </c>
      <c r="F340" s="1">
        <v>1</v>
      </c>
      <c r="G340" s="1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1</v>
      </c>
      <c r="AF340" s="1">
        <v>1</v>
      </c>
      <c r="AG340" s="1">
        <v>1</v>
      </c>
      <c r="AH340" s="1">
        <v>1</v>
      </c>
      <c r="AI340" s="1">
        <v>1</v>
      </c>
      <c r="AJ340" s="1">
        <v>1</v>
      </c>
      <c r="AK340" s="1">
        <v>0</v>
      </c>
      <c r="AL340" s="1">
        <v>1</v>
      </c>
      <c r="AM340" s="1">
        <v>1</v>
      </c>
      <c r="AN340" s="1">
        <v>1</v>
      </c>
    </row>
    <row r="341" spans="1:40">
      <c r="A341" s="1">
        <v>1601</v>
      </c>
      <c r="C341" s="1">
        <v>1.03</v>
      </c>
      <c r="D341" s="1">
        <v>1.03</v>
      </c>
      <c r="E341" s="1">
        <v>1.03</v>
      </c>
      <c r="F341" s="1">
        <v>1.03</v>
      </c>
      <c r="G341" s="1">
        <v>1.04</v>
      </c>
      <c r="H341" s="1">
        <v>1</v>
      </c>
      <c r="I341" s="1">
        <v>1</v>
      </c>
      <c r="J341" s="1">
        <v>1.03</v>
      </c>
      <c r="K341" s="1">
        <v>1.03</v>
      </c>
      <c r="L341" s="1">
        <v>1.03</v>
      </c>
      <c r="M341" s="1">
        <v>1.03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1</v>
      </c>
      <c r="AD341" s="1">
        <v>1</v>
      </c>
      <c r="AE341" s="1">
        <v>1.03</v>
      </c>
      <c r="AF341" s="1">
        <v>1</v>
      </c>
      <c r="AG341" s="1">
        <v>1.03</v>
      </c>
      <c r="AH341" s="1">
        <v>1</v>
      </c>
      <c r="AI341" s="1">
        <v>1</v>
      </c>
      <c r="AJ341" s="1">
        <v>1</v>
      </c>
      <c r="AK341" s="1">
        <v>0</v>
      </c>
      <c r="AL341" s="1">
        <v>1</v>
      </c>
      <c r="AM341" s="1">
        <v>1</v>
      </c>
      <c r="AN341" s="1">
        <v>1.1200000000000001</v>
      </c>
    </row>
    <row r="342" spans="1:40">
      <c r="A342" s="1">
        <v>1602</v>
      </c>
      <c r="C342" s="1">
        <v>1.06</v>
      </c>
      <c r="D342" s="1">
        <v>1.06</v>
      </c>
      <c r="E342" s="1">
        <v>1.06</v>
      </c>
      <c r="F342" s="1">
        <v>1.06</v>
      </c>
      <c r="G342" s="1">
        <v>1.08</v>
      </c>
      <c r="H342" s="1">
        <v>1</v>
      </c>
      <c r="I342" s="1">
        <v>1</v>
      </c>
      <c r="J342" s="1">
        <v>1.06</v>
      </c>
      <c r="K342" s="1">
        <v>1.06</v>
      </c>
      <c r="L342" s="1">
        <v>1.06</v>
      </c>
      <c r="M342" s="1">
        <v>1.06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2</v>
      </c>
      <c r="AD342" s="1">
        <v>2</v>
      </c>
      <c r="AE342" s="1">
        <v>1.06</v>
      </c>
      <c r="AF342" s="1">
        <v>1</v>
      </c>
      <c r="AG342" s="1">
        <v>1.06</v>
      </c>
      <c r="AH342" s="1">
        <v>1</v>
      </c>
      <c r="AI342" s="1">
        <v>1.2</v>
      </c>
      <c r="AJ342" s="1">
        <v>1</v>
      </c>
      <c r="AK342" s="1">
        <v>0</v>
      </c>
      <c r="AL342" s="1">
        <v>1</v>
      </c>
      <c r="AM342" s="1">
        <v>1</v>
      </c>
      <c r="AN342" s="1">
        <v>1.24</v>
      </c>
    </row>
    <row r="343" spans="1:40">
      <c r="A343" s="1">
        <v>1603</v>
      </c>
      <c r="C343" s="1">
        <v>1.0900000000000001</v>
      </c>
      <c r="D343" s="1">
        <v>1.0900000000000001</v>
      </c>
      <c r="E343" s="1">
        <v>1.0900000000000001</v>
      </c>
      <c r="F343" s="1">
        <v>1.0900000000000001</v>
      </c>
      <c r="G343" s="1">
        <v>1.1200000000000001</v>
      </c>
      <c r="H343" s="1">
        <v>1</v>
      </c>
      <c r="I343" s="1">
        <v>1</v>
      </c>
      <c r="J343" s="1">
        <v>1.0900000000000001</v>
      </c>
      <c r="K343" s="1">
        <v>1.0900000000000001</v>
      </c>
      <c r="L343" s="1">
        <v>1.0900000000000001</v>
      </c>
      <c r="M343" s="1">
        <v>1.0900000000000001</v>
      </c>
      <c r="N343" s="1">
        <v>1</v>
      </c>
      <c r="O343" s="1">
        <v>1</v>
      </c>
      <c r="P343" s="1">
        <v>1</v>
      </c>
      <c r="Q343" s="1">
        <v>1</v>
      </c>
      <c r="R343" s="1">
        <v>1</v>
      </c>
      <c r="S343" s="1">
        <v>1</v>
      </c>
      <c r="T343" s="1">
        <v>1</v>
      </c>
      <c r="U343" s="1">
        <v>1</v>
      </c>
      <c r="V343" s="1">
        <v>1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3</v>
      </c>
      <c r="AD343" s="1">
        <v>3</v>
      </c>
      <c r="AE343" s="1">
        <v>1.0900000000000001</v>
      </c>
      <c r="AF343" s="1">
        <v>1</v>
      </c>
      <c r="AG343" s="1">
        <v>1.0900000000000001</v>
      </c>
      <c r="AH343" s="1">
        <v>1</v>
      </c>
      <c r="AI343" s="1">
        <v>1.4</v>
      </c>
      <c r="AJ343" s="1">
        <v>1</v>
      </c>
      <c r="AK343" s="1">
        <v>0</v>
      </c>
      <c r="AL343" s="1">
        <v>1</v>
      </c>
      <c r="AM343" s="1">
        <v>1</v>
      </c>
      <c r="AN343" s="1">
        <v>1.36</v>
      </c>
    </row>
    <row r="344" spans="1:40">
      <c r="A344" s="1">
        <v>1604</v>
      </c>
      <c r="C344" s="1">
        <v>1.1200000000000001</v>
      </c>
      <c r="D344" s="1">
        <v>1.1200000000000001</v>
      </c>
      <c r="E344" s="1">
        <v>1.1200000000000001</v>
      </c>
      <c r="F344" s="1">
        <v>1.1200000000000001</v>
      </c>
      <c r="G344" s="1">
        <v>1.1599999999999999</v>
      </c>
      <c r="H344" s="1">
        <v>1</v>
      </c>
      <c r="I344" s="1">
        <v>1</v>
      </c>
      <c r="J344" s="1">
        <v>1.1200000000000001</v>
      </c>
      <c r="K344" s="1">
        <v>1.1200000000000001</v>
      </c>
      <c r="L344" s="1">
        <v>1.1200000000000001</v>
      </c>
      <c r="M344" s="1">
        <v>1.1200000000000001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4</v>
      </c>
      <c r="AE344" s="1">
        <v>1.1200000000000001</v>
      </c>
      <c r="AF344" s="1">
        <v>1</v>
      </c>
      <c r="AG344" s="1">
        <v>1.1200000000000001</v>
      </c>
      <c r="AH344" s="1">
        <v>1</v>
      </c>
      <c r="AI344" s="1">
        <v>1.6</v>
      </c>
      <c r="AJ344" s="1">
        <v>1</v>
      </c>
      <c r="AK344" s="1">
        <v>0</v>
      </c>
      <c r="AL344" s="1">
        <v>1</v>
      </c>
      <c r="AM344" s="1">
        <v>1</v>
      </c>
      <c r="AN344" s="1">
        <v>1.48</v>
      </c>
    </row>
    <row r="345" spans="1:40">
      <c r="A345" s="1">
        <v>1605</v>
      </c>
      <c r="C345" s="1">
        <v>1.1499999999999999</v>
      </c>
      <c r="D345" s="1">
        <v>1.1499999999999999</v>
      </c>
      <c r="E345" s="1">
        <v>1.1499999999999999</v>
      </c>
      <c r="F345" s="1">
        <v>1.1499999999999999</v>
      </c>
      <c r="G345" s="1">
        <v>1.2</v>
      </c>
      <c r="H345" s="1">
        <v>1</v>
      </c>
      <c r="I345" s="1">
        <v>1</v>
      </c>
      <c r="J345" s="1">
        <v>1.1499999999999999</v>
      </c>
      <c r="K345" s="1">
        <v>1.1499999999999999</v>
      </c>
      <c r="L345" s="1">
        <v>1.1499999999999999</v>
      </c>
      <c r="M345" s="1">
        <v>1.1499999999999999</v>
      </c>
      <c r="N345" s="1">
        <v>1</v>
      </c>
      <c r="O345" s="1">
        <v>1</v>
      </c>
      <c r="P345" s="1">
        <v>1</v>
      </c>
      <c r="Q345" s="1">
        <v>1</v>
      </c>
      <c r="R345" s="1">
        <v>1</v>
      </c>
      <c r="S345" s="1">
        <v>1</v>
      </c>
      <c r="T345" s="1"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5</v>
      </c>
      <c r="AD345" s="1">
        <v>5</v>
      </c>
      <c r="AE345" s="1">
        <v>1.1499999999999999</v>
      </c>
      <c r="AF345" s="1">
        <v>1</v>
      </c>
      <c r="AG345" s="1">
        <v>1.1499999999999999</v>
      </c>
      <c r="AH345" s="1">
        <v>1</v>
      </c>
      <c r="AI345" s="1">
        <v>1.8</v>
      </c>
      <c r="AJ345" s="1">
        <v>1</v>
      </c>
      <c r="AK345" s="1">
        <v>0</v>
      </c>
      <c r="AL345" s="1">
        <v>1</v>
      </c>
      <c r="AM345" s="1">
        <v>1</v>
      </c>
      <c r="AN345" s="1">
        <v>1.6</v>
      </c>
    </row>
    <row r="346" spans="1:40">
      <c r="A346" s="1">
        <v>1606</v>
      </c>
      <c r="C346" s="1">
        <v>1.18</v>
      </c>
      <c r="D346" s="1">
        <v>1.18</v>
      </c>
      <c r="E346" s="1">
        <v>1.18</v>
      </c>
      <c r="F346" s="1">
        <v>1.18</v>
      </c>
      <c r="G346" s="1">
        <v>1.24</v>
      </c>
      <c r="H346" s="1">
        <v>1</v>
      </c>
      <c r="I346" s="1">
        <v>1</v>
      </c>
      <c r="J346" s="1">
        <v>1.18</v>
      </c>
      <c r="K346" s="1">
        <v>1.18</v>
      </c>
      <c r="L346" s="1">
        <v>1.18</v>
      </c>
      <c r="M346" s="1">
        <v>1.18</v>
      </c>
      <c r="N346" s="1">
        <v>1</v>
      </c>
      <c r="O346" s="1">
        <v>1</v>
      </c>
      <c r="P346" s="1">
        <v>1</v>
      </c>
      <c r="Q346" s="1">
        <v>1</v>
      </c>
      <c r="R346" s="1">
        <v>1</v>
      </c>
      <c r="S346" s="1">
        <v>1</v>
      </c>
      <c r="T346" s="1">
        <v>1</v>
      </c>
      <c r="U346" s="1">
        <v>1</v>
      </c>
      <c r="V346" s="1">
        <v>1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6</v>
      </c>
      <c r="AD346" s="1">
        <v>6</v>
      </c>
      <c r="AE346" s="1">
        <v>1.18</v>
      </c>
      <c r="AF346" s="1">
        <v>1</v>
      </c>
      <c r="AG346" s="1">
        <v>1.18</v>
      </c>
      <c r="AH346" s="1">
        <v>1</v>
      </c>
      <c r="AI346" s="1">
        <v>2</v>
      </c>
      <c r="AJ346" s="1">
        <v>1</v>
      </c>
      <c r="AK346" s="1">
        <v>0</v>
      </c>
      <c r="AL346" s="1">
        <v>1</v>
      </c>
      <c r="AM346" s="1">
        <v>1</v>
      </c>
      <c r="AN346" s="1">
        <v>1.72</v>
      </c>
    </row>
    <row r="347" spans="1:40">
      <c r="A347" s="1">
        <v>1607</v>
      </c>
      <c r="C347" s="1">
        <v>1.21</v>
      </c>
      <c r="D347" s="1">
        <v>1.21</v>
      </c>
      <c r="E347" s="1">
        <v>1.21</v>
      </c>
      <c r="F347" s="1">
        <v>1.21</v>
      </c>
      <c r="G347" s="1">
        <v>1.28</v>
      </c>
      <c r="H347" s="1">
        <v>1</v>
      </c>
      <c r="I347" s="1">
        <v>1</v>
      </c>
      <c r="J347" s="1">
        <v>1.21</v>
      </c>
      <c r="K347" s="1">
        <v>1.21</v>
      </c>
      <c r="L347" s="1">
        <v>1.21</v>
      </c>
      <c r="M347" s="1">
        <v>1.21</v>
      </c>
      <c r="N347" s="1">
        <v>1</v>
      </c>
      <c r="O347" s="1">
        <v>1</v>
      </c>
      <c r="P347" s="1">
        <v>1</v>
      </c>
      <c r="Q347" s="1">
        <v>1</v>
      </c>
      <c r="R347" s="1">
        <v>1</v>
      </c>
      <c r="S347" s="1">
        <v>1</v>
      </c>
      <c r="T347" s="1">
        <v>1</v>
      </c>
      <c r="U347" s="1">
        <v>1</v>
      </c>
      <c r="V347" s="1">
        <v>1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7</v>
      </c>
      <c r="AD347" s="1">
        <v>7</v>
      </c>
      <c r="AE347" s="1">
        <v>1.21</v>
      </c>
      <c r="AF347" s="1">
        <v>1</v>
      </c>
      <c r="AG347" s="1">
        <v>1.21</v>
      </c>
      <c r="AH347" s="1">
        <v>1</v>
      </c>
      <c r="AI347" s="1">
        <v>2.2000000000000002</v>
      </c>
      <c r="AJ347" s="1">
        <v>1</v>
      </c>
      <c r="AK347" s="1">
        <v>0</v>
      </c>
      <c r="AL347" s="1">
        <v>1</v>
      </c>
      <c r="AM347" s="1">
        <v>1</v>
      </c>
      <c r="AN347" s="1">
        <v>1.84</v>
      </c>
    </row>
    <row r="348" spans="1:40">
      <c r="A348" s="1">
        <v>1608</v>
      </c>
      <c r="C348" s="1">
        <v>1.24</v>
      </c>
      <c r="D348" s="1">
        <v>1.24</v>
      </c>
      <c r="E348" s="1">
        <v>1.24</v>
      </c>
      <c r="F348" s="1">
        <v>1.24</v>
      </c>
      <c r="G348" s="1">
        <v>1.32</v>
      </c>
      <c r="H348" s="1">
        <v>1</v>
      </c>
      <c r="I348" s="1">
        <v>1</v>
      </c>
      <c r="J348" s="1">
        <v>1.24</v>
      </c>
      <c r="K348" s="1">
        <v>1.24</v>
      </c>
      <c r="L348" s="1">
        <v>1.24</v>
      </c>
      <c r="M348" s="1">
        <v>1.24</v>
      </c>
      <c r="N348" s="1">
        <v>1</v>
      </c>
      <c r="O348" s="1">
        <v>1</v>
      </c>
      <c r="P348" s="1">
        <v>1</v>
      </c>
      <c r="Q348" s="1">
        <v>1</v>
      </c>
      <c r="R348" s="1">
        <v>1</v>
      </c>
      <c r="S348" s="1">
        <v>1</v>
      </c>
      <c r="T348" s="1">
        <v>1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8</v>
      </c>
      <c r="AD348" s="1">
        <v>8</v>
      </c>
      <c r="AE348" s="1">
        <v>1.24</v>
      </c>
      <c r="AF348" s="1">
        <v>1</v>
      </c>
      <c r="AG348" s="1">
        <v>1.24</v>
      </c>
      <c r="AH348" s="1">
        <v>1</v>
      </c>
      <c r="AI348" s="1">
        <v>2.4</v>
      </c>
      <c r="AJ348" s="1">
        <v>1</v>
      </c>
      <c r="AK348" s="1">
        <v>0</v>
      </c>
      <c r="AL348" s="1">
        <v>1</v>
      </c>
      <c r="AM348" s="1">
        <v>1</v>
      </c>
      <c r="AN348" s="1">
        <v>1.96</v>
      </c>
    </row>
    <row r="349" spans="1:40">
      <c r="A349" s="1">
        <v>1609</v>
      </c>
      <c r="C349" s="1">
        <v>1.27</v>
      </c>
      <c r="D349" s="1">
        <v>1.27</v>
      </c>
      <c r="E349" s="1">
        <v>1.27</v>
      </c>
      <c r="F349" s="1">
        <v>1.27</v>
      </c>
      <c r="G349" s="1">
        <v>1.36</v>
      </c>
      <c r="H349" s="1">
        <v>1</v>
      </c>
      <c r="I349" s="1">
        <v>1</v>
      </c>
      <c r="J349" s="1">
        <v>1.27</v>
      </c>
      <c r="K349" s="1">
        <v>1.27</v>
      </c>
      <c r="L349" s="1">
        <v>1.27</v>
      </c>
      <c r="M349" s="1">
        <v>1.27</v>
      </c>
      <c r="N349" s="1">
        <v>1</v>
      </c>
      <c r="O349" s="1">
        <v>1</v>
      </c>
      <c r="P349" s="1">
        <v>1</v>
      </c>
      <c r="Q349" s="1">
        <v>1</v>
      </c>
      <c r="R349" s="1">
        <v>1</v>
      </c>
      <c r="S349" s="1">
        <v>1</v>
      </c>
      <c r="T349" s="1">
        <v>1</v>
      </c>
      <c r="U349" s="1">
        <v>1</v>
      </c>
      <c r="V349" s="1">
        <v>1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9</v>
      </c>
      <c r="AD349" s="1">
        <v>9</v>
      </c>
      <c r="AE349" s="1">
        <v>1.27</v>
      </c>
      <c r="AF349" s="1">
        <v>1</v>
      </c>
      <c r="AG349" s="1">
        <v>1.27</v>
      </c>
      <c r="AH349" s="1">
        <v>1</v>
      </c>
      <c r="AI349" s="1">
        <v>2.6</v>
      </c>
      <c r="AJ349" s="1">
        <v>1</v>
      </c>
      <c r="AK349" s="1">
        <v>0</v>
      </c>
      <c r="AL349" s="1">
        <v>1</v>
      </c>
      <c r="AM349" s="1">
        <v>1</v>
      </c>
      <c r="AN349" s="1">
        <v>2.08</v>
      </c>
    </row>
    <row r="350" spans="1:40">
      <c r="A350" s="1">
        <v>1610</v>
      </c>
      <c r="C350" s="1">
        <v>1.3</v>
      </c>
      <c r="D350" s="1">
        <v>1.3</v>
      </c>
      <c r="E350" s="1">
        <v>1.3</v>
      </c>
      <c r="F350" s="1">
        <v>1.3</v>
      </c>
      <c r="G350" s="1">
        <v>1.4</v>
      </c>
      <c r="H350" s="1">
        <v>1</v>
      </c>
      <c r="I350" s="1">
        <v>1</v>
      </c>
      <c r="J350" s="1">
        <v>1.2</v>
      </c>
      <c r="K350" s="1">
        <v>1.2</v>
      </c>
      <c r="L350" s="1">
        <v>1.2</v>
      </c>
      <c r="M350" s="1">
        <v>1.2</v>
      </c>
      <c r="N350" s="1">
        <v>1</v>
      </c>
      <c r="O350" s="1">
        <v>1</v>
      </c>
      <c r="P350" s="1">
        <v>1</v>
      </c>
      <c r="Q350" s="1">
        <v>1</v>
      </c>
      <c r="R350" s="1">
        <v>1</v>
      </c>
      <c r="S350" s="1">
        <v>1</v>
      </c>
      <c r="T350" s="1">
        <v>1</v>
      </c>
      <c r="U350" s="1">
        <v>1</v>
      </c>
      <c r="V350" s="1">
        <v>1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10</v>
      </c>
      <c r="AD350" s="1">
        <v>10</v>
      </c>
      <c r="AE350" s="1">
        <v>1.3</v>
      </c>
      <c r="AF350" s="1">
        <v>1</v>
      </c>
      <c r="AG350" s="1">
        <v>1.2</v>
      </c>
      <c r="AH350" s="1">
        <v>1</v>
      </c>
      <c r="AI350" s="1">
        <v>2.8</v>
      </c>
      <c r="AJ350" s="1">
        <v>1</v>
      </c>
      <c r="AK350" s="1">
        <v>0</v>
      </c>
      <c r="AL350" s="1">
        <v>1</v>
      </c>
      <c r="AM350" s="1">
        <v>1</v>
      </c>
      <c r="AN350" s="1">
        <v>2.2000000000000002</v>
      </c>
    </row>
    <row r="351" spans="1:40">
      <c r="A351" s="1">
        <v>1611</v>
      </c>
      <c r="C351" s="1">
        <v>1.33</v>
      </c>
      <c r="D351" s="1">
        <v>1.33</v>
      </c>
      <c r="E351" s="1">
        <v>1.33</v>
      </c>
      <c r="F351" s="1">
        <v>1.33</v>
      </c>
      <c r="G351" s="1">
        <v>1.44</v>
      </c>
      <c r="H351" s="1">
        <v>1</v>
      </c>
      <c r="I351" s="1">
        <v>1</v>
      </c>
      <c r="J351" s="1">
        <v>1.22</v>
      </c>
      <c r="K351" s="1">
        <v>1.22</v>
      </c>
      <c r="L351" s="1">
        <v>1.22</v>
      </c>
      <c r="M351" s="1">
        <v>1.22</v>
      </c>
      <c r="N351" s="1">
        <v>1</v>
      </c>
      <c r="O351" s="1">
        <v>1</v>
      </c>
      <c r="P351" s="1">
        <v>1</v>
      </c>
      <c r="Q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11</v>
      </c>
      <c r="AD351" s="1">
        <v>11</v>
      </c>
      <c r="AE351" s="1">
        <v>1.33</v>
      </c>
      <c r="AF351" s="1">
        <v>1</v>
      </c>
      <c r="AG351" s="1">
        <v>1.22</v>
      </c>
      <c r="AH351" s="1">
        <v>1</v>
      </c>
      <c r="AI351" s="1">
        <v>3</v>
      </c>
      <c r="AJ351" s="1">
        <v>1</v>
      </c>
      <c r="AK351" s="1">
        <v>0</v>
      </c>
      <c r="AL351" s="1">
        <v>1</v>
      </c>
      <c r="AM351" s="1">
        <v>1</v>
      </c>
      <c r="AN351" s="1">
        <v>2.3199999999999998</v>
      </c>
    </row>
    <row r="352" spans="1:40">
      <c r="A352" s="1">
        <v>1612</v>
      </c>
      <c r="C352" s="1">
        <v>1.36</v>
      </c>
      <c r="D352" s="1">
        <v>1.36</v>
      </c>
      <c r="E352" s="1">
        <v>1.36</v>
      </c>
      <c r="F352" s="1">
        <v>1.36</v>
      </c>
      <c r="G352" s="1">
        <v>1.48</v>
      </c>
      <c r="H352" s="1">
        <v>1</v>
      </c>
      <c r="I352" s="1">
        <v>1</v>
      </c>
      <c r="J352" s="1">
        <v>1.24</v>
      </c>
      <c r="K352" s="1">
        <v>1.24</v>
      </c>
      <c r="L352" s="1">
        <v>1.24</v>
      </c>
      <c r="M352" s="1">
        <v>1.24</v>
      </c>
      <c r="N352" s="1">
        <v>1</v>
      </c>
      <c r="O352" s="1">
        <v>1</v>
      </c>
      <c r="P352" s="1">
        <v>1</v>
      </c>
      <c r="Q352" s="1">
        <v>1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12</v>
      </c>
      <c r="AD352" s="1">
        <v>12</v>
      </c>
      <c r="AE352" s="1">
        <v>1.36</v>
      </c>
      <c r="AF352" s="1">
        <v>1</v>
      </c>
      <c r="AG352" s="1">
        <v>1.24</v>
      </c>
      <c r="AH352" s="1">
        <v>1</v>
      </c>
      <c r="AI352" s="1">
        <v>3.2</v>
      </c>
      <c r="AJ352" s="1">
        <v>1</v>
      </c>
      <c r="AK352" s="1">
        <v>0</v>
      </c>
      <c r="AL352" s="1">
        <v>1</v>
      </c>
      <c r="AM352" s="1">
        <v>1</v>
      </c>
      <c r="AN352" s="1">
        <v>2.44</v>
      </c>
    </row>
    <row r="353" spans="1:40">
      <c r="A353" s="1">
        <v>1613</v>
      </c>
      <c r="C353" s="1">
        <v>1.39</v>
      </c>
      <c r="D353" s="1">
        <v>1.39</v>
      </c>
      <c r="E353" s="1">
        <v>1.39</v>
      </c>
      <c r="F353" s="1">
        <v>1.39</v>
      </c>
      <c r="G353" s="1">
        <v>1.52</v>
      </c>
      <c r="H353" s="1">
        <v>1</v>
      </c>
      <c r="I353" s="1">
        <v>1</v>
      </c>
      <c r="J353" s="1">
        <v>1.26</v>
      </c>
      <c r="K353" s="1">
        <v>1.26</v>
      </c>
      <c r="L353" s="1">
        <v>1.26</v>
      </c>
      <c r="M353" s="1">
        <v>1.26</v>
      </c>
      <c r="N353" s="1">
        <v>1</v>
      </c>
      <c r="O353" s="1">
        <v>1</v>
      </c>
      <c r="P353" s="1">
        <v>1</v>
      </c>
      <c r="Q353" s="1">
        <v>1</v>
      </c>
      <c r="R353" s="1">
        <v>1</v>
      </c>
      <c r="S353" s="1">
        <v>1</v>
      </c>
      <c r="T353" s="1">
        <v>1</v>
      </c>
      <c r="U353" s="1">
        <v>1</v>
      </c>
      <c r="V353" s="1">
        <v>1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13</v>
      </c>
      <c r="AD353" s="1">
        <v>13</v>
      </c>
      <c r="AE353" s="1">
        <v>1.39</v>
      </c>
      <c r="AF353" s="1">
        <v>1</v>
      </c>
      <c r="AG353" s="1">
        <v>1.26</v>
      </c>
      <c r="AH353" s="1">
        <v>1</v>
      </c>
      <c r="AI353" s="1">
        <v>3.4</v>
      </c>
      <c r="AJ353" s="1">
        <v>1</v>
      </c>
      <c r="AK353" s="1">
        <v>0</v>
      </c>
      <c r="AL353" s="1">
        <v>1</v>
      </c>
      <c r="AM353" s="1">
        <v>1</v>
      </c>
      <c r="AN353" s="1">
        <v>2.56</v>
      </c>
    </row>
    <row r="354" spans="1:40">
      <c r="A354" s="1">
        <v>1614</v>
      </c>
      <c r="C354" s="1">
        <v>1.42</v>
      </c>
      <c r="D354" s="1">
        <v>1.42</v>
      </c>
      <c r="E354" s="1">
        <v>1.42</v>
      </c>
      <c r="F354" s="1">
        <v>1.42</v>
      </c>
      <c r="G354" s="1">
        <v>1.56</v>
      </c>
      <c r="H354" s="1">
        <v>1</v>
      </c>
      <c r="I354" s="1">
        <v>1</v>
      </c>
      <c r="J354" s="1">
        <v>1.28</v>
      </c>
      <c r="K354" s="1">
        <v>1.28</v>
      </c>
      <c r="L354" s="1">
        <v>1.28</v>
      </c>
      <c r="M354" s="1">
        <v>1.28</v>
      </c>
      <c r="N354" s="1">
        <v>1</v>
      </c>
      <c r="O354" s="1">
        <v>1</v>
      </c>
      <c r="P354" s="1">
        <v>1</v>
      </c>
      <c r="Q354" s="1">
        <v>1</v>
      </c>
      <c r="R354" s="1">
        <v>1</v>
      </c>
      <c r="S354" s="1">
        <v>1</v>
      </c>
      <c r="T354" s="1">
        <v>1</v>
      </c>
      <c r="U354" s="1">
        <v>1</v>
      </c>
      <c r="V354" s="1">
        <v>1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14</v>
      </c>
      <c r="AD354" s="1">
        <v>14</v>
      </c>
      <c r="AE354" s="1">
        <v>1.42</v>
      </c>
      <c r="AF354" s="1">
        <v>1</v>
      </c>
      <c r="AG354" s="1">
        <v>1.28</v>
      </c>
      <c r="AH354" s="1">
        <v>1</v>
      </c>
      <c r="AI354" s="1">
        <v>3.6</v>
      </c>
      <c r="AJ354" s="1">
        <v>1</v>
      </c>
      <c r="AK354" s="1">
        <v>0</v>
      </c>
      <c r="AL354" s="1">
        <v>1</v>
      </c>
      <c r="AM354" s="1">
        <v>1</v>
      </c>
      <c r="AN354" s="1">
        <v>2.68</v>
      </c>
    </row>
    <row r="355" spans="1:40">
      <c r="A355" s="1">
        <v>1615</v>
      </c>
      <c r="C355" s="1">
        <v>1.45</v>
      </c>
      <c r="D355" s="1">
        <v>1.45</v>
      </c>
      <c r="E355" s="1">
        <v>1.45</v>
      </c>
      <c r="F355" s="1">
        <v>1.45</v>
      </c>
      <c r="G355" s="1">
        <v>1.6</v>
      </c>
      <c r="H355" s="1">
        <v>1</v>
      </c>
      <c r="I355" s="1">
        <v>1</v>
      </c>
      <c r="J355" s="1">
        <v>1.3</v>
      </c>
      <c r="K355" s="1">
        <v>1.3</v>
      </c>
      <c r="L355" s="1">
        <v>1.3</v>
      </c>
      <c r="M355" s="1">
        <v>1.3</v>
      </c>
      <c r="N355" s="1">
        <v>1</v>
      </c>
      <c r="O355" s="1">
        <v>1</v>
      </c>
      <c r="P355" s="1">
        <v>1</v>
      </c>
      <c r="Q355" s="1">
        <v>1</v>
      </c>
      <c r="R355" s="1">
        <v>1</v>
      </c>
      <c r="S355" s="1">
        <v>1</v>
      </c>
      <c r="T355" s="1">
        <v>1</v>
      </c>
      <c r="U355" s="1">
        <v>1</v>
      </c>
      <c r="V355" s="1">
        <v>1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15</v>
      </c>
      <c r="AD355" s="1">
        <v>15</v>
      </c>
      <c r="AE355" s="1">
        <v>1.45</v>
      </c>
      <c r="AF355" s="1">
        <v>1</v>
      </c>
      <c r="AG355" s="1">
        <v>1.3</v>
      </c>
      <c r="AH355" s="1">
        <v>1</v>
      </c>
      <c r="AI355" s="1">
        <v>3.8</v>
      </c>
      <c r="AJ355" s="1">
        <v>1</v>
      </c>
      <c r="AK355" s="1">
        <v>0</v>
      </c>
      <c r="AL355" s="1">
        <v>1</v>
      </c>
      <c r="AM355" s="1">
        <v>1</v>
      </c>
      <c r="AN355" s="1">
        <v>2.8</v>
      </c>
    </row>
    <row r="356" spans="1:40">
      <c r="A356" s="1">
        <v>1616</v>
      </c>
      <c r="C356" s="1">
        <v>1.48</v>
      </c>
      <c r="D356" s="1">
        <v>1.48</v>
      </c>
      <c r="E356" s="1">
        <v>1.48</v>
      </c>
      <c r="F356" s="1">
        <v>1.48</v>
      </c>
      <c r="G356" s="1">
        <v>1.64</v>
      </c>
      <c r="H356" s="1">
        <v>1</v>
      </c>
      <c r="I356" s="1">
        <v>1</v>
      </c>
      <c r="J356" s="1">
        <v>1.31</v>
      </c>
      <c r="K356" s="1">
        <v>1.31</v>
      </c>
      <c r="L356" s="1">
        <v>1.31</v>
      </c>
      <c r="M356" s="1">
        <v>1.31</v>
      </c>
      <c r="N356" s="1">
        <v>1</v>
      </c>
      <c r="O356" s="1">
        <v>1</v>
      </c>
      <c r="P356" s="1">
        <v>1</v>
      </c>
      <c r="Q356" s="1">
        <v>1</v>
      </c>
      <c r="R356" s="1">
        <v>1</v>
      </c>
      <c r="S356" s="1">
        <v>1</v>
      </c>
      <c r="T356" s="1">
        <v>1</v>
      </c>
      <c r="U356" s="1">
        <v>1</v>
      </c>
      <c r="V356" s="1">
        <v>1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16</v>
      </c>
      <c r="AD356" s="1">
        <v>16</v>
      </c>
      <c r="AE356" s="1">
        <v>1.48</v>
      </c>
      <c r="AF356" s="1">
        <v>1</v>
      </c>
      <c r="AG356" s="1">
        <v>1.31</v>
      </c>
      <c r="AH356" s="1">
        <v>1</v>
      </c>
      <c r="AI356" s="1">
        <v>4</v>
      </c>
      <c r="AJ356" s="1">
        <v>1</v>
      </c>
      <c r="AK356" s="1">
        <v>0</v>
      </c>
      <c r="AL356" s="1">
        <v>1</v>
      </c>
      <c r="AM356" s="1">
        <v>1</v>
      </c>
      <c r="AN356" s="1">
        <v>2.92</v>
      </c>
    </row>
    <row r="357" spans="1:40">
      <c r="A357" s="1">
        <v>1617</v>
      </c>
      <c r="C357" s="1">
        <v>1.51</v>
      </c>
      <c r="D357" s="1">
        <v>1.51</v>
      </c>
      <c r="E357" s="1">
        <v>1.51</v>
      </c>
      <c r="F357" s="1">
        <v>1.51</v>
      </c>
      <c r="G357" s="1">
        <v>1.68</v>
      </c>
      <c r="H357" s="1">
        <v>1</v>
      </c>
      <c r="I357" s="1">
        <v>1</v>
      </c>
      <c r="J357" s="1">
        <v>1.32</v>
      </c>
      <c r="K357" s="1">
        <v>1.32</v>
      </c>
      <c r="L357" s="1">
        <v>1.32</v>
      </c>
      <c r="M357" s="1">
        <v>1.32</v>
      </c>
      <c r="N357" s="1">
        <v>1</v>
      </c>
      <c r="O357" s="1">
        <v>1</v>
      </c>
      <c r="P357" s="1">
        <v>1</v>
      </c>
      <c r="Q357" s="1">
        <v>1</v>
      </c>
      <c r="R357" s="1">
        <v>1</v>
      </c>
      <c r="S357" s="1">
        <v>1</v>
      </c>
      <c r="T357" s="1">
        <v>1</v>
      </c>
      <c r="U357" s="1">
        <v>1</v>
      </c>
      <c r="V357" s="1">
        <v>1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17</v>
      </c>
      <c r="AD357" s="1">
        <v>17</v>
      </c>
      <c r="AE357" s="1">
        <v>1.51</v>
      </c>
      <c r="AF357" s="1">
        <v>1</v>
      </c>
      <c r="AG357" s="1">
        <v>1.32</v>
      </c>
      <c r="AH357" s="1">
        <v>1</v>
      </c>
      <c r="AI357" s="1">
        <v>4.2</v>
      </c>
      <c r="AJ357" s="1">
        <v>1</v>
      </c>
      <c r="AK357" s="1">
        <v>0</v>
      </c>
      <c r="AL357" s="1">
        <v>1</v>
      </c>
      <c r="AM357" s="1">
        <v>1</v>
      </c>
      <c r="AN357" s="1">
        <v>3.04</v>
      </c>
    </row>
    <row r="358" spans="1:40">
      <c r="A358" s="1">
        <v>1618</v>
      </c>
      <c r="C358" s="1">
        <v>1.54</v>
      </c>
      <c r="D358" s="1">
        <v>1.54</v>
      </c>
      <c r="E358" s="1">
        <v>1.54</v>
      </c>
      <c r="F358" s="1">
        <v>1.54</v>
      </c>
      <c r="G358" s="1">
        <v>1.72</v>
      </c>
      <c r="H358" s="1">
        <v>1</v>
      </c>
      <c r="I358" s="1">
        <v>1</v>
      </c>
      <c r="J358" s="1">
        <v>1.33</v>
      </c>
      <c r="K358" s="1">
        <v>1.33</v>
      </c>
      <c r="L358" s="1">
        <v>1.33</v>
      </c>
      <c r="M358" s="1">
        <v>1.33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S358" s="1">
        <v>1</v>
      </c>
      <c r="T358" s="1">
        <v>1</v>
      </c>
      <c r="U358" s="1">
        <v>1</v>
      </c>
      <c r="V358" s="1">
        <v>1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18</v>
      </c>
      <c r="AD358" s="1">
        <v>18</v>
      </c>
      <c r="AE358" s="1">
        <v>1.54</v>
      </c>
      <c r="AF358" s="1">
        <v>1</v>
      </c>
      <c r="AG358" s="1">
        <v>1.33</v>
      </c>
      <c r="AH358" s="1">
        <v>1</v>
      </c>
      <c r="AI358" s="1">
        <v>4.4000000000000004</v>
      </c>
      <c r="AJ358" s="1">
        <v>1</v>
      </c>
      <c r="AK358" s="1">
        <v>0</v>
      </c>
      <c r="AL358" s="1">
        <v>1</v>
      </c>
      <c r="AM358" s="1">
        <v>1</v>
      </c>
      <c r="AN358" s="1">
        <v>3.16</v>
      </c>
    </row>
    <row r="359" spans="1:40">
      <c r="A359" s="1">
        <v>1619</v>
      </c>
      <c r="C359" s="1">
        <v>1.57</v>
      </c>
      <c r="D359" s="1">
        <v>1.57</v>
      </c>
      <c r="E359" s="1">
        <v>1.57</v>
      </c>
      <c r="F359" s="1">
        <v>1.57</v>
      </c>
      <c r="G359" s="1">
        <v>1.76</v>
      </c>
      <c r="H359" s="1">
        <v>1</v>
      </c>
      <c r="I359" s="1">
        <v>1</v>
      </c>
      <c r="J359" s="1">
        <v>1.34</v>
      </c>
      <c r="K359" s="1">
        <v>1.34</v>
      </c>
      <c r="L359" s="1">
        <v>1.34</v>
      </c>
      <c r="M359" s="1">
        <v>1.34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S359" s="1">
        <v>1</v>
      </c>
      <c r="T359" s="1">
        <v>1</v>
      </c>
      <c r="U359" s="1">
        <v>1</v>
      </c>
      <c r="V359" s="1">
        <v>1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19</v>
      </c>
      <c r="AD359" s="1">
        <v>19</v>
      </c>
      <c r="AE359" s="1">
        <v>1.57</v>
      </c>
      <c r="AF359" s="1">
        <v>1</v>
      </c>
      <c r="AG359" s="1">
        <v>1.34</v>
      </c>
      <c r="AH359" s="1">
        <v>1</v>
      </c>
      <c r="AI359" s="1">
        <v>4.5999999999999996</v>
      </c>
      <c r="AJ359" s="1">
        <v>1</v>
      </c>
      <c r="AK359" s="1">
        <v>0</v>
      </c>
      <c r="AL359" s="1">
        <v>1</v>
      </c>
      <c r="AM359" s="1">
        <v>1</v>
      </c>
      <c r="AN359" s="1">
        <v>3.28</v>
      </c>
    </row>
    <row r="360" spans="1:40">
      <c r="A360" s="1">
        <v>1620</v>
      </c>
      <c r="C360" s="1">
        <v>1.6</v>
      </c>
      <c r="D360" s="1">
        <v>1.6</v>
      </c>
      <c r="E360" s="1">
        <v>1.6</v>
      </c>
      <c r="F360" s="1">
        <v>1.6</v>
      </c>
      <c r="G360" s="1">
        <v>1.8</v>
      </c>
      <c r="H360" s="1">
        <v>1</v>
      </c>
      <c r="I360" s="1">
        <v>1</v>
      </c>
      <c r="J360" s="1">
        <v>1.35</v>
      </c>
      <c r="K360" s="1">
        <v>1.35</v>
      </c>
      <c r="L360" s="1">
        <v>1.35</v>
      </c>
      <c r="M360" s="1">
        <v>1.35</v>
      </c>
      <c r="N360" s="1">
        <v>1</v>
      </c>
      <c r="O360" s="1">
        <v>1</v>
      </c>
      <c r="P360" s="1">
        <v>1</v>
      </c>
      <c r="Q360" s="1">
        <v>1</v>
      </c>
      <c r="R360" s="1">
        <v>1</v>
      </c>
      <c r="S360" s="1">
        <v>1</v>
      </c>
      <c r="T360" s="1">
        <v>1</v>
      </c>
      <c r="U360" s="1">
        <v>1</v>
      </c>
      <c r="V360" s="1">
        <v>1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20</v>
      </c>
      <c r="AD360" s="1">
        <v>20</v>
      </c>
      <c r="AE360" s="1">
        <v>1.6</v>
      </c>
      <c r="AF360" s="1">
        <v>1</v>
      </c>
      <c r="AG360" s="1">
        <v>1.35</v>
      </c>
      <c r="AH360" s="1">
        <v>1</v>
      </c>
      <c r="AI360" s="1">
        <v>4.8</v>
      </c>
      <c r="AJ360" s="1">
        <v>1</v>
      </c>
      <c r="AK360" s="1">
        <v>0</v>
      </c>
      <c r="AL360" s="1">
        <v>1</v>
      </c>
      <c r="AM360" s="1">
        <v>1</v>
      </c>
      <c r="AN360" s="1">
        <v>3.4</v>
      </c>
    </row>
    <row r="361" spans="1:40">
      <c r="A361" s="1">
        <v>1621</v>
      </c>
      <c r="C361" s="1">
        <v>1.63</v>
      </c>
      <c r="D361" s="1">
        <v>1.63</v>
      </c>
      <c r="E361" s="1">
        <v>1.63</v>
      </c>
      <c r="F361" s="1">
        <v>1.63</v>
      </c>
      <c r="G361" s="1">
        <v>1.84</v>
      </c>
      <c r="H361" s="1">
        <v>1</v>
      </c>
      <c r="I361" s="1">
        <v>1</v>
      </c>
      <c r="J361" s="1">
        <v>1.36</v>
      </c>
      <c r="K361" s="1">
        <v>1.36</v>
      </c>
      <c r="L361" s="1">
        <v>1.36</v>
      </c>
      <c r="M361" s="1">
        <v>1.36</v>
      </c>
      <c r="N361" s="1">
        <v>1</v>
      </c>
      <c r="O361" s="1">
        <v>1</v>
      </c>
      <c r="P361" s="1">
        <v>1</v>
      </c>
      <c r="Q361" s="1">
        <v>1</v>
      </c>
      <c r="R361" s="1">
        <v>1</v>
      </c>
      <c r="S361" s="1">
        <v>1</v>
      </c>
      <c r="T361" s="1">
        <v>1</v>
      </c>
      <c r="U361" s="1">
        <v>1</v>
      </c>
      <c r="V361" s="1">
        <v>1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21</v>
      </c>
      <c r="AD361" s="1">
        <v>21</v>
      </c>
      <c r="AE361" s="1">
        <v>1.63</v>
      </c>
      <c r="AF361" s="1">
        <v>1</v>
      </c>
      <c r="AG361" s="1">
        <v>1.36</v>
      </c>
      <c r="AH361" s="1">
        <v>1</v>
      </c>
      <c r="AI361" s="1">
        <v>5</v>
      </c>
      <c r="AJ361" s="1">
        <v>1</v>
      </c>
      <c r="AK361" s="1">
        <v>0</v>
      </c>
      <c r="AL361" s="1">
        <v>1</v>
      </c>
      <c r="AM361" s="1">
        <v>1</v>
      </c>
      <c r="AN361" s="1">
        <v>3.52</v>
      </c>
    </row>
    <row r="362" spans="1:40">
      <c r="A362" s="1">
        <v>1622</v>
      </c>
      <c r="C362" s="1">
        <v>1.66</v>
      </c>
      <c r="D362" s="1">
        <v>1.66</v>
      </c>
      <c r="E362" s="1">
        <v>1.66</v>
      </c>
      <c r="F362" s="1">
        <v>1.66</v>
      </c>
      <c r="G362" s="1">
        <v>1.88</v>
      </c>
      <c r="H362" s="1">
        <v>1</v>
      </c>
      <c r="I362" s="1">
        <v>1</v>
      </c>
      <c r="J362" s="1">
        <v>1.37</v>
      </c>
      <c r="K362" s="1">
        <v>1.37</v>
      </c>
      <c r="L362" s="1">
        <v>1.37</v>
      </c>
      <c r="M362" s="1">
        <v>1.37</v>
      </c>
      <c r="N362" s="1">
        <v>1</v>
      </c>
      <c r="O362" s="1">
        <v>1</v>
      </c>
      <c r="P362" s="1">
        <v>1</v>
      </c>
      <c r="Q362" s="1">
        <v>1</v>
      </c>
      <c r="R362" s="1">
        <v>1</v>
      </c>
      <c r="S362" s="1">
        <v>1</v>
      </c>
      <c r="T362" s="1">
        <v>1</v>
      </c>
      <c r="U362" s="1">
        <v>1</v>
      </c>
      <c r="V362" s="1">
        <v>1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22</v>
      </c>
      <c r="AD362" s="1">
        <v>22</v>
      </c>
      <c r="AE362" s="1">
        <v>1.66</v>
      </c>
      <c r="AF362" s="1">
        <v>1</v>
      </c>
      <c r="AG362" s="1">
        <v>1.37</v>
      </c>
      <c r="AH362" s="1">
        <v>1</v>
      </c>
      <c r="AI362" s="1">
        <v>5.2</v>
      </c>
      <c r="AJ362" s="1">
        <v>1</v>
      </c>
      <c r="AK362" s="1">
        <v>0</v>
      </c>
      <c r="AL362" s="1">
        <v>1</v>
      </c>
      <c r="AM362" s="1">
        <v>1</v>
      </c>
      <c r="AN362" s="1">
        <v>3.64</v>
      </c>
    </row>
    <row r="363" spans="1:40">
      <c r="A363" s="1">
        <v>1623</v>
      </c>
      <c r="C363" s="1">
        <v>1.69</v>
      </c>
      <c r="D363" s="1">
        <v>1.69</v>
      </c>
      <c r="E363" s="1">
        <v>1.69</v>
      </c>
      <c r="F363" s="1">
        <v>1.69</v>
      </c>
      <c r="G363" s="1">
        <v>1.92</v>
      </c>
      <c r="H363" s="1">
        <v>1</v>
      </c>
      <c r="I363" s="1">
        <v>1</v>
      </c>
      <c r="J363" s="1">
        <v>1.38</v>
      </c>
      <c r="K363" s="1">
        <v>1.38</v>
      </c>
      <c r="L363" s="1">
        <v>1.38</v>
      </c>
      <c r="M363" s="1">
        <v>1.38</v>
      </c>
      <c r="N363" s="1">
        <v>1</v>
      </c>
      <c r="O363" s="1">
        <v>1</v>
      </c>
      <c r="P363" s="1">
        <v>1</v>
      </c>
      <c r="Q363" s="1">
        <v>1</v>
      </c>
      <c r="R363" s="1">
        <v>1</v>
      </c>
      <c r="S363" s="1">
        <v>1</v>
      </c>
      <c r="T363" s="1"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23</v>
      </c>
      <c r="AD363" s="1">
        <v>23</v>
      </c>
      <c r="AE363" s="1">
        <v>1.69</v>
      </c>
      <c r="AF363" s="1">
        <v>1</v>
      </c>
      <c r="AG363" s="1">
        <v>1.38</v>
      </c>
      <c r="AH363" s="1">
        <v>1</v>
      </c>
      <c r="AI363" s="1">
        <v>5.4</v>
      </c>
      <c r="AJ363" s="1">
        <v>1</v>
      </c>
      <c r="AK363" s="1">
        <v>0</v>
      </c>
      <c r="AL363" s="1">
        <v>1</v>
      </c>
      <c r="AM363" s="1">
        <v>1</v>
      </c>
      <c r="AN363" s="1">
        <v>3.76</v>
      </c>
    </row>
    <row r="364" spans="1:40">
      <c r="A364" s="1">
        <v>1624</v>
      </c>
      <c r="C364" s="1">
        <v>1.72</v>
      </c>
      <c r="D364" s="1">
        <v>1.72</v>
      </c>
      <c r="E364" s="1">
        <v>1.72</v>
      </c>
      <c r="F364" s="1">
        <v>1.72</v>
      </c>
      <c r="G364" s="1">
        <v>1.96</v>
      </c>
      <c r="H364" s="1">
        <v>1</v>
      </c>
      <c r="I364" s="1">
        <v>1</v>
      </c>
      <c r="J364" s="1">
        <v>1.39</v>
      </c>
      <c r="K364" s="1">
        <v>1.39</v>
      </c>
      <c r="L364" s="1">
        <v>1.39</v>
      </c>
      <c r="M364" s="1">
        <v>1.39</v>
      </c>
      <c r="N364" s="1">
        <v>1</v>
      </c>
      <c r="O364" s="1">
        <v>1</v>
      </c>
      <c r="P364" s="1">
        <v>1</v>
      </c>
      <c r="Q364" s="1">
        <v>1</v>
      </c>
      <c r="R364" s="1">
        <v>1</v>
      </c>
      <c r="S364" s="1">
        <v>1</v>
      </c>
      <c r="T364" s="1">
        <v>1</v>
      </c>
      <c r="U364" s="1">
        <v>1</v>
      </c>
      <c r="V364" s="1">
        <v>1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24</v>
      </c>
      <c r="AD364" s="1">
        <v>24</v>
      </c>
      <c r="AE364" s="1">
        <v>1.72</v>
      </c>
      <c r="AF364" s="1">
        <v>1</v>
      </c>
      <c r="AG364" s="1">
        <v>1.39</v>
      </c>
      <c r="AH364" s="1">
        <v>1</v>
      </c>
      <c r="AI364" s="1">
        <v>5.6</v>
      </c>
      <c r="AJ364" s="1">
        <v>1</v>
      </c>
      <c r="AK364" s="1">
        <v>0</v>
      </c>
      <c r="AL364" s="1">
        <v>1</v>
      </c>
      <c r="AM364" s="1">
        <v>1</v>
      </c>
      <c r="AN364" s="1">
        <v>3.88</v>
      </c>
    </row>
    <row r="365" spans="1:40">
      <c r="A365" s="1">
        <v>1625</v>
      </c>
      <c r="C365" s="1">
        <v>1.75</v>
      </c>
      <c r="D365" s="1">
        <v>1.75</v>
      </c>
      <c r="E365" s="1">
        <v>1.75</v>
      </c>
      <c r="F365" s="1">
        <v>1.75</v>
      </c>
      <c r="G365" s="1">
        <v>2</v>
      </c>
      <c r="H365" s="1">
        <v>1</v>
      </c>
      <c r="I365" s="1">
        <v>1</v>
      </c>
      <c r="J365" s="1">
        <v>1.4</v>
      </c>
      <c r="K365" s="1">
        <v>1.4</v>
      </c>
      <c r="L365" s="1">
        <v>1.4</v>
      </c>
      <c r="M365" s="1">
        <v>1.4</v>
      </c>
      <c r="N365" s="1">
        <v>1</v>
      </c>
      <c r="O365" s="1">
        <v>1</v>
      </c>
      <c r="P365" s="1">
        <v>1</v>
      </c>
      <c r="Q365" s="1">
        <v>1</v>
      </c>
      <c r="R365" s="1">
        <v>1</v>
      </c>
      <c r="S365" s="1">
        <v>1</v>
      </c>
      <c r="T365" s="1">
        <v>1</v>
      </c>
      <c r="U365" s="1">
        <v>1</v>
      </c>
      <c r="V365" s="1">
        <v>1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25</v>
      </c>
      <c r="AD365" s="1">
        <v>25</v>
      </c>
      <c r="AE365" s="1">
        <v>1.75</v>
      </c>
      <c r="AF365" s="1">
        <v>1</v>
      </c>
      <c r="AG365" s="1">
        <v>1.4</v>
      </c>
      <c r="AH365" s="1">
        <v>1</v>
      </c>
      <c r="AI365" s="1">
        <v>5.8</v>
      </c>
      <c r="AJ365" s="1">
        <v>1</v>
      </c>
      <c r="AK365" s="1">
        <v>0</v>
      </c>
      <c r="AL365" s="1">
        <v>1</v>
      </c>
      <c r="AM365" s="1">
        <v>1</v>
      </c>
      <c r="AN365" s="1">
        <v>4</v>
      </c>
    </row>
    <row r="366" spans="1:40">
      <c r="A366" s="1">
        <v>1700</v>
      </c>
      <c r="C366" s="1">
        <v>1</v>
      </c>
      <c r="D366" s="1">
        <v>1</v>
      </c>
      <c r="E366" s="1">
        <v>1</v>
      </c>
      <c r="F366" s="1">
        <v>1</v>
      </c>
      <c r="G366" s="1">
        <v>1</v>
      </c>
      <c r="H366" s="1">
        <v>1</v>
      </c>
      <c r="I366" s="1">
        <v>1</v>
      </c>
      <c r="J366" s="1">
        <v>1</v>
      </c>
      <c r="K366" s="1">
        <v>1</v>
      </c>
      <c r="L366" s="1">
        <v>1</v>
      </c>
      <c r="M366" s="1">
        <v>1</v>
      </c>
      <c r="N366" s="1">
        <v>1</v>
      </c>
      <c r="O366" s="1">
        <v>1</v>
      </c>
      <c r="P366" s="1">
        <v>1</v>
      </c>
      <c r="Q366" s="1">
        <v>1</v>
      </c>
      <c r="R366" s="1">
        <v>1</v>
      </c>
      <c r="S366" s="1">
        <v>1</v>
      </c>
      <c r="T366" s="1">
        <v>1</v>
      </c>
      <c r="U366" s="1">
        <v>1</v>
      </c>
      <c r="V366" s="1">
        <v>1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1</v>
      </c>
      <c r="AF366" s="1">
        <v>1</v>
      </c>
      <c r="AG366" s="1">
        <v>1</v>
      </c>
      <c r="AH366" s="1">
        <v>1</v>
      </c>
      <c r="AI366" s="1">
        <v>1</v>
      </c>
      <c r="AJ366" s="1">
        <v>1</v>
      </c>
      <c r="AK366" s="1">
        <v>0</v>
      </c>
      <c r="AL366" s="1">
        <v>1</v>
      </c>
      <c r="AM366" s="1">
        <v>1</v>
      </c>
      <c r="AN366" s="1">
        <v>1</v>
      </c>
    </row>
    <row r="367" spans="1:40">
      <c r="A367" s="1">
        <v>1701</v>
      </c>
      <c r="C367" s="1">
        <v>1.03</v>
      </c>
      <c r="D367" s="1">
        <v>1.03</v>
      </c>
      <c r="E367" s="1">
        <v>1.03</v>
      </c>
      <c r="F367" s="1">
        <v>1.03</v>
      </c>
      <c r="G367" s="1">
        <v>1.04</v>
      </c>
      <c r="H367" s="1">
        <v>1</v>
      </c>
      <c r="I367" s="1">
        <v>1</v>
      </c>
      <c r="J367" s="1">
        <v>1.01</v>
      </c>
      <c r="K367" s="1">
        <v>1.01</v>
      </c>
      <c r="L367" s="1">
        <v>1.01</v>
      </c>
      <c r="M367" s="1">
        <v>1.01</v>
      </c>
      <c r="N367" s="1">
        <v>1</v>
      </c>
      <c r="O367" s="1">
        <v>1</v>
      </c>
      <c r="P367" s="1">
        <v>1</v>
      </c>
      <c r="Q367" s="1">
        <v>1</v>
      </c>
      <c r="R367" s="1">
        <v>1</v>
      </c>
      <c r="S367" s="1">
        <v>1</v>
      </c>
      <c r="T367" s="1">
        <v>1</v>
      </c>
      <c r="U367" s="1">
        <v>1</v>
      </c>
      <c r="V367" s="1">
        <v>1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1</v>
      </c>
      <c r="AD367" s="1">
        <v>1</v>
      </c>
      <c r="AE367" s="1">
        <v>1.03</v>
      </c>
      <c r="AF367" s="1">
        <v>1</v>
      </c>
      <c r="AG367" s="1">
        <v>1.01</v>
      </c>
      <c r="AH367" s="1">
        <v>1</v>
      </c>
      <c r="AI367" s="1">
        <v>1</v>
      </c>
      <c r="AJ367" s="1">
        <v>1</v>
      </c>
      <c r="AK367" s="1">
        <v>0</v>
      </c>
      <c r="AL367" s="1">
        <v>1</v>
      </c>
      <c r="AM367" s="1">
        <v>1</v>
      </c>
      <c r="AN367" s="1">
        <v>1.1200000000000001</v>
      </c>
    </row>
    <row r="368" spans="1:40">
      <c r="A368" s="1">
        <v>1702</v>
      </c>
      <c r="C368" s="1">
        <v>1.06</v>
      </c>
      <c r="D368" s="1">
        <v>1.06</v>
      </c>
      <c r="E368" s="1">
        <v>1.06</v>
      </c>
      <c r="F368" s="1">
        <v>1.06</v>
      </c>
      <c r="G368" s="1">
        <v>1.08</v>
      </c>
      <c r="H368" s="1">
        <v>1</v>
      </c>
      <c r="I368" s="1">
        <v>1</v>
      </c>
      <c r="J368" s="1">
        <v>1.02</v>
      </c>
      <c r="K368" s="1">
        <v>1.02</v>
      </c>
      <c r="L368" s="1">
        <v>1.02</v>
      </c>
      <c r="M368" s="1">
        <v>1.02</v>
      </c>
      <c r="N368" s="1">
        <v>1</v>
      </c>
      <c r="O368" s="1">
        <v>1</v>
      </c>
      <c r="P368" s="1">
        <v>1</v>
      </c>
      <c r="Q368" s="1">
        <v>1</v>
      </c>
      <c r="R368" s="1">
        <v>1</v>
      </c>
      <c r="S368" s="1">
        <v>1</v>
      </c>
      <c r="T368" s="1">
        <v>1</v>
      </c>
      <c r="U368" s="1">
        <v>1</v>
      </c>
      <c r="V368" s="1">
        <v>1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2</v>
      </c>
      <c r="AD368" s="1">
        <v>2</v>
      </c>
      <c r="AE368" s="1">
        <v>1.06</v>
      </c>
      <c r="AF368" s="1">
        <v>1</v>
      </c>
      <c r="AG368" s="1">
        <v>1.02</v>
      </c>
      <c r="AH368" s="1">
        <v>1</v>
      </c>
      <c r="AI368" s="1">
        <v>1.2</v>
      </c>
      <c r="AJ368" s="1">
        <v>1</v>
      </c>
      <c r="AK368" s="1">
        <v>0</v>
      </c>
      <c r="AL368" s="1">
        <v>1</v>
      </c>
      <c r="AM368" s="1">
        <v>1</v>
      </c>
      <c r="AN368" s="1">
        <v>1.24</v>
      </c>
    </row>
    <row r="369" spans="1:40">
      <c r="A369" s="1">
        <v>1703</v>
      </c>
      <c r="C369" s="1">
        <v>1.0900000000000001</v>
      </c>
      <c r="D369" s="1">
        <v>1.0900000000000001</v>
      </c>
      <c r="E369" s="1">
        <v>1.0900000000000001</v>
      </c>
      <c r="F369" s="1">
        <v>1.0900000000000001</v>
      </c>
      <c r="G369" s="1">
        <v>1.1200000000000001</v>
      </c>
      <c r="H369" s="1">
        <v>1</v>
      </c>
      <c r="I369" s="1">
        <v>1</v>
      </c>
      <c r="J369" s="1">
        <v>1.03</v>
      </c>
      <c r="K369" s="1">
        <v>1.03</v>
      </c>
      <c r="L369" s="1">
        <v>1.03</v>
      </c>
      <c r="M369" s="1">
        <v>1.03</v>
      </c>
      <c r="N369" s="1">
        <v>1</v>
      </c>
      <c r="O369" s="1">
        <v>1</v>
      </c>
      <c r="P369" s="1">
        <v>1</v>
      </c>
      <c r="Q369" s="1">
        <v>1</v>
      </c>
      <c r="R369" s="1">
        <v>1</v>
      </c>
      <c r="S369" s="1">
        <v>1</v>
      </c>
      <c r="T369" s="1">
        <v>1</v>
      </c>
      <c r="U369" s="1">
        <v>1</v>
      </c>
      <c r="V369" s="1">
        <v>1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3</v>
      </c>
      <c r="AD369" s="1">
        <v>3</v>
      </c>
      <c r="AE369" s="1">
        <v>1.0900000000000001</v>
      </c>
      <c r="AF369" s="1">
        <v>1</v>
      </c>
      <c r="AG369" s="1">
        <v>1.03</v>
      </c>
      <c r="AH369" s="1">
        <v>1</v>
      </c>
      <c r="AI369" s="1">
        <v>1.4</v>
      </c>
      <c r="AJ369" s="1">
        <v>1</v>
      </c>
      <c r="AK369" s="1">
        <v>0</v>
      </c>
      <c r="AL369" s="1">
        <v>1</v>
      </c>
      <c r="AM369" s="1">
        <v>1</v>
      </c>
      <c r="AN369" s="1">
        <v>1.36</v>
      </c>
    </row>
    <row r="370" spans="1:40">
      <c r="A370" s="1">
        <v>1704</v>
      </c>
      <c r="C370" s="1">
        <v>1.1200000000000001</v>
      </c>
      <c r="D370" s="1">
        <v>1.1200000000000001</v>
      </c>
      <c r="E370" s="1">
        <v>1.1200000000000001</v>
      </c>
      <c r="F370" s="1">
        <v>1.1200000000000001</v>
      </c>
      <c r="G370" s="1">
        <v>1.1599999999999999</v>
      </c>
      <c r="H370" s="1">
        <v>1</v>
      </c>
      <c r="I370" s="1">
        <v>1</v>
      </c>
      <c r="J370" s="1">
        <v>1.04</v>
      </c>
      <c r="K370" s="1">
        <v>1.04</v>
      </c>
      <c r="L370" s="1">
        <v>1.04</v>
      </c>
      <c r="M370" s="1">
        <v>1.04</v>
      </c>
      <c r="N370" s="1">
        <v>1</v>
      </c>
      <c r="O370" s="1">
        <v>1</v>
      </c>
      <c r="P370" s="1">
        <v>1</v>
      </c>
      <c r="Q370" s="1">
        <v>1</v>
      </c>
      <c r="R370" s="1">
        <v>1</v>
      </c>
      <c r="S370" s="1">
        <v>1</v>
      </c>
      <c r="T370" s="1">
        <v>1</v>
      </c>
      <c r="U370" s="1">
        <v>1</v>
      </c>
      <c r="V370" s="1">
        <v>1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4</v>
      </c>
      <c r="AD370" s="1">
        <v>4</v>
      </c>
      <c r="AE370" s="1">
        <v>1.1200000000000001</v>
      </c>
      <c r="AF370" s="1">
        <v>1</v>
      </c>
      <c r="AG370" s="1">
        <v>1.04</v>
      </c>
      <c r="AH370" s="1">
        <v>1</v>
      </c>
      <c r="AI370" s="1">
        <v>1.6</v>
      </c>
      <c r="AJ370" s="1">
        <v>1</v>
      </c>
      <c r="AK370" s="1">
        <v>0</v>
      </c>
      <c r="AL370" s="1">
        <v>1</v>
      </c>
      <c r="AM370" s="1">
        <v>1</v>
      </c>
      <c r="AN370" s="1">
        <v>1.48</v>
      </c>
    </row>
    <row r="371" spans="1:40">
      <c r="A371" s="1">
        <v>1705</v>
      </c>
      <c r="C371" s="1">
        <v>1.1499999999999999</v>
      </c>
      <c r="D371" s="1">
        <v>1.1499999999999999</v>
      </c>
      <c r="E371" s="1">
        <v>1.1499999999999999</v>
      </c>
      <c r="F371" s="1">
        <v>1.1499999999999999</v>
      </c>
      <c r="G371" s="1">
        <v>1.2</v>
      </c>
      <c r="H371" s="1">
        <v>1</v>
      </c>
      <c r="I371" s="1">
        <v>1</v>
      </c>
      <c r="J371" s="1">
        <v>1.05</v>
      </c>
      <c r="K371" s="1">
        <v>1.05</v>
      </c>
      <c r="L371" s="1">
        <v>1.05</v>
      </c>
      <c r="M371" s="1">
        <v>1.05</v>
      </c>
      <c r="N371" s="1">
        <v>1</v>
      </c>
      <c r="O371" s="1">
        <v>1</v>
      </c>
      <c r="P371" s="1">
        <v>1</v>
      </c>
      <c r="Q371" s="1">
        <v>1</v>
      </c>
      <c r="R371" s="1">
        <v>1</v>
      </c>
      <c r="S371" s="1">
        <v>1</v>
      </c>
      <c r="T371" s="1">
        <v>1</v>
      </c>
      <c r="U371" s="1">
        <v>1</v>
      </c>
      <c r="V371" s="1">
        <v>1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5</v>
      </c>
      <c r="AD371" s="1">
        <v>5</v>
      </c>
      <c r="AE371" s="1">
        <v>1.1499999999999999</v>
      </c>
      <c r="AF371" s="1">
        <v>1</v>
      </c>
      <c r="AG371" s="1">
        <v>1.05</v>
      </c>
      <c r="AH371" s="1">
        <v>1</v>
      </c>
      <c r="AI371" s="1">
        <v>1.8</v>
      </c>
      <c r="AJ371" s="1">
        <v>1</v>
      </c>
      <c r="AK371" s="1">
        <v>0</v>
      </c>
      <c r="AL371" s="1">
        <v>1</v>
      </c>
      <c r="AM371" s="1">
        <v>1</v>
      </c>
      <c r="AN371" s="1">
        <v>1.6</v>
      </c>
    </row>
    <row r="372" spans="1:40">
      <c r="A372" s="1">
        <v>1706</v>
      </c>
      <c r="C372" s="1">
        <v>1.18</v>
      </c>
      <c r="D372" s="1">
        <v>1.18</v>
      </c>
      <c r="E372" s="1">
        <v>1.18</v>
      </c>
      <c r="F372" s="1">
        <v>1.18</v>
      </c>
      <c r="G372" s="1">
        <v>1.24</v>
      </c>
      <c r="H372" s="1">
        <v>1</v>
      </c>
      <c r="I372" s="1">
        <v>1</v>
      </c>
      <c r="J372" s="1">
        <v>1.06</v>
      </c>
      <c r="K372" s="1">
        <v>1.06</v>
      </c>
      <c r="L372" s="1">
        <v>1.06</v>
      </c>
      <c r="M372" s="1">
        <v>1.06</v>
      </c>
      <c r="N372" s="1">
        <v>1</v>
      </c>
      <c r="O372" s="1">
        <v>1</v>
      </c>
      <c r="P372" s="1">
        <v>1</v>
      </c>
      <c r="Q372" s="1">
        <v>1</v>
      </c>
      <c r="R372" s="1">
        <v>1</v>
      </c>
      <c r="S372" s="1">
        <v>1</v>
      </c>
      <c r="T372" s="1">
        <v>1</v>
      </c>
      <c r="U372" s="1">
        <v>1</v>
      </c>
      <c r="V372" s="1">
        <v>1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6</v>
      </c>
      <c r="AD372" s="1">
        <v>6</v>
      </c>
      <c r="AE372" s="1">
        <v>1.18</v>
      </c>
      <c r="AF372" s="1">
        <v>1</v>
      </c>
      <c r="AG372" s="1">
        <v>1.06</v>
      </c>
      <c r="AH372" s="1">
        <v>1</v>
      </c>
      <c r="AI372" s="1">
        <v>2</v>
      </c>
      <c r="AJ372" s="1">
        <v>1</v>
      </c>
      <c r="AK372" s="1">
        <v>0</v>
      </c>
      <c r="AL372" s="1">
        <v>1</v>
      </c>
      <c r="AM372" s="1">
        <v>1</v>
      </c>
      <c r="AN372" s="1">
        <v>1.72</v>
      </c>
    </row>
    <row r="373" spans="1:40">
      <c r="A373" s="1">
        <v>1707</v>
      </c>
      <c r="C373" s="1">
        <v>1.21</v>
      </c>
      <c r="D373" s="1">
        <v>1.21</v>
      </c>
      <c r="E373" s="1">
        <v>1.21</v>
      </c>
      <c r="F373" s="1">
        <v>1.21</v>
      </c>
      <c r="G373" s="1">
        <v>1.28</v>
      </c>
      <c r="H373" s="1">
        <v>1</v>
      </c>
      <c r="I373" s="1">
        <v>1</v>
      </c>
      <c r="J373" s="1">
        <v>1.07</v>
      </c>
      <c r="K373" s="1">
        <v>1.07</v>
      </c>
      <c r="L373" s="1">
        <v>1.07</v>
      </c>
      <c r="M373" s="1">
        <v>1.07</v>
      </c>
      <c r="N373" s="1">
        <v>1</v>
      </c>
      <c r="O373" s="1">
        <v>1</v>
      </c>
      <c r="P373" s="1">
        <v>1</v>
      </c>
      <c r="Q373" s="1">
        <v>1</v>
      </c>
      <c r="R373" s="1">
        <v>1</v>
      </c>
      <c r="S373" s="1">
        <v>1</v>
      </c>
      <c r="T373" s="1">
        <v>1</v>
      </c>
      <c r="U373" s="1">
        <v>1</v>
      </c>
      <c r="V373" s="1">
        <v>1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7</v>
      </c>
      <c r="AD373" s="1">
        <v>7</v>
      </c>
      <c r="AE373" s="1">
        <v>1.21</v>
      </c>
      <c r="AF373" s="1">
        <v>1</v>
      </c>
      <c r="AG373" s="1">
        <v>1.07</v>
      </c>
      <c r="AH373" s="1">
        <v>1</v>
      </c>
      <c r="AI373" s="1">
        <v>2.2000000000000002</v>
      </c>
      <c r="AJ373" s="1">
        <v>1</v>
      </c>
      <c r="AK373" s="1">
        <v>0</v>
      </c>
      <c r="AL373" s="1">
        <v>1</v>
      </c>
      <c r="AM373" s="1">
        <v>1</v>
      </c>
      <c r="AN373" s="1">
        <v>1.84</v>
      </c>
    </row>
    <row r="374" spans="1:40">
      <c r="A374" s="1">
        <v>1708</v>
      </c>
      <c r="C374" s="1">
        <v>1.24</v>
      </c>
      <c r="D374" s="1">
        <v>1.24</v>
      </c>
      <c r="E374" s="1">
        <v>1.24</v>
      </c>
      <c r="F374" s="1">
        <v>1.24</v>
      </c>
      <c r="G374" s="1">
        <v>1.32</v>
      </c>
      <c r="H374" s="1">
        <v>1</v>
      </c>
      <c r="I374" s="1">
        <v>1</v>
      </c>
      <c r="J374" s="1">
        <v>1.08</v>
      </c>
      <c r="K374" s="1">
        <v>1.08</v>
      </c>
      <c r="L374" s="1">
        <v>1.08</v>
      </c>
      <c r="M374" s="1">
        <v>1.08</v>
      </c>
      <c r="N374" s="1">
        <v>1</v>
      </c>
      <c r="O374" s="1">
        <v>1</v>
      </c>
      <c r="P374" s="1">
        <v>1</v>
      </c>
      <c r="Q374" s="1">
        <v>1</v>
      </c>
      <c r="R374" s="1">
        <v>1</v>
      </c>
      <c r="S374" s="1">
        <v>1</v>
      </c>
      <c r="T374" s="1">
        <v>1</v>
      </c>
      <c r="U374" s="1">
        <v>1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8</v>
      </c>
      <c r="AD374" s="1">
        <v>8</v>
      </c>
      <c r="AE374" s="1">
        <v>1.24</v>
      </c>
      <c r="AF374" s="1">
        <v>1</v>
      </c>
      <c r="AG374" s="1">
        <v>1.08</v>
      </c>
      <c r="AH374" s="1">
        <v>1</v>
      </c>
      <c r="AI374" s="1">
        <v>2.4</v>
      </c>
      <c r="AJ374" s="1">
        <v>1</v>
      </c>
      <c r="AK374" s="1">
        <v>0</v>
      </c>
      <c r="AL374" s="1">
        <v>1</v>
      </c>
      <c r="AM374" s="1">
        <v>1</v>
      </c>
      <c r="AN374" s="1">
        <v>1.96</v>
      </c>
    </row>
    <row r="375" spans="1:40">
      <c r="A375" s="1">
        <v>1709</v>
      </c>
      <c r="C375" s="1">
        <v>1.27</v>
      </c>
      <c r="D375" s="1">
        <v>1.27</v>
      </c>
      <c r="E375" s="1">
        <v>1.27</v>
      </c>
      <c r="F375" s="1">
        <v>1.27</v>
      </c>
      <c r="G375" s="1">
        <v>1.36</v>
      </c>
      <c r="H375" s="1">
        <v>1</v>
      </c>
      <c r="I375" s="1">
        <v>1</v>
      </c>
      <c r="J375" s="1">
        <v>1.0900000000000001</v>
      </c>
      <c r="K375" s="1">
        <v>1.0900000000000001</v>
      </c>
      <c r="L375" s="1">
        <v>1.0900000000000001</v>
      </c>
      <c r="M375" s="1">
        <v>1.0900000000000001</v>
      </c>
      <c r="N375" s="1">
        <v>1</v>
      </c>
      <c r="O375" s="1">
        <v>1</v>
      </c>
      <c r="P375" s="1">
        <v>1</v>
      </c>
      <c r="Q375" s="1">
        <v>1</v>
      </c>
      <c r="R375" s="1">
        <v>1</v>
      </c>
      <c r="S375" s="1">
        <v>1</v>
      </c>
      <c r="T375" s="1">
        <v>1</v>
      </c>
      <c r="U375" s="1">
        <v>1</v>
      </c>
      <c r="V375" s="1">
        <v>1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9</v>
      </c>
      <c r="AD375" s="1">
        <v>9</v>
      </c>
      <c r="AE375" s="1">
        <v>1.27</v>
      </c>
      <c r="AF375" s="1">
        <v>1</v>
      </c>
      <c r="AG375" s="1">
        <v>1.0900000000000001</v>
      </c>
      <c r="AH375" s="1">
        <v>1</v>
      </c>
      <c r="AI375" s="1">
        <v>2.6</v>
      </c>
      <c r="AJ375" s="1">
        <v>1</v>
      </c>
      <c r="AK375" s="1">
        <v>0</v>
      </c>
      <c r="AL375" s="1">
        <v>1</v>
      </c>
      <c r="AM375" s="1">
        <v>1</v>
      </c>
      <c r="AN375" s="1">
        <v>2.08</v>
      </c>
    </row>
    <row r="376" spans="1:40">
      <c r="A376" s="1">
        <v>1710</v>
      </c>
      <c r="C376" s="1">
        <v>1.3</v>
      </c>
      <c r="D376" s="1">
        <v>1.3</v>
      </c>
      <c r="E376" s="1">
        <v>1.3</v>
      </c>
      <c r="F376" s="1">
        <v>1.3</v>
      </c>
      <c r="G376" s="1">
        <v>1.4</v>
      </c>
      <c r="H376" s="1">
        <v>1</v>
      </c>
      <c r="I376" s="1">
        <v>1</v>
      </c>
      <c r="J376" s="1">
        <v>1.1000000000000001</v>
      </c>
      <c r="K376" s="1">
        <v>1.1000000000000001</v>
      </c>
      <c r="L376" s="1">
        <v>1.1000000000000001</v>
      </c>
      <c r="M376" s="1">
        <v>1.1000000000000001</v>
      </c>
      <c r="N376" s="1">
        <v>1</v>
      </c>
      <c r="O376" s="1">
        <v>1</v>
      </c>
      <c r="P376" s="1">
        <v>1</v>
      </c>
      <c r="Q376" s="1">
        <v>1</v>
      </c>
      <c r="R376" s="1">
        <v>1</v>
      </c>
      <c r="S376" s="1">
        <v>1</v>
      </c>
      <c r="T376" s="1">
        <v>1</v>
      </c>
      <c r="U376" s="1">
        <v>1</v>
      </c>
      <c r="V376" s="1">
        <v>1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10</v>
      </c>
      <c r="AD376" s="1">
        <v>10</v>
      </c>
      <c r="AE376" s="1">
        <v>1.3</v>
      </c>
      <c r="AF376" s="1">
        <v>1</v>
      </c>
      <c r="AG376" s="1">
        <v>1.1000000000000001</v>
      </c>
      <c r="AH376" s="1">
        <v>1</v>
      </c>
      <c r="AI376" s="1">
        <v>2.8</v>
      </c>
      <c r="AJ376" s="1">
        <v>1</v>
      </c>
      <c r="AK376" s="1">
        <v>0</v>
      </c>
      <c r="AL376" s="1">
        <v>1</v>
      </c>
      <c r="AM376" s="1">
        <v>1</v>
      </c>
      <c r="AN376" s="1">
        <v>2.2000000000000002</v>
      </c>
    </row>
    <row r="377" spans="1:40">
      <c r="A377" s="1">
        <v>1711</v>
      </c>
      <c r="C377" s="1">
        <v>1.33</v>
      </c>
      <c r="D377" s="1">
        <v>1.33</v>
      </c>
      <c r="E377" s="1">
        <v>1.33</v>
      </c>
      <c r="F377" s="1">
        <v>1.33</v>
      </c>
      <c r="G377" s="1">
        <v>1.44</v>
      </c>
      <c r="H377" s="1">
        <v>1</v>
      </c>
      <c r="I377" s="1">
        <v>1</v>
      </c>
      <c r="J377" s="1">
        <v>1.1100000000000001</v>
      </c>
      <c r="K377" s="1">
        <v>1.1100000000000001</v>
      </c>
      <c r="L377" s="1">
        <v>1.1100000000000001</v>
      </c>
      <c r="M377" s="1">
        <v>1.1100000000000001</v>
      </c>
      <c r="N377" s="1">
        <v>1</v>
      </c>
      <c r="O377" s="1">
        <v>1</v>
      </c>
      <c r="P377" s="1">
        <v>1</v>
      </c>
      <c r="Q377" s="1">
        <v>1</v>
      </c>
      <c r="R377" s="1">
        <v>1</v>
      </c>
      <c r="S377" s="1">
        <v>1</v>
      </c>
      <c r="T377" s="1">
        <v>1</v>
      </c>
      <c r="U377" s="1">
        <v>1</v>
      </c>
      <c r="V377" s="1">
        <v>1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11</v>
      </c>
      <c r="AD377" s="1">
        <v>11</v>
      </c>
      <c r="AE377" s="1">
        <v>1.33</v>
      </c>
      <c r="AF377" s="1">
        <v>1</v>
      </c>
      <c r="AG377" s="1">
        <v>1.1100000000000001</v>
      </c>
      <c r="AH377" s="1">
        <v>1</v>
      </c>
      <c r="AI377" s="1">
        <v>3</v>
      </c>
      <c r="AJ377" s="1">
        <v>1</v>
      </c>
      <c r="AK377" s="1">
        <v>0</v>
      </c>
      <c r="AL377" s="1">
        <v>1</v>
      </c>
      <c r="AM377" s="1">
        <v>1</v>
      </c>
      <c r="AN377" s="1">
        <v>2.3199999999999998</v>
      </c>
    </row>
    <row r="378" spans="1:40">
      <c r="A378" s="1">
        <v>1712</v>
      </c>
      <c r="C378" s="1">
        <v>1.36</v>
      </c>
      <c r="D378" s="1">
        <v>1.36</v>
      </c>
      <c r="E378" s="1">
        <v>1.36</v>
      </c>
      <c r="F378" s="1">
        <v>1.36</v>
      </c>
      <c r="G378" s="1">
        <v>1.48</v>
      </c>
      <c r="H378" s="1">
        <v>1</v>
      </c>
      <c r="I378" s="1">
        <v>1</v>
      </c>
      <c r="J378" s="1">
        <v>1.1200000000000001</v>
      </c>
      <c r="K378" s="1">
        <v>1.1200000000000001</v>
      </c>
      <c r="L378" s="1">
        <v>1.1200000000000001</v>
      </c>
      <c r="M378" s="1">
        <v>1.1200000000000001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1</v>
      </c>
      <c r="T378" s="1">
        <v>1</v>
      </c>
      <c r="U378" s="1">
        <v>1</v>
      </c>
      <c r="V378" s="1">
        <v>1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12</v>
      </c>
      <c r="AD378" s="1">
        <v>12</v>
      </c>
      <c r="AE378" s="1">
        <v>1.36</v>
      </c>
      <c r="AF378" s="1">
        <v>1</v>
      </c>
      <c r="AG378" s="1">
        <v>1.1200000000000001</v>
      </c>
      <c r="AH378" s="1">
        <v>1</v>
      </c>
      <c r="AI378" s="1">
        <v>3.2</v>
      </c>
      <c r="AJ378" s="1">
        <v>1</v>
      </c>
      <c r="AK378" s="1">
        <v>0</v>
      </c>
      <c r="AL378" s="1">
        <v>1</v>
      </c>
      <c r="AM378" s="1">
        <v>1</v>
      </c>
      <c r="AN378" s="1">
        <v>2.44</v>
      </c>
    </row>
    <row r="379" spans="1:40">
      <c r="A379" s="1">
        <v>1713</v>
      </c>
      <c r="C379" s="1">
        <v>1.39</v>
      </c>
      <c r="D379" s="1">
        <v>1.39</v>
      </c>
      <c r="E379" s="1">
        <v>1.39</v>
      </c>
      <c r="F379" s="1">
        <v>1.39</v>
      </c>
      <c r="G379" s="1">
        <v>1.52</v>
      </c>
      <c r="H379" s="1">
        <v>1</v>
      </c>
      <c r="I379" s="1">
        <v>1</v>
      </c>
      <c r="J379" s="1">
        <v>1.1299999999999999</v>
      </c>
      <c r="K379" s="1">
        <v>1.1299999999999999</v>
      </c>
      <c r="L379" s="1">
        <v>1.1299999999999999</v>
      </c>
      <c r="M379" s="1">
        <v>1.1299999999999999</v>
      </c>
      <c r="N379" s="1">
        <v>1</v>
      </c>
      <c r="O379" s="1">
        <v>1</v>
      </c>
      <c r="P379" s="1">
        <v>1</v>
      </c>
      <c r="Q379" s="1">
        <v>1</v>
      </c>
      <c r="R379" s="1">
        <v>1</v>
      </c>
      <c r="S379" s="1">
        <v>1</v>
      </c>
      <c r="T379" s="1">
        <v>1</v>
      </c>
      <c r="U379" s="1">
        <v>1</v>
      </c>
      <c r="V379" s="1">
        <v>1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13</v>
      </c>
      <c r="AD379" s="1">
        <v>13</v>
      </c>
      <c r="AE379" s="1">
        <v>1.39</v>
      </c>
      <c r="AF379" s="1">
        <v>1</v>
      </c>
      <c r="AG379" s="1">
        <v>1.1299999999999999</v>
      </c>
      <c r="AH379" s="1">
        <v>1</v>
      </c>
      <c r="AI379" s="1">
        <v>3.4</v>
      </c>
      <c r="AJ379" s="1">
        <v>1</v>
      </c>
      <c r="AK379" s="1">
        <v>0</v>
      </c>
      <c r="AL379" s="1">
        <v>1</v>
      </c>
      <c r="AM379" s="1">
        <v>1</v>
      </c>
      <c r="AN379" s="1">
        <v>2.56</v>
      </c>
    </row>
    <row r="380" spans="1:40">
      <c r="A380" s="1">
        <v>1714</v>
      </c>
      <c r="C380" s="1">
        <v>1.42</v>
      </c>
      <c r="D380" s="1">
        <v>1.42</v>
      </c>
      <c r="E380" s="1">
        <v>1.42</v>
      </c>
      <c r="F380" s="1">
        <v>1.42</v>
      </c>
      <c r="G380" s="1">
        <v>1.56</v>
      </c>
      <c r="H380" s="1">
        <v>1</v>
      </c>
      <c r="I380" s="1">
        <v>1</v>
      </c>
      <c r="J380" s="1">
        <v>1.1399999999999999</v>
      </c>
      <c r="K380" s="1">
        <v>1.1399999999999999</v>
      </c>
      <c r="L380" s="1">
        <v>1.1399999999999999</v>
      </c>
      <c r="M380" s="1">
        <v>1.1399999999999999</v>
      </c>
      <c r="N380" s="1">
        <v>1</v>
      </c>
      <c r="O380" s="1">
        <v>1</v>
      </c>
      <c r="P380" s="1">
        <v>1</v>
      </c>
      <c r="Q380" s="1">
        <v>1</v>
      </c>
      <c r="R380" s="1">
        <v>1</v>
      </c>
      <c r="S380" s="1">
        <v>1</v>
      </c>
      <c r="T380" s="1">
        <v>1</v>
      </c>
      <c r="U380" s="1">
        <v>1</v>
      </c>
      <c r="V380" s="1">
        <v>1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14</v>
      </c>
      <c r="AD380" s="1">
        <v>14</v>
      </c>
      <c r="AE380" s="1">
        <v>1.42</v>
      </c>
      <c r="AF380" s="1">
        <v>1</v>
      </c>
      <c r="AG380" s="1">
        <v>1.1399999999999999</v>
      </c>
      <c r="AH380" s="1">
        <v>1</v>
      </c>
      <c r="AI380" s="1">
        <v>3.6</v>
      </c>
      <c r="AJ380" s="1">
        <v>1</v>
      </c>
      <c r="AK380" s="1">
        <v>0</v>
      </c>
      <c r="AL380" s="1">
        <v>1</v>
      </c>
      <c r="AM380" s="1">
        <v>1</v>
      </c>
      <c r="AN380" s="1">
        <v>2.68</v>
      </c>
    </row>
    <row r="381" spans="1:40">
      <c r="A381" s="1">
        <v>1715</v>
      </c>
      <c r="C381" s="1">
        <v>1.45</v>
      </c>
      <c r="D381" s="1">
        <v>1.45</v>
      </c>
      <c r="E381" s="1">
        <v>1.45</v>
      </c>
      <c r="F381" s="1">
        <v>1.45</v>
      </c>
      <c r="G381" s="1">
        <v>1.6</v>
      </c>
      <c r="H381" s="1">
        <v>1</v>
      </c>
      <c r="I381" s="1">
        <v>1</v>
      </c>
      <c r="J381" s="1">
        <v>1.1499999999999999</v>
      </c>
      <c r="K381" s="1">
        <v>1.1499999999999999</v>
      </c>
      <c r="L381" s="1">
        <v>1.1499999999999999</v>
      </c>
      <c r="M381" s="1">
        <v>1.1499999999999999</v>
      </c>
      <c r="N381" s="1">
        <v>1</v>
      </c>
      <c r="O381" s="1">
        <v>1</v>
      </c>
      <c r="P381" s="1">
        <v>1</v>
      </c>
      <c r="Q381" s="1">
        <v>1</v>
      </c>
      <c r="R381" s="1">
        <v>1</v>
      </c>
      <c r="S381" s="1">
        <v>1</v>
      </c>
      <c r="T381" s="1">
        <v>1</v>
      </c>
      <c r="U381" s="1">
        <v>1</v>
      </c>
      <c r="V381" s="1">
        <v>1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15</v>
      </c>
      <c r="AD381" s="1">
        <v>15</v>
      </c>
      <c r="AE381" s="1">
        <v>1.45</v>
      </c>
      <c r="AF381" s="1">
        <v>1</v>
      </c>
      <c r="AG381" s="1">
        <v>1.1499999999999999</v>
      </c>
      <c r="AH381" s="1">
        <v>1</v>
      </c>
      <c r="AI381" s="1">
        <v>3.8</v>
      </c>
      <c r="AJ381" s="1">
        <v>1</v>
      </c>
      <c r="AK381" s="1">
        <v>0</v>
      </c>
      <c r="AL381" s="1">
        <v>1</v>
      </c>
      <c r="AM381" s="1">
        <v>1</v>
      </c>
      <c r="AN381" s="1">
        <v>2.8</v>
      </c>
    </row>
    <row r="382" spans="1:40">
      <c r="A382" s="1">
        <v>1716</v>
      </c>
      <c r="C382" s="1">
        <v>1.48</v>
      </c>
      <c r="D382" s="1">
        <v>1.48</v>
      </c>
      <c r="E382" s="1">
        <v>1.48</v>
      </c>
      <c r="F382" s="1">
        <v>1.48</v>
      </c>
      <c r="G382" s="1">
        <v>1.64</v>
      </c>
      <c r="H382" s="1">
        <v>1</v>
      </c>
      <c r="I382" s="1">
        <v>1</v>
      </c>
      <c r="J382" s="1">
        <v>1.1599999999999999</v>
      </c>
      <c r="K382" s="1">
        <v>1.1599999999999999</v>
      </c>
      <c r="L382" s="1">
        <v>1.1599999999999999</v>
      </c>
      <c r="M382" s="1">
        <v>1.1599999999999999</v>
      </c>
      <c r="N382" s="1">
        <v>1</v>
      </c>
      <c r="O382" s="1">
        <v>1</v>
      </c>
      <c r="P382" s="1">
        <v>1</v>
      </c>
      <c r="Q382" s="1">
        <v>1</v>
      </c>
      <c r="R382" s="1">
        <v>1</v>
      </c>
      <c r="S382" s="1">
        <v>1</v>
      </c>
      <c r="T382" s="1">
        <v>1</v>
      </c>
      <c r="U382" s="1">
        <v>1</v>
      </c>
      <c r="V382" s="1">
        <v>1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16</v>
      </c>
      <c r="AD382" s="1">
        <v>16</v>
      </c>
      <c r="AE382" s="1">
        <v>1.48</v>
      </c>
      <c r="AF382" s="1">
        <v>1</v>
      </c>
      <c r="AG382" s="1">
        <v>1.1599999999999999</v>
      </c>
      <c r="AH382" s="1">
        <v>1</v>
      </c>
      <c r="AI382" s="1">
        <v>4</v>
      </c>
      <c r="AJ382" s="1">
        <v>1</v>
      </c>
      <c r="AK382" s="1">
        <v>0</v>
      </c>
      <c r="AL382" s="1">
        <v>1</v>
      </c>
      <c r="AM382" s="1">
        <v>1</v>
      </c>
      <c r="AN382" s="1">
        <v>2.92</v>
      </c>
    </row>
    <row r="383" spans="1:40">
      <c r="A383" s="1">
        <v>1717</v>
      </c>
      <c r="C383" s="1">
        <v>1.51</v>
      </c>
      <c r="D383" s="1">
        <v>1.51</v>
      </c>
      <c r="E383" s="1">
        <v>1.51</v>
      </c>
      <c r="F383" s="1">
        <v>1.51</v>
      </c>
      <c r="G383" s="1">
        <v>1.68</v>
      </c>
      <c r="H383" s="1">
        <v>1</v>
      </c>
      <c r="I383" s="1">
        <v>1</v>
      </c>
      <c r="J383" s="1">
        <v>1.17</v>
      </c>
      <c r="K383" s="1">
        <v>1.17</v>
      </c>
      <c r="L383" s="1">
        <v>1.17</v>
      </c>
      <c r="M383" s="1">
        <v>1.17</v>
      </c>
      <c r="N383" s="1">
        <v>1</v>
      </c>
      <c r="O383" s="1">
        <v>1</v>
      </c>
      <c r="P383" s="1">
        <v>1</v>
      </c>
      <c r="Q383" s="1">
        <v>1</v>
      </c>
      <c r="R383" s="1">
        <v>1</v>
      </c>
      <c r="S383" s="1">
        <v>1</v>
      </c>
      <c r="T383" s="1">
        <v>1</v>
      </c>
      <c r="U383" s="1">
        <v>1</v>
      </c>
      <c r="V383" s="1">
        <v>1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17</v>
      </c>
      <c r="AD383" s="1">
        <v>17</v>
      </c>
      <c r="AE383" s="1">
        <v>1.51</v>
      </c>
      <c r="AF383" s="1">
        <v>1</v>
      </c>
      <c r="AG383" s="1">
        <v>1.17</v>
      </c>
      <c r="AH383" s="1">
        <v>1</v>
      </c>
      <c r="AI383" s="1">
        <v>4.2</v>
      </c>
      <c r="AJ383" s="1">
        <v>1</v>
      </c>
      <c r="AK383" s="1">
        <v>0</v>
      </c>
      <c r="AL383" s="1">
        <v>1</v>
      </c>
      <c r="AM383" s="1">
        <v>1</v>
      </c>
      <c r="AN383" s="1">
        <v>3.04</v>
      </c>
    </row>
    <row r="384" spans="1:40">
      <c r="A384" s="1">
        <v>1718</v>
      </c>
      <c r="C384" s="1">
        <v>1.54</v>
      </c>
      <c r="D384" s="1">
        <v>1.54</v>
      </c>
      <c r="E384" s="1">
        <v>1.54</v>
      </c>
      <c r="F384" s="1">
        <v>1.54</v>
      </c>
      <c r="G384" s="1">
        <v>1.72</v>
      </c>
      <c r="H384" s="1">
        <v>1</v>
      </c>
      <c r="I384" s="1">
        <v>1</v>
      </c>
      <c r="J384" s="1">
        <v>1.18</v>
      </c>
      <c r="K384" s="1">
        <v>1.18</v>
      </c>
      <c r="L384" s="1">
        <v>1.18</v>
      </c>
      <c r="M384" s="1">
        <v>1.18</v>
      </c>
      <c r="N384" s="1">
        <v>1</v>
      </c>
      <c r="O384" s="1">
        <v>1</v>
      </c>
      <c r="P384" s="1">
        <v>1</v>
      </c>
      <c r="Q384" s="1">
        <v>1</v>
      </c>
      <c r="R384" s="1">
        <v>1</v>
      </c>
      <c r="S384" s="1">
        <v>1</v>
      </c>
      <c r="T384" s="1">
        <v>1</v>
      </c>
      <c r="U384" s="1">
        <v>1</v>
      </c>
      <c r="V384" s="1">
        <v>1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18</v>
      </c>
      <c r="AD384" s="1">
        <v>18</v>
      </c>
      <c r="AE384" s="1">
        <v>1.54</v>
      </c>
      <c r="AF384" s="1">
        <v>1</v>
      </c>
      <c r="AG384" s="1">
        <v>1.18</v>
      </c>
      <c r="AH384" s="1">
        <v>1</v>
      </c>
      <c r="AI384" s="1">
        <v>4.4000000000000004</v>
      </c>
      <c r="AJ384" s="1">
        <v>1</v>
      </c>
      <c r="AK384" s="1">
        <v>0</v>
      </c>
      <c r="AL384" s="1">
        <v>1</v>
      </c>
      <c r="AM384" s="1">
        <v>1</v>
      </c>
      <c r="AN384" s="1">
        <v>3.16</v>
      </c>
    </row>
    <row r="385" spans="1:40">
      <c r="A385" s="1">
        <v>1719</v>
      </c>
      <c r="C385" s="1">
        <v>1.57</v>
      </c>
      <c r="D385" s="1">
        <v>1.57</v>
      </c>
      <c r="E385" s="1">
        <v>1.57</v>
      </c>
      <c r="F385" s="1">
        <v>1.57</v>
      </c>
      <c r="G385" s="1">
        <v>1.76</v>
      </c>
      <c r="H385" s="1">
        <v>1</v>
      </c>
      <c r="I385" s="1">
        <v>1</v>
      </c>
      <c r="J385" s="1">
        <v>1.19</v>
      </c>
      <c r="K385" s="1">
        <v>1.19</v>
      </c>
      <c r="L385" s="1">
        <v>1.19</v>
      </c>
      <c r="M385" s="1">
        <v>1.19</v>
      </c>
      <c r="N385" s="1">
        <v>1</v>
      </c>
      <c r="O385" s="1">
        <v>1</v>
      </c>
      <c r="P385" s="1">
        <v>1</v>
      </c>
      <c r="Q385" s="1">
        <v>1</v>
      </c>
      <c r="R385" s="1">
        <v>1</v>
      </c>
      <c r="S385" s="1">
        <v>1</v>
      </c>
      <c r="T385" s="1">
        <v>1</v>
      </c>
      <c r="U385" s="1">
        <v>1</v>
      </c>
      <c r="V385" s="1">
        <v>1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19</v>
      </c>
      <c r="AD385" s="1">
        <v>19</v>
      </c>
      <c r="AE385" s="1">
        <v>1.57</v>
      </c>
      <c r="AF385" s="1">
        <v>1</v>
      </c>
      <c r="AG385" s="1">
        <v>1.19</v>
      </c>
      <c r="AH385" s="1">
        <v>1</v>
      </c>
      <c r="AI385" s="1">
        <v>4.5999999999999996</v>
      </c>
      <c r="AJ385" s="1">
        <v>1</v>
      </c>
      <c r="AK385" s="1">
        <v>0</v>
      </c>
      <c r="AL385" s="1">
        <v>1</v>
      </c>
      <c r="AM385" s="1">
        <v>1</v>
      </c>
      <c r="AN385" s="1">
        <v>3.28</v>
      </c>
    </row>
    <row r="386" spans="1:40">
      <c r="A386" s="1">
        <v>1720</v>
      </c>
      <c r="C386" s="1">
        <v>1.6</v>
      </c>
      <c r="D386" s="1">
        <v>1.6</v>
      </c>
      <c r="E386" s="1">
        <v>1.6</v>
      </c>
      <c r="F386" s="1">
        <v>1.6</v>
      </c>
      <c r="G386" s="1">
        <v>1.8</v>
      </c>
      <c r="H386" s="1">
        <v>1</v>
      </c>
      <c r="I386" s="1">
        <v>1</v>
      </c>
      <c r="J386" s="1">
        <v>1.2</v>
      </c>
      <c r="K386" s="1">
        <v>1.2</v>
      </c>
      <c r="L386" s="1">
        <v>1.2</v>
      </c>
      <c r="M386" s="1">
        <v>1.2</v>
      </c>
      <c r="N386" s="1">
        <v>1</v>
      </c>
      <c r="O386" s="1">
        <v>1</v>
      </c>
      <c r="P386" s="1">
        <v>1</v>
      </c>
      <c r="Q386" s="1">
        <v>1</v>
      </c>
      <c r="R386" s="1">
        <v>1</v>
      </c>
      <c r="S386" s="1">
        <v>1</v>
      </c>
      <c r="T386" s="1">
        <v>1</v>
      </c>
      <c r="U386" s="1">
        <v>1</v>
      </c>
      <c r="V386" s="1">
        <v>1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20</v>
      </c>
      <c r="AD386" s="1">
        <v>20</v>
      </c>
      <c r="AE386" s="1">
        <v>1.6</v>
      </c>
      <c r="AF386" s="1">
        <v>1</v>
      </c>
      <c r="AG386" s="1">
        <v>1.2</v>
      </c>
      <c r="AH386" s="1">
        <v>1</v>
      </c>
      <c r="AI386" s="1">
        <v>4.8</v>
      </c>
      <c r="AJ386" s="1">
        <v>1</v>
      </c>
      <c r="AK386" s="1">
        <v>0</v>
      </c>
      <c r="AL386" s="1">
        <v>1</v>
      </c>
      <c r="AM386" s="1">
        <v>1</v>
      </c>
      <c r="AN386" s="1">
        <v>3.4</v>
      </c>
    </row>
    <row r="387" spans="1:40">
      <c r="A387" s="1">
        <v>1721</v>
      </c>
      <c r="C387" s="1">
        <v>1.63</v>
      </c>
      <c r="D387" s="1">
        <v>1.63</v>
      </c>
      <c r="E387" s="1">
        <v>1.63</v>
      </c>
      <c r="F387" s="1">
        <v>1.63</v>
      </c>
      <c r="G387" s="1">
        <v>1.84</v>
      </c>
      <c r="H387" s="1">
        <v>1</v>
      </c>
      <c r="I387" s="1">
        <v>1</v>
      </c>
      <c r="J387" s="1">
        <v>1.21</v>
      </c>
      <c r="K387" s="1">
        <v>1.21</v>
      </c>
      <c r="L387" s="1">
        <v>1.21</v>
      </c>
      <c r="M387" s="1">
        <v>1.21</v>
      </c>
      <c r="N387" s="1">
        <v>1</v>
      </c>
      <c r="O387" s="1">
        <v>1</v>
      </c>
      <c r="P387" s="1">
        <v>1</v>
      </c>
      <c r="Q387" s="1">
        <v>1</v>
      </c>
      <c r="R387" s="1">
        <v>1</v>
      </c>
      <c r="S387" s="1">
        <v>1</v>
      </c>
      <c r="T387" s="1">
        <v>1</v>
      </c>
      <c r="U387" s="1">
        <v>1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21</v>
      </c>
      <c r="AD387" s="1">
        <v>21</v>
      </c>
      <c r="AE387" s="1">
        <v>1.63</v>
      </c>
      <c r="AF387" s="1">
        <v>1</v>
      </c>
      <c r="AG387" s="1">
        <v>1.21</v>
      </c>
      <c r="AH387" s="1">
        <v>1</v>
      </c>
      <c r="AI387" s="1">
        <v>5</v>
      </c>
      <c r="AJ387" s="1">
        <v>1</v>
      </c>
      <c r="AK387" s="1">
        <v>0</v>
      </c>
      <c r="AL387" s="1">
        <v>1</v>
      </c>
      <c r="AM387" s="1">
        <v>1</v>
      </c>
      <c r="AN387" s="1">
        <v>3.52</v>
      </c>
    </row>
    <row r="388" spans="1:40">
      <c r="A388" s="1">
        <v>1722</v>
      </c>
      <c r="C388" s="1">
        <v>1.66</v>
      </c>
      <c r="D388" s="1">
        <v>1.66</v>
      </c>
      <c r="E388" s="1">
        <v>1.66</v>
      </c>
      <c r="F388" s="1">
        <v>1.66</v>
      </c>
      <c r="G388" s="1">
        <v>1.88</v>
      </c>
      <c r="H388" s="1">
        <v>1</v>
      </c>
      <c r="I388" s="1">
        <v>1</v>
      </c>
      <c r="J388" s="1">
        <v>1.22</v>
      </c>
      <c r="K388" s="1">
        <v>1.22</v>
      </c>
      <c r="L388" s="1">
        <v>1.22</v>
      </c>
      <c r="M388" s="1">
        <v>1.22</v>
      </c>
      <c r="N388" s="1">
        <v>1</v>
      </c>
      <c r="O388" s="1">
        <v>1</v>
      </c>
      <c r="P388" s="1">
        <v>1</v>
      </c>
      <c r="Q388" s="1">
        <v>1</v>
      </c>
      <c r="R388" s="1">
        <v>1</v>
      </c>
      <c r="S388" s="1">
        <v>1</v>
      </c>
      <c r="T388" s="1">
        <v>1</v>
      </c>
      <c r="U388" s="1">
        <v>1</v>
      </c>
      <c r="V388" s="1">
        <v>1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22</v>
      </c>
      <c r="AD388" s="1">
        <v>22</v>
      </c>
      <c r="AE388" s="1">
        <v>1.66</v>
      </c>
      <c r="AF388" s="1">
        <v>1</v>
      </c>
      <c r="AG388" s="1">
        <v>1.22</v>
      </c>
      <c r="AH388" s="1">
        <v>1</v>
      </c>
      <c r="AI388" s="1">
        <v>5.2</v>
      </c>
      <c r="AJ388" s="1">
        <v>1</v>
      </c>
      <c r="AK388" s="1">
        <v>0</v>
      </c>
      <c r="AL388" s="1">
        <v>1</v>
      </c>
      <c r="AM388" s="1">
        <v>1</v>
      </c>
      <c r="AN388" s="1">
        <v>3.64</v>
      </c>
    </row>
    <row r="389" spans="1:40">
      <c r="A389" s="1">
        <v>1723</v>
      </c>
      <c r="C389" s="1">
        <v>1.69</v>
      </c>
      <c r="D389" s="1">
        <v>1.69</v>
      </c>
      <c r="E389" s="1">
        <v>1.69</v>
      </c>
      <c r="F389" s="1">
        <v>1.69</v>
      </c>
      <c r="G389" s="1">
        <v>1.92</v>
      </c>
      <c r="H389" s="1">
        <v>1</v>
      </c>
      <c r="I389" s="1">
        <v>1</v>
      </c>
      <c r="J389" s="1">
        <v>1.23</v>
      </c>
      <c r="K389" s="1">
        <v>1.23</v>
      </c>
      <c r="L389" s="1">
        <v>1.23</v>
      </c>
      <c r="M389" s="1">
        <v>1.23</v>
      </c>
      <c r="N389" s="1">
        <v>1</v>
      </c>
      <c r="O389" s="1">
        <v>1</v>
      </c>
      <c r="P389" s="1">
        <v>1</v>
      </c>
      <c r="Q389" s="1">
        <v>1</v>
      </c>
      <c r="R389" s="1">
        <v>1</v>
      </c>
      <c r="S389" s="1">
        <v>1</v>
      </c>
      <c r="T389" s="1">
        <v>1</v>
      </c>
      <c r="U389" s="1">
        <v>1</v>
      </c>
      <c r="V389" s="1">
        <v>1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23</v>
      </c>
      <c r="AD389" s="1">
        <v>23</v>
      </c>
      <c r="AE389" s="1">
        <v>1.69</v>
      </c>
      <c r="AF389" s="1">
        <v>1</v>
      </c>
      <c r="AG389" s="1">
        <v>1.23</v>
      </c>
      <c r="AH389" s="1">
        <v>1</v>
      </c>
      <c r="AI389" s="1">
        <v>5.4</v>
      </c>
      <c r="AJ389" s="1">
        <v>1</v>
      </c>
      <c r="AK389" s="1">
        <v>0</v>
      </c>
      <c r="AL389" s="1">
        <v>1</v>
      </c>
      <c r="AM389" s="1">
        <v>1</v>
      </c>
      <c r="AN389" s="1">
        <v>3.76</v>
      </c>
    </row>
    <row r="390" spans="1:40">
      <c r="A390" s="1">
        <v>1724</v>
      </c>
      <c r="C390" s="1">
        <v>1.72</v>
      </c>
      <c r="D390" s="1">
        <v>1.72</v>
      </c>
      <c r="E390" s="1">
        <v>1.72</v>
      </c>
      <c r="F390" s="1">
        <v>1.72</v>
      </c>
      <c r="G390" s="1">
        <v>1.96</v>
      </c>
      <c r="H390" s="1">
        <v>1</v>
      </c>
      <c r="I390" s="1">
        <v>1</v>
      </c>
      <c r="J390" s="1">
        <v>1.24</v>
      </c>
      <c r="K390" s="1">
        <v>1.24</v>
      </c>
      <c r="L390" s="1">
        <v>1.24</v>
      </c>
      <c r="M390" s="1">
        <v>1.24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1</v>
      </c>
      <c r="V390" s="1">
        <v>1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24</v>
      </c>
      <c r="AD390" s="1">
        <v>24</v>
      </c>
      <c r="AE390" s="1">
        <v>1.72</v>
      </c>
      <c r="AF390" s="1">
        <v>1</v>
      </c>
      <c r="AG390" s="1">
        <v>1.24</v>
      </c>
      <c r="AH390" s="1">
        <v>1</v>
      </c>
      <c r="AI390" s="1">
        <v>5.6</v>
      </c>
      <c r="AJ390" s="1">
        <v>1</v>
      </c>
      <c r="AK390" s="1">
        <v>0</v>
      </c>
      <c r="AL390" s="1">
        <v>1</v>
      </c>
      <c r="AM390" s="1">
        <v>1</v>
      </c>
      <c r="AN390" s="1">
        <v>3.88</v>
      </c>
    </row>
    <row r="391" spans="1:40">
      <c r="A391" s="1">
        <v>1725</v>
      </c>
      <c r="C391" s="1">
        <v>1.75</v>
      </c>
      <c r="D391" s="1">
        <v>1.75</v>
      </c>
      <c r="E391" s="1">
        <v>1.75</v>
      </c>
      <c r="F391" s="1">
        <v>1.75</v>
      </c>
      <c r="G391" s="1">
        <v>2</v>
      </c>
      <c r="H391" s="1">
        <v>1</v>
      </c>
      <c r="I391" s="1">
        <v>1</v>
      </c>
      <c r="J391" s="1">
        <v>1.25</v>
      </c>
      <c r="K391" s="1">
        <v>1.25</v>
      </c>
      <c r="L391" s="1">
        <v>1.25</v>
      </c>
      <c r="M391" s="1">
        <v>1.25</v>
      </c>
      <c r="N391" s="1">
        <v>1</v>
      </c>
      <c r="O391" s="1">
        <v>1</v>
      </c>
      <c r="P391" s="1">
        <v>1</v>
      </c>
      <c r="Q391" s="1">
        <v>1</v>
      </c>
      <c r="R391" s="1">
        <v>1</v>
      </c>
      <c r="S391" s="1">
        <v>1</v>
      </c>
      <c r="T391" s="1">
        <v>1</v>
      </c>
      <c r="U391" s="1">
        <v>1</v>
      </c>
      <c r="V391" s="1">
        <v>1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25</v>
      </c>
      <c r="AD391" s="1">
        <v>25</v>
      </c>
      <c r="AE391" s="1">
        <v>1.75</v>
      </c>
      <c r="AF391" s="1">
        <v>1</v>
      </c>
      <c r="AG391" s="1">
        <v>1.25</v>
      </c>
      <c r="AH391" s="1">
        <v>1</v>
      </c>
      <c r="AI391" s="1">
        <v>5.8</v>
      </c>
      <c r="AJ391" s="1">
        <v>1</v>
      </c>
      <c r="AK391" s="1">
        <v>0</v>
      </c>
      <c r="AL391" s="1">
        <v>1</v>
      </c>
      <c r="AM391" s="1">
        <v>1</v>
      </c>
      <c r="AN391" s="1">
        <v>4</v>
      </c>
    </row>
    <row r="392" spans="1:40">
      <c r="A392" s="1">
        <v>1800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M392" s="1">
        <v>1</v>
      </c>
      <c r="N392" s="1">
        <v>1</v>
      </c>
      <c r="O392" s="1">
        <v>1</v>
      </c>
      <c r="P392" s="1">
        <v>1</v>
      </c>
      <c r="Q392" s="1">
        <v>1</v>
      </c>
      <c r="R392" s="1">
        <v>1</v>
      </c>
      <c r="S392" s="1">
        <v>1</v>
      </c>
      <c r="T392" s="1">
        <v>1</v>
      </c>
      <c r="U392" s="1">
        <v>1</v>
      </c>
      <c r="V392" s="1">
        <v>1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1</v>
      </c>
      <c r="AF392" s="1">
        <v>1</v>
      </c>
      <c r="AG392" s="1">
        <v>1</v>
      </c>
      <c r="AH392" s="1">
        <v>1</v>
      </c>
      <c r="AI392" s="1">
        <v>1</v>
      </c>
      <c r="AJ392" s="1">
        <v>1</v>
      </c>
      <c r="AK392" s="1">
        <v>0</v>
      </c>
      <c r="AL392" s="1">
        <v>1</v>
      </c>
      <c r="AM392" s="1">
        <v>1</v>
      </c>
      <c r="AN392" s="1">
        <v>1</v>
      </c>
    </row>
    <row r="393" spans="1:40">
      <c r="A393" s="1">
        <v>1801</v>
      </c>
      <c r="C393" s="1">
        <v>1.03</v>
      </c>
      <c r="D393" s="1">
        <v>1.03</v>
      </c>
      <c r="E393" s="1">
        <v>1.03</v>
      </c>
      <c r="F393" s="1">
        <v>1.03</v>
      </c>
      <c r="G393" s="1">
        <v>1.04</v>
      </c>
      <c r="H393" s="1">
        <v>1</v>
      </c>
      <c r="I393" s="1">
        <v>1</v>
      </c>
      <c r="J393" s="1">
        <v>1.03</v>
      </c>
      <c r="K393" s="1">
        <v>1.03</v>
      </c>
      <c r="L393" s="1">
        <v>1.03</v>
      </c>
      <c r="M393" s="1">
        <v>1.03</v>
      </c>
      <c r="N393" s="1">
        <v>1</v>
      </c>
      <c r="O393" s="1">
        <v>1</v>
      </c>
      <c r="P393" s="1">
        <v>1</v>
      </c>
      <c r="Q393" s="1">
        <v>1</v>
      </c>
      <c r="R393" s="1">
        <v>1</v>
      </c>
      <c r="S393" s="1">
        <v>1</v>
      </c>
      <c r="T393" s="1">
        <v>1</v>
      </c>
      <c r="U393" s="1">
        <v>1</v>
      </c>
      <c r="V393" s="1">
        <v>1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1</v>
      </c>
      <c r="AE393" s="1">
        <v>1.03</v>
      </c>
      <c r="AF393" s="1">
        <v>1</v>
      </c>
      <c r="AG393" s="1">
        <v>1.03</v>
      </c>
      <c r="AH393" s="1">
        <v>1</v>
      </c>
      <c r="AI393" s="1">
        <v>1</v>
      </c>
      <c r="AJ393" s="1">
        <v>1</v>
      </c>
      <c r="AK393" s="1">
        <v>0</v>
      </c>
      <c r="AL393" s="1">
        <v>1</v>
      </c>
      <c r="AM393" s="1">
        <v>1</v>
      </c>
      <c r="AN393" s="1">
        <v>1.1200000000000001</v>
      </c>
    </row>
    <row r="394" spans="1:40">
      <c r="A394" s="1">
        <v>1802</v>
      </c>
      <c r="C394" s="1">
        <v>1.06</v>
      </c>
      <c r="D394" s="1">
        <v>1.06</v>
      </c>
      <c r="E394" s="1">
        <v>1.06</v>
      </c>
      <c r="F394" s="1">
        <v>1.06</v>
      </c>
      <c r="G394" s="1">
        <v>1.08</v>
      </c>
      <c r="H394" s="1">
        <v>1</v>
      </c>
      <c r="I394" s="1">
        <v>1</v>
      </c>
      <c r="J394" s="1">
        <v>1.06</v>
      </c>
      <c r="K394" s="1">
        <v>1.06</v>
      </c>
      <c r="L394" s="1">
        <v>1.06</v>
      </c>
      <c r="M394" s="1">
        <v>1.06</v>
      </c>
      <c r="N394" s="1">
        <v>1</v>
      </c>
      <c r="O394" s="1">
        <v>1</v>
      </c>
      <c r="P394" s="1">
        <v>1</v>
      </c>
      <c r="Q394" s="1">
        <v>1</v>
      </c>
      <c r="R394" s="1">
        <v>1</v>
      </c>
      <c r="S394" s="1">
        <v>1</v>
      </c>
      <c r="T394" s="1">
        <v>1</v>
      </c>
      <c r="U394" s="1">
        <v>1</v>
      </c>
      <c r="V394" s="1">
        <v>1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2</v>
      </c>
      <c r="AD394" s="1">
        <v>2</v>
      </c>
      <c r="AE394" s="1">
        <v>1.06</v>
      </c>
      <c r="AF394" s="1">
        <v>1</v>
      </c>
      <c r="AG394" s="1">
        <v>1.06</v>
      </c>
      <c r="AH394" s="1">
        <v>1</v>
      </c>
      <c r="AI394" s="1">
        <v>1.2</v>
      </c>
      <c r="AJ394" s="1">
        <v>1</v>
      </c>
      <c r="AK394" s="1">
        <v>0</v>
      </c>
      <c r="AL394" s="1">
        <v>1</v>
      </c>
      <c r="AM394" s="1">
        <v>1</v>
      </c>
      <c r="AN394" s="1">
        <v>1.24</v>
      </c>
    </row>
    <row r="395" spans="1:40">
      <c r="A395" s="1">
        <v>1803</v>
      </c>
      <c r="C395" s="1">
        <v>1.0900000000000001</v>
      </c>
      <c r="D395" s="1">
        <v>1.0900000000000001</v>
      </c>
      <c r="E395" s="1">
        <v>1.0900000000000001</v>
      </c>
      <c r="F395" s="1">
        <v>1.0900000000000001</v>
      </c>
      <c r="G395" s="1">
        <v>1.1200000000000001</v>
      </c>
      <c r="H395" s="1">
        <v>1</v>
      </c>
      <c r="I395" s="1">
        <v>1</v>
      </c>
      <c r="J395" s="1">
        <v>1.0900000000000001</v>
      </c>
      <c r="K395" s="1">
        <v>1.0900000000000001</v>
      </c>
      <c r="L395" s="1">
        <v>1.0900000000000001</v>
      </c>
      <c r="M395" s="1">
        <v>1.0900000000000001</v>
      </c>
      <c r="N395" s="1">
        <v>1</v>
      </c>
      <c r="O395" s="1">
        <v>1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1</v>
      </c>
      <c r="V395" s="1">
        <v>1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3</v>
      </c>
      <c r="AD395" s="1">
        <v>3</v>
      </c>
      <c r="AE395" s="1">
        <v>1.0900000000000001</v>
      </c>
      <c r="AF395" s="1">
        <v>1</v>
      </c>
      <c r="AG395" s="1">
        <v>1.0900000000000001</v>
      </c>
      <c r="AH395" s="1">
        <v>1</v>
      </c>
      <c r="AI395" s="1">
        <v>1.4</v>
      </c>
      <c r="AJ395" s="1">
        <v>1</v>
      </c>
      <c r="AK395" s="1">
        <v>0</v>
      </c>
      <c r="AL395" s="1">
        <v>1</v>
      </c>
      <c r="AM395" s="1">
        <v>1</v>
      </c>
      <c r="AN395" s="1">
        <v>1.36</v>
      </c>
    </row>
    <row r="396" spans="1:40">
      <c r="A396" s="1">
        <v>1804</v>
      </c>
      <c r="C396" s="1">
        <v>1.1200000000000001</v>
      </c>
      <c r="D396" s="1">
        <v>1.1200000000000001</v>
      </c>
      <c r="E396" s="1">
        <v>1.1200000000000001</v>
      </c>
      <c r="F396" s="1">
        <v>1.1200000000000001</v>
      </c>
      <c r="G396" s="1">
        <v>1.1599999999999999</v>
      </c>
      <c r="H396" s="1">
        <v>1</v>
      </c>
      <c r="I396" s="1">
        <v>1</v>
      </c>
      <c r="J396" s="1">
        <v>1.1200000000000001</v>
      </c>
      <c r="K396" s="1">
        <v>1.1200000000000001</v>
      </c>
      <c r="L396" s="1">
        <v>1.1200000000000001</v>
      </c>
      <c r="M396" s="1">
        <v>1.1200000000000001</v>
      </c>
      <c r="N396" s="1">
        <v>1</v>
      </c>
      <c r="O396" s="1">
        <v>1</v>
      </c>
      <c r="P396" s="1">
        <v>1</v>
      </c>
      <c r="Q396" s="1">
        <v>1</v>
      </c>
      <c r="R396" s="1">
        <v>1</v>
      </c>
      <c r="S396" s="1">
        <v>1</v>
      </c>
      <c r="T396" s="1">
        <v>1</v>
      </c>
      <c r="U396" s="1">
        <v>1</v>
      </c>
      <c r="V396" s="1">
        <v>1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4</v>
      </c>
      <c r="AD396" s="1">
        <v>4</v>
      </c>
      <c r="AE396" s="1">
        <v>1.1200000000000001</v>
      </c>
      <c r="AF396" s="1">
        <v>1</v>
      </c>
      <c r="AG396" s="1">
        <v>1.1200000000000001</v>
      </c>
      <c r="AH396" s="1">
        <v>1</v>
      </c>
      <c r="AI396" s="1">
        <v>1.6</v>
      </c>
      <c r="AJ396" s="1">
        <v>1</v>
      </c>
      <c r="AK396" s="1">
        <v>0</v>
      </c>
      <c r="AL396" s="1">
        <v>1</v>
      </c>
      <c r="AM396" s="1">
        <v>1</v>
      </c>
      <c r="AN396" s="1">
        <v>1.48</v>
      </c>
    </row>
    <row r="397" spans="1:40">
      <c r="A397" s="1">
        <v>1805</v>
      </c>
      <c r="C397" s="1">
        <v>1.1499999999999999</v>
      </c>
      <c r="D397" s="1">
        <v>1.1499999999999999</v>
      </c>
      <c r="E397" s="1">
        <v>1.1499999999999999</v>
      </c>
      <c r="F397" s="1">
        <v>1.1499999999999999</v>
      </c>
      <c r="G397" s="1">
        <v>1.2</v>
      </c>
      <c r="H397" s="1">
        <v>1</v>
      </c>
      <c r="I397" s="1">
        <v>1</v>
      </c>
      <c r="J397" s="1">
        <v>1.1499999999999999</v>
      </c>
      <c r="K397" s="1">
        <v>1.1499999999999999</v>
      </c>
      <c r="L397" s="1">
        <v>1.1499999999999999</v>
      </c>
      <c r="M397" s="1">
        <v>1.1499999999999999</v>
      </c>
      <c r="N397" s="1">
        <v>1</v>
      </c>
      <c r="O397" s="1">
        <v>1</v>
      </c>
      <c r="P397" s="1">
        <v>1</v>
      </c>
      <c r="Q397" s="1">
        <v>1</v>
      </c>
      <c r="R397" s="1">
        <v>1</v>
      </c>
      <c r="S397" s="1">
        <v>1</v>
      </c>
      <c r="T397" s="1">
        <v>1</v>
      </c>
      <c r="U397" s="1">
        <v>1</v>
      </c>
      <c r="V397" s="1">
        <v>1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5</v>
      </c>
      <c r="AD397" s="1">
        <v>5</v>
      </c>
      <c r="AE397" s="1">
        <v>1.1499999999999999</v>
      </c>
      <c r="AF397" s="1">
        <v>1</v>
      </c>
      <c r="AG397" s="1">
        <v>1.1499999999999999</v>
      </c>
      <c r="AH397" s="1">
        <v>1</v>
      </c>
      <c r="AI397" s="1">
        <v>1.8</v>
      </c>
      <c r="AJ397" s="1">
        <v>1</v>
      </c>
      <c r="AK397" s="1">
        <v>0</v>
      </c>
      <c r="AL397" s="1">
        <v>1</v>
      </c>
      <c r="AM397" s="1">
        <v>1</v>
      </c>
      <c r="AN397" s="1">
        <v>1.6</v>
      </c>
    </row>
    <row r="398" spans="1:40">
      <c r="A398" s="1">
        <v>1806</v>
      </c>
      <c r="C398" s="1">
        <v>1.18</v>
      </c>
      <c r="D398" s="1">
        <v>1.18</v>
      </c>
      <c r="E398" s="1">
        <v>1.18</v>
      </c>
      <c r="F398" s="1">
        <v>1.18</v>
      </c>
      <c r="G398" s="1">
        <v>1.24</v>
      </c>
      <c r="H398" s="1">
        <v>1</v>
      </c>
      <c r="I398" s="1">
        <v>1</v>
      </c>
      <c r="J398" s="1">
        <v>1.18</v>
      </c>
      <c r="K398" s="1">
        <v>1.18</v>
      </c>
      <c r="L398" s="1">
        <v>1.18</v>
      </c>
      <c r="M398" s="1">
        <v>1.18</v>
      </c>
      <c r="N398" s="1">
        <v>1</v>
      </c>
      <c r="O398" s="1">
        <v>1</v>
      </c>
      <c r="P398" s="1">
        <v>1</v>
      </c>
      <c r="Q398" s="1">
        <v>1</v>
      </c>
      <c r="R398" s="1">
        <v>1</v>
      </c>
      <c r="S398" s="1">
        <v>1</v>
      </c>
      <c r="T398" s="1">
        <v>1</v>
      </c>
      <c r="U398" s="1">
        <v>1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6</v>
      </c>
      <c r="AD398" s="1">
        <v>6</v>
      </c>
      <c r="AE398" s="1">
        <v>1.18</v>
      </c>
      <c r="AF398" s="1">
        <v>1</v>
      </c>
      <c r="AG398" s="1">
        <v>1.18</v>
      </c>
      <c r="AH398" s="1">
        <v>1</v>
      </c>
      <c r="AI398" s="1">
        <v>2</v>
      </c>
      <c r="AJ398" s="1">
        <v>1</v>
      </c>
      <c r="AK398" s="1">
        <v>0</v>
      </c>
      <c r="AL398" s="1">
        <v>1</v>
      </c>
      <c r="AM398" s="1">
        <v>1</v>
      </c>
      <c r="AN398" s="1">
        <v>1.72</v>
      </c>
    </row>
    <row r="399" spans="1:40">
      <c r="A399" s="1">
        <v>1807</v>
      </c>
      <c r="C399" s="1">
        <v>1.21</v>
      </c>
      <c r="D399" s="1">
        <v>1.21</v>
      </c>
      <c r="E399" s="1">
        <v>1.21</v>
      </c>
      <c r="F399" s="1">
        <v>1.21</v>
      </c>
      <c r="G399" s="1">
        <v>1.28</v>
      </c>
      <c r="H399" s="1">
        <v>1</v>
      </c>
      <c r="I399" s="1">
        <v>1</v>
      </c>
      <c r="J399" s="1">
        <v>1.21</v>
      </c>
      <c r="K399" s="1">
        <v>1.21</v>
      </c>
      <c r="L399" s="1">
        <v>1.21</v>
      </c>
      <c r="M399" s="1">
        <v>1.21</v>
      </c>
      <c r="N399" s="1">
        <v>1</v>
      </c>
      <c r="O399" s="1">
        <v>1</v>
      </c>
      <c r="P399" s="1">
        <v>1</v>
      </c>
      <c r="Q399" s="1">
        <v>1</v>
      </c>
      <c r="R399" s="1">
        <v>1</v>
      </c>
      <c r="S399" s="1">
        <v>1</v>
      </c>
      <c r="T399" s="1">
        <v>1</v>
      </c>
      <c r="U399" s="1">
        <v>1</v>
      </c>
      <c r="V399" s="1">
        <v>1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7</v>
      </c>
      <c r="AD399" s="1">
        <v>7</v>
      </c>
      <c r="AE399" s="1">
        <v>1.21</v>
      </c>
      <c r="AF399" s="1">
        <v>1</v>
      </c>
      <c r="AG399" s="1">
        <v>1.21</v>
      </c>
      <c r="AH399" s="1">
        <v>1</v>
      </c>
      <c r="AI399" s="1">
        <v>2.2000000000000002</v>
      </c>
      <c r="AJ399" s="1">
        <v>1</v>
      </c>
      <c r="AK399" s="1">
        <v>0</v>
      </c>
      <c r="AL399" s="1">
        <v>1</v>
      </c>
      <c r="AM399" s="1">
        <v>1</v>
      </c>
      <c r="AN399" s="1">
        <v>1.84</v>
      </c>
    </row>
    <row r="400" spans="1:40">
      <c r="A400" s="1">
        <v>1808</v>
      </c>
      <c r="C400" s="1">
        <v>1.24</v>
      </c>
      <c r="D400" s="1">
        <v>1.24</v>
      </c>
      <c r="E400" s="1">
        <v>1.24</v>
      </c>
      <c r="F400" s="1">
        <v>1.24</v>
      </c>
      <c r="G400" s="1">
        <v>1.32</v>
      </c>
      <c r="H400" s="1">
        <v>1</v>
      </c>
      <c r="I400" s="1">
        <v>1</v>
      </c>
      <c r="J400" s="1">
        <v>1.24</v>
      </c>
      <c r="K400" s="1">
        <v>1.24</v>
      </c>
      <c r="L400" s="1">
        <v>1.24</v>
      </c>
      <c r="M400" s="1">
        <v>1.24</v>
      </c>
      <c r="N400" s="1">
        <v>1</v>
      </c>
      <c r="O400" s="1">
        <v>1</v>
      </c>
      <c r="P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8</v>
      </c>
      <c r="AD400" s="1">
        <v>8</v>
      </c>
      <c r="AE400" s="1">
        <v>1.24</v>
      </c>
      <c r="AF400" s="1">
        <v>1</v>
      </c>
      <c r="AG400" s="1">
        <v>1.24</v>
      </c>
      <c r="AH400" s="1">
        <v>1</v>
      </c>
      <c r="AI400" s="1">
        <v>2.4</v>
      </c>
      <c r="AJ400" s="1">
        <v>1</v>
      </c>
      <c r="AK400" s="1">
        <v>0</v>
      </c>
      <c r="AL400" s="1">
        <v>1</v>
      </c>
      <c r="AM400" s="1">
        <v>1</v>
      </c>
      <c r="AN400" s="1">
        <v>1.96</v>
      </c>
    </row>
    <row r="401" spans="1:40">
      <c r="A401" s="1">
        <v>1809</v>
      </c>
      <c r="C401" s="1">
        <v>1.27</v>
      </c>
      <c r="D401" s="1">
        <v>1.27</v>
      </c>
      <c r="E401" s="1">
        <v>1.27</v>
      </c>
      <c r="F401" s="1">
        <v>1.27</v>
      </c>
      <c r="G401" s="1">
        <v>1.36</v>
      </c>
      <c r="H401" s="1">
        <v>1</v>
      </c>
      <c r="I401" s="1">
        <v>1</v>
      </c>
      <c r="J401" s="1">
        <v>1.27</v>
      </c>
      <c r="K401" s="1">
        <v>1.27</v>
      </c>
      <c r="L401" s="1">
        <v>1.27</v>
      </c>
      <c r="M401" s="1">
        <v>1.27</v>
      </c>
      <c r="N401" s="1">
        <v>1</v>
      </c>
      <c r="O401" s="1">
        <v>1</v>
      </c>
      <c r="P401" s="1">
        <v>1</v>
      </c>
      <c r="Q401" s="1">
        <v>1</v>
      </c>
      <c r="R401" s="1">
        <v>1</v>
      </c>
      <c r="S401" s="1">
        <v>1</v>
      </c>
      <c r="T401" s="1">
        <v>1</v>
      </c>
      <c r="U401" s="1">
        <v>1</v>
      </c>
      <c r="V401" s="1">
        <v>1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9</v>
      </c>
      <c r="AD401" s="1">
        <v>9</v>
      </c>
      <c r="AE401" s="1">
        <v>1.27</v>
      </c>
      <c r="AF401" s="1">
        <v>1</v>
      </c>
      <c r="AG401" s="1">
        <v>1.27</v>
      </c>
      <c r="AH401" s="1">
        <v>1</v>
      </c>
      <c r="AI401" s="1">
        <v>2.6</v>
      </c>
      <c r="AJ401" s="1">
        <v>1</v>
      </c>
      <c r="AK401" s="1">
        <v>0</v>
      </c>
      <c r="AL401" s="1">
        <v>1</v>
      </c>
      <c r="AM401" s="1">
        <v>1</v>
      </c>
      <c r="AN401" s="1">
        <v>2.08</v>
      </c>
    </row>
    <row r="402" spans="1:40">
      <c r="A402" s="1">
        <v>1810</v>
      </c>
      <c r="C402" s="1">
        <v>1.3</v>
      </c>
      <c r="D402" s="1">
        <v>1.3</v>
      </c>
      <c r="E402" s="1">
        <v>1.3</v>
      </c>
      <c r="F402" s="1">
        <v>1.3</v>
      </c>
      <c r="G402" s="1">
        <v>1.4</v>
      </c>
      <c r="H402" s="1">
        <v>1</v>
      </c>
      <c r="I402" s="1">
        <v>1</v>
      </c>
      <c r="J402" s="1">
        <v>1.3</v>
      </c>
      <c r="K402" s="1">
        <v>1.3</v>
      </c>
      <c r="L402" s="1">
        <v>1.3</v>
      </c>
      <c r="M402" s="1">
        <v>1.3</v>
      </c>
      <c r="N402" s="1">
        <v>1</v>
      </c>
      <c r="O402" s="1">
        <v>1</v>
      </c>
      <c r="P402" s="1">
        <v>1</v>
      </c>
      <c r="Q402" s="1">
        <v>1</v>
      </c>
      <c r="R402" s="1">
        <v>1</v>
      </c>
      <c r="S402" s="1">
        <v>1</v>
      </c>
      <c r="T402" s="1">
        <v>1</v>
      </c>
      <c r="U402" s="1">
        <v>1</v>
      </c>
      <c r="V402" s="1">
        <v>1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10</v>
      </c>
      <c r="AD402" s="1">
        <v>10</v>
      </c>
      <c r="AE402" s="1">
        <v>1.3</v>
      </c>
      <c r="AF402" s="1">
        <v>1</v>
      </c>
      <c r="AG402" s="1">
        <v>1.3</v>
      </c>
      <c r="AH402" s="1">
        <v>1</v>
      </c>
      <c r="AI402" s="1">
        <v>2.8</v>
      </c>
      <c r="AJ402" s="1">
        <v>1</v>
      </c>
      <c r="AK402" s="1">
        <v>0</v>
      </c>
      <c r="AL402" s="1">
        <v>1</v>
      </c>
      <c r="AM402" s="1">
        <v>1</v>
      </c>
      <c r="AN402" s="1">
        <v>2.2000000000000002</v>
      </c>
    </row>
    <row r="403" spans="1:40">
      <c r="A403" s="1">
        <v>1811</v>
      </c>
      <c r="C403" s="1">
        <v>1.33</v>
      </c>
      <c r="D403" s="1">
        <v>1.33</v>
      </c>
      <c r="E403" s="1">
        <v>1.33</v>
      </c>
      <c r="F403" s="1">
        <v>1.33</v>
      </c>
      <c r="G403" s="1">
        <v>1.44</v>
      </c>
      <c r="H403" s="1">
        <v>1</v>
      </c>
      <c r="I403" s="1">
        <v>1</v>
      </c>
      <c r="J403" s="1">
        <v>1.32</v>
      </c>
      <c r="K403" s="1">
        <v>1.32</v>
      </c>
      <c r="L403" s="1">
        <v>1.32</v>
      </c>
      <c r="M403" s="1">
        <v>1.32</v>
      </c>
      <c r="N403" s="1">
        <v>1</v>
      </c>
      <c r="O403" s="1">
        <v>1</v>
      </c>
      <c r="P403" s="1">
        <v>1</v>
      </c>
      <c r="Q403" s="1">
        <v>1</v>
      </c>
      <c r="R403" s="1">
        <v>1</v>
      </c>
      <c r="S403" s="1">
        <v>1</v>
      </c>
      <c r="T403" s="1">
        <v>1</v>
      </c>
      <c r="U403" s="1">
        <v>1</v>
      </c>
      <c r="V403" s="1">
        <v>1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11</v>
      </c>
      <c r="AD403" s="1">
        <v>11</v>
      </c>
      <c r="AE403" s="1">
        <v>1.33</v>
      </c>
      <c r="AF403" s="1">
        <v>1</v>
      </c>
      <c r="AG403" s="1">
        <v>1.32</v>
      </c>
      <c r="AH403" s="1">
        <v>1</v>
      </c>
      <c r="AI403" s="1">
        <v>3</v>
      </c>
      <c r="AJ403" s="1">
        <v>1</v>
      </c>
      <c r="AK403" s="1">
        <v>0</v>
      </c>
      <c r="AL403" s="1">
        <v>1</v>
      </c>
      <c r="AM403" s="1">
        <v>1</v>
      </c>
      <c r="AN403" s="1">
        <v>2.3199999999999998</v>
      </c>
    </row>
    <row r="404" spans="1:40">
      <c r="A404" s="1">
        <v>1812</v>
      </c>
      <c r="C404" s="1">
        <v>1.36</v>
      </c>
      <c r="D404" s="1">
        <v>1.36</v>
      </c>
      <c r="E404" s="1">
        <v>1.36</v>
      </c>
      <c r="F404" s="1">
        <v>1.36</v>
      </c>
      <c r="G404" s="1">
        <v>1.48</v>
      </c>
      <c r="H404" s="1">
        <v>1</v>
      </c>
      <c r="I404" s="1">
        <v>1</v>
      </c>
      <c r="J404" s="1">
        <v>1.34</v>
      </c>
      <c r="K404" s="1">
        <v>1.34</v>
      </c>
      <c r="L404" s="1">
        <v>1.34</v>
      </c>
      <c r="M404" s="1">
        <v>1.34</v>
      </c>
      <c r="N404" s="1">
        <v>1</v>
      </c>
      <c r="O404" s="1">
        <v>1</v>
      </c>
      <c r="P404" s="1">
        <v>1</v>
      </c>
      <c r="Q404" s="1">
        <v>1</v>
      </c>
      <c r="R404" s="1">
        <v>1</v>
      </c>
      <c r="S404" s="1">
        <v>1</v>
      </c>
      <c r="T404" s="1">
        <v>1</v>
      </c>
      <c r="U404" s="1">
        <v>1</v>
      </c>
      <c r="V404" s="1">
        <v>1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12</v>
      </c>
      <c r="AD404" s="1">
        <v>12</v>
      </c>
      <c r="AE404" s="1">
        <v>1.36</v>
      </c>
      <c r="AF404" s="1">
        <v>1</v>
      </c>
      <c r="AG404" s="1">
        <v>1.34</v>
      </c>
      <c r="AH404" s="1">
        <v>1</v>
      </c>
      <c r="AI404" s="1">
        <v>3.2</v>
      </c>
      <c r="AJ404" s="1">
        <v>1</v>
      </c>
      <c r="AK404" s="1">
        <v>0</v>
      </c>
      <c r="AL404" s="1">
        <v>1</v>
      </c>
      <c r="AM404" s="1">
        <v>1</v>
      </c>
      <c r="AN404" s="1">
        <v>2.44</v>
      </c>
    </row>
    <row r="405" spans="1:40">
      <c r="A405" s="1">
        <v>1813</v>
      </c>
      <c r="C405" s="1">
        <v>1.39</v>
      </c>
      <c r="D405" s="1">
        <v>1.39</v>
      </c>
      <c r="E405" s="1">
        <v>1.39</v>
      </c>
      <c r="F405" s="1">
        <v>1.39</v>
      </c>
      <c r="G405" s="1">
        <v>1.52</v>
      </c>
      <c r="H405" s="1">
        <v>1</v>
      </c>
      <c r="I405" s="1">
        <v>1</v>
      </c>
      <c r="J405" s="1">
        <v>1.36</v>
      </c>
      <c r="K405" s="1">
        <v>1.36</v>
      </c>
      <c r="L405" s="1">
        <v>1.36</v>
      </c>
      <c r="M405" s="1">
        <v>1.36</v>
      </c>
      <c r="N405" s="1">
        <v>1</v>
      </c>
      <c r="O405" s="1">
        <v>1</v>
      </c>
      <c r="P405" s="1">
        <v>1</v>
      </c>
      <c r="Q405" s="1">
        <v>1</v>
      </c>
      <c r="R405" s="1">
        <v>1</v>
      </c>
      <c r="S405" s="1">
        <v>1</v>
      </c>
      <c r="T405" s="1">
        <v>1</v>
      </c>
      <c r="U405" s="1">
        <v>1</v>
      </c>
      <c r="V405" s="1">
        <v>1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13</v>
      </c>
      <c r="AD405" s="1">
        <v>13</v>
      </c>
      <c r="AE405" s="1">
        <v>1.39</v>
      </c>
      <c r="AF405" s="1">
        <v>1</v>
      </c>
      <c r="AG405" s="1">
        <v>1.36</v>
      </c>
      <c r="AH405" s="1">
        <v>1</v>
      </c>
      <c r="AI405" s="1">
        <v>3.4</v>
      </c>
      <c r="AJ405" s="1">
        <v>1</v>
      </c>
      <c r="AK405" s="1">
        <v>0</v>
      </c>
      <c r="AL405" s="1">
        <v>1</v>
      </c>
      <c r="AM405" s="1">
        <v>1</v>
      </c>
      <c r="AN405" s="1">
        <v>2.56</v>
      </c>
    </row>
    <row r="406" spans="1:40">
      <c r="A406" s="1">
        <v>1814</v>
      </c>
      <c r="C406" s="1">
        <v>1.42</v>
      </c>
      <c r="D406" s="1">
        <v>1.42</v>
      </c>
      <c r="E406" s="1">
        <v>1.42</v>
      </c>
      <c r="F406" s="1">
        <v>1.42</v>
      </c>
      <c r="G406" s="1">
        <v>1.56</v>
      </c>
      <c r="H406" s="1">
        <v>1</v>
      </c>
      <c r="I406" s="1">
        <v>1</v>
      </c>
      <c r="J406" s="1">
        <v>1.38</v>
      </c>
      <c r="K406" s="1">
        <v>1.38</v>
      </c>
      <c r="L406" s="1">
        <v>1.38</v>
      </c>
      <c r="M406" s="1">
        <v>1.38</v>
      </c>
      <c r="N406" s="1">
        <v>1</v>
      </c>
      <c r="O406" s="1">
        <v>1</v>
      </c>
      <c r="P406" s="1">
        <v>1</v>
      </c>
      <c r="Q406" s="1">
        <v>1</v>
      </c>
      <c r="R406" s="1">
        <v>1</v>
      </c>
      <c r="S406" s="1">
        <v>1</v>
      </c>
      <c r="T406" s="1">
        <v>1</v>
      </c>
      <c r="U406" s="1">
        <v>1</v>
      </c>
      <c r="V406" s="1">
        <v>1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14</v>
      </c>
      <c r="AD406" s="1">
        <v>14</v>
      </c>
      <c r="AE406" s="1">
        <v>1.42</v>
      </c>
      <c r="AF406" s="1">
        <v>1</v>
      </c>
      <c r="AG406" s="1">
        <v>1.38</v>
      </c>
      <c r="AH406" s="1">
        <v>1</v>
      </c>
      <c r="AI406" s="1">
        <v>3.6</v>
      </c>
      <c r="AJ406" s="1">
        <v>1</v>
      </c>
      <c r="AK406" s="1">
        <v>0</v>
      </c>
      <c r="AL406" s="1">
        <v>1</v>
      </c>
      <c r="AM406" s="1">
        <v>1</v>
      </c>
      <c r="AN406" s="1">
        <v>2.68</v>
      </c>
    </row>
    <row r="407" spans="1:40">
      <c r="A407" s="1">
        <v>1815</v>
      </c>
      <c r="C407" s="1">
        <v>1.45</v>
      </c>
      <c r="D407" s="1">
        <v>1.45</v>
      </c>
      <c r="E407" s="1">
        <v>1.45</v>
      </c>
      <c r="F407" s="1">
        <v>1.45</v>
      </c>
      <c r="G407" s="1">
        <v>1.6</v>
      </c>
      <c r="H407" s="1">
        <v>1</v>
      </c>
      <c r="I407" s="1">
        <v>1</v>
      </c>
      <c r="J407" s="1">
        <v>1.4</v>
      </c>
      <c r="K407" s="1">
        <v>1.4</v>
      </c>
      <c r="L407" s="1">
        <v>1.4</v>
      </c>
      <c r="M407" s="1">
        <v>1.4</v>
      </c>
      <c r="N407" s="1">
        <v>1</v>
      </c>
      <c r="O407" s="1">
        <v>1</v>
      </c>
      <c r="P407" s="1">
        <v>1</v>
      </c>
      <c r="Q407" s="1">
        <v>1</v>
      </c>
      <c r="R407" s="1">
        <v>1</v>
      </c>
      <c r="S407" s="1">
        <v>1</v>
      </c>
      <c r="T407" s="1">
        <v>1</v>
      </c>
      <c r="U407" s="1">
        <v>1</v>
      </c>
      <c r="V407" s="1">
        <v>1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15</v>
      </c>
      <c r="AD407" s="1">
        <v>15</v>
      </c>
      <c r="AE407" s="1">
        <v>1.45</v>
      </c>
      <c r="AF407" s="1">
        <v>1</v>
      </c>
      <c r="AG407" s="1">
        <v>1.4</v>
      </c>
      <c r="AH407" s="1">
        <v>1</v>
      </c>
      <c r="AI407" s="1">
        <v>3.8</v>
      </c>
      <c r="AJ407" s="1">
        <v>1</v>
      </c>
      <c r="AK407" s="1">
        <v>0</v>
      </c>
      <c r="AL407" s="1">
        <v>1</v>
      </c>
      <c r="AM407" s="1">
        <v>1</v>
      </c>
      <c r="AN407" s="1">
        <v>2.8</v>
      </c>
    </row>
    <row r="408" spans="1:40">
      <c r="A408" s="1">
        <v>1816</v>
      </c>
      <c r="C408" s="1">
        <v>1.48</v>
      </c>
      <c r="D408" s="1">
        <v>1.48</v>
      </c>
      <c r="E408" s="1">
        <v>1.48</v>
      </c>
      <c r="F408" s="1">
        <v>1.48</v>
      </c>
      <c r="G408" s="1">
        <v>1.64</v>
      </c>
      <c r="H408" s="1">
        <v>1</v>
      </c>
      <c r="I408" s="1">
        <v>1</v>
      </c>
      <c r="J408" s="1">
        <v>1.42</v>
      </c>
      <c r="K408" s="1">
        <v>1.42</v>
      </c>
      <c r="L408" s="1">
        <v>1.42</v>
      </c>
      <c r="M408" s="1">
        <v>1.42</v>
      </c>
      <c r="N408" s="1">
        <v>1</v>
      </c>
      <c r="O408" s="1">
        <v>1</v>
      </c>
      <c r="P408" s="1">
        <v>1</v>
      </c>
      <c r="Q408" s="1">
        <v>1</v>
      </c>
      <c r="R408" s="1">
        <v>1</v>
      </c>
      <c r="S408" s="1">
        <v>1</v>
      </c>
      <c r="T408" s="1">
        <v>1</v>
      </c>
      <c r="U408" s="1">
        <v>1</v>
      </c>
      <c r="V408" s="1">
        <v>1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16</v>
      </c>
      <c r="AD408" s="1">
        <v>16</v>
      </c>
      <c r="AE408" s="1">
        <v>1.48</v>
      </c>
      <c r="AF408" s="1">
        <v>1</v>
      </c>
      <c r="AG408" s="1">
        <v>1.42</v>
      </c>
      <c r="AH408" s="1">
        <v>1</v>
      </c>
      <c r="AI408" s="1">
        <v>4</v>
      </c>
      <c r="AJ408" s="1">
        <v>1</v>
      </c>
      <c r="AK408" s="1">
        <v>0</v>
      </c>
      <c r="AL408" s="1">
        <v>1</v>
      </c>
      <c r="AM408" s="1">
        <v>1</v>
      </c>
      <c r="AN408" s="1">
        <v>2.92</v>
      </c>
    </row>
    <row r="409" spans="1:40">
      <c r="A409" s="1">
        <v>1817</v>
      </c>
      <c r="C409" s="1">
        <v>1.51</v>
      </c>
      <c r="D409" s="1">
        <v>1.51</v>
      </c>
      <c r="E409" s="1">
        <v>1.51</v>
      </c>
      <c r="F409" s="1">
        <v>1.51</v>
      </c>
      <c r="G409" s="1">
        <v>1.68</v>
      </c>
      <c r="H409" s="1">
        <v>1</v>
      </c>
      <c r="I409" s="1">
        <v>1</v>
      </c>
      <c r="J409" s="1">
        <v>1.44</v>
      </c>
      <c r="K409" s="1">
        <v>1.44</v>
      </c>
      <c r="L409" s="1">
        <v>1.44</v>
      </c>
      <c r="M409" s="1">
        <v>1.44</v>
      </c>
      <c r="N409" s="1">
        <v>1</v>
      </c>
      <c r="O409" s="1">
        <v>1</v>
      </c>
      <c r="P409" s="1">
        <v>1</v>
      </c>
      <c r="Q409" s="1">
        <v>1</v>
      </c>
      <c r="R409" s="1">
        <v>1</v>
      </c>
      <c r="S409" s="1">
        <v>1</v>
      </c>
      <c r="T409" s="1">
        <v>1</v>
      </c>
      <c r="U409" s="1">
        <v>1</v>
      </c>
      <c r="V409" s="1">
        <v>1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17</v>
      </c>
      <c r="AD409" s="1">
        <v>17</v>
      </c>
      <c r="AE409" s="1">
        <v>1.51</v>
      </c>
      <c r="AF409" s="1">
        <v>1</v>
      </c>
      <c r="AG409" s="1">
        <v>1.44</v>
      </c>
      <c r="AH409" s="1">
        <v>1</v>
      </c>
      <c r="AI409" s="1">
        <v>4.2</v>
      </c>
      <c r="AJ409" s="1">
        <v>1</v>
      </c>
      <c r="AK409" s="1">
        <v>0</v>
      </c>
      <c r="AL409" s="1">
        <v>1</v>
      </c>
      <c r="AM409" s="1">
        <v>1</v>
      </c>
      <c r="AN409" s="1">
        <v>3.04</v>
      </c>
    </row>
    <row r="410" spans="1:40">
      <c r="A410" s="1">
        <v>1818</v>
      </c>
      <c r="C410" s="1">
        <v>1.54</v>
      </c>
      <c r="D410" s="1">
        <v>1.54</v>
      </c>
      <c r="E410" s="1">
        <v>1.54</v>
      </c>
      <c r="F410" s="1">
        <v>1.54</v>
      </c>
      <c r="G410" s="1">
        <v>1.72</v>
      </c>
      <c r="H410" s="1">
        <v>1</v>
      </c>
      <c r="I410" s="1">
        <v>1</v>
      </c>
      <c r="J410" s="1">
        <v>1.46</v>
      </c>
      <c r="K410" s="1">
        <v>1.46</v>
      </c>
      <c r="L410" s="1">
        <v>1.46</v>
      </c>
      <c r="M410" s="1">
        <v>1.46</v>
      </c>
      <c r="N410" s="1">
        <v>1</v>
      </c>
      <c r="O410" s="1">
        <v>1</v>
      </c>
      <c r="P410" s="1">
        <v>1</v>
      </c>
      <c r="Q410" s="1">
        <v>1</v>
      </c>
      <c r="R410" s="1">
        <v>1</v>
      </c>
      <c r="S410" s="1">
        <v>1</v>
      </c>
      <c r="T410" s="1">
        <v>1</v>
      </c>
      <c r="U410" s="1">
        <v>1</v>
      </c>
      <c r="V410" s="1">
        <v>1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18</v>
      </c>
      <c r="AD410" s="1">
        <v>18</v>
      </c>
      <c r="AE410" s="1">
        <v>1.54</v>
      </c>
      <c r="AF410" s="1">
        <v>1</v>
      </c>
      <c r="AG410" s="1">
        <v>1.46</v>
      </c>
      <c r="AH410" s="1">
        <v>1</v>
      </c>
      <c r="AI410" s="1">
        <v>4.4000000000000004</v>
      </c>
      <c r="AJ410" s="1">
        <v>1</v>
      </c>
      <c r="AK410" s="1">
        <v>0</v>
      </c>
      <c r="AL410" s="1">
        <v>1</v>
      </c>
      <c r="AM410" s="1">
        <v>1</v>
      </c>
      <c r="AN410" s="1">
        <v>3.16</v>
      </c>
    </row>
    <row r="411" spans="1:40">
      <c r="A411" s="1">
        <v>1819</v>
      </c>
      <c r="C411" s="1">
        <v>1.57</v>
      </c>
      <c r="D411" s="1">
        <v>1.57</v>
      </c>
      <c r="E411" s="1">
        <v>1.57</v>
      </c>
      <c r="F411" s="1">
        <v>1.57</v>
      </c>
      <c r="G411" s="1">
        <v>1.76</v>
      </c>
      <c r="H411" s="1">
        <v>1</v>
      </c>
      <c r="I411" s="1">
        <v>1</v>
      </c>
      <c r="J411" s="1">
        <v>1.48</v>
      </c>
      <c r="K411" s="1">
        <v>1.48</v>
      </c>
      <c r="L411" s="1">
        <v>1.48</v>
      </c>
      <c r="M411" s="1">
        <v>1.48</v>
      </c>
      <c r="N411" s="1">
        <v>1</v>
      </c>
      <c r="O411" s="1">
        <v>1</v>
      </c>
      <c r="P411" s="1">
        <v>1</v>
      </c>
      <c r="Q411" s="1">
        <v>1</v>
      </c>
      <c r="R411" s="1">
        <v>1</v>
      </c>
      <c r="S411" s="1">
        <v>1</v>
      </c>
      <c r="T411" s="1">
        <v>1</v>
      </c>
      <c r="U411" s="1">
        <v>1</v>
      </c>
      <c r="V411" s="1">
        <v>1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19</v>
      </c>
      <c r="AD411" s="1">
        <v>19</v>
      </c>
      <c r="AE411" s="1">
        <v>1.57</v>
      </c>
      <c r="AF411" s="1">
        <v>1</v>
      </c>
      <c r="AG411" s="1">
        <v>1.48</v>
      </c>
      <c r="AH411" s="1">
        <v>1</v>
      </c>
      <c r="AI411" s="1">
        <v>4.5999999999999996</v>
      </c>
      <c r="AJ411" s="1">
        <v>1</v>
      </c>
      <c r="AK411" s="1">
        <v>0</v>
      </c>
      <c r="AL411" s="1">
        <v>1</v>
      </c>
      <c r="AM411" s="1">
        <v>1</v>
      </c>
      <c r="AN411" s="1">
        <v>3.28</v>
      </c>
    </row>
    <row r="412" spans="1:40">
      <c r="A412" s="1">
        <v>1820</v>
      </c>
      <c r="C412" s="1">
        <v>1.6</v>
      </c>
      <c r="D412" s="1">
        <v>1.6</v>
      </c>
      <c r="E412" s="1">
        <v>1.6</v>
      </c>
      <c r="F412" s="1">
        <v>1.6</v>
      </c>
      <c r="G412" s="1">
        <v>1.8</v>
      </c>
      <c r="H412" s="1">
        <v>1</v>
      </c>
      <c r="I412" s="1">
        <v>1</v>
      </c>
      <c r="J412" s="1">
        <v>1.5</v>
      </c>
      <c r="K412" s="1">
        <v>1.5</v>
      </c>
      <c r="L412" s="1">
        <v>1.5</v>
      </c>
      <c r="M412" s="1">
        <v>1.5</v>
      </c>
      <c r="N412" s="1">
        <v>1</v>
      </c>
      <c r="O412" s="1">
        <v>1</v>
      </c>
      <c r="P412" s="1">
        <v>1</v>
      </c>
      <c r="Q412" s="1">
        <v>1</v>
      </c>
      <c r="R412" s="1">
        <v>1</v>
      </c>
      <c r="S412" s="1">
        <v>1</v>
      </c>
      <c r="T412" s="1">
        <v>1</v>
      </c>
      <c r="U412" s="1">
        <v>1</v>
      </c>
      <c r="V412" s="1">
        <v>1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20</v>
      </c>
      <c r="AD412" s="1">
        <v>20</v>
      </c>
      <c r="AE412" s="1">
        <v>1.6</v>
      </c>
      <c r="AF412" s="1">
        <v>1</v>
      </c>
      <c r="AG412" s="1">
        <v>1.5</v>
      </c>
      <c r="AH412" s="1">
        <v>1</v>
      </c>
      <c r="AI412" s="1">
        <v>4.8</v>
      </c>
      <c r="AJ412" s="1">
        <v>1</v>
      </c>
      <c r="AK412" s="1">
        <v>0</v>
      </c>
      <c r="AL412" s="1">
        <v>1</v>
      </c>
      <c r="AM412" s="1">
        <v>1</v>
      </c>
      <c r="AN412" s="1">
        <v>3.4</v>
      </c>
    </row>
    <row r="413" spans="1:40">
      <c r="A413" s="1">
        <v>1821</v>
      </c>
      <c r="C413" s="1">
        <v>1.63</v>
      </c>
      <c r="D413" s="1">
        <v>1.63</v>
      </c>
      <c r="E413" s="1">
        <v>1.63</v>
      </c>
      <c r="F413" s="1">
        <v>1.63</v>
      </c>
      <c r="G413" s="1">
        <v>1.84</v>
      </c>
      <c r="H413" s="1">
        <v>1</v>
      </c>
      <c r="I413" s="1">
        <v>1</v>
      </c>
      <c r="J413" s="1">
        <v>1.52</v>
      </c>
      <c r="K413" s="1">
        <v>1.52</v>
      </c>
      <c r="L413" s="1">
        <v>1.52</v>
      </c>
      <c r="M413" s="1">
        <v>1.52</v>
      </c>
      <c r="N413" s="1">
        <v>1</v>
      </c>
      <c r="O413" s="1">
        <v>1</v>
      </c>
      <c r="P413" s="1">
        <v>1</v>
      </c>
      <c r="Q413" s="1">
        <v>1</v>
      </c>
      <c r="R413" s="1">
        <v>1</v>
      </c>
      <c r="S413" s="1">
        <v>1</v>
      </c>
      <c r="T413" s="1">
        <v>1</v>
      </c>
      <c r="U413" s="1">
        <v>1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21</v>
      </c>
      <c r="AD413" s="1">
        <v>21</v>
      </c>
      <c r="AE413" s="1">
        <v>1.63</v>
      </c>
      <c r="AF413" s="1">
        <v>1</v>
      </c>
      <c r="AG413" s="1">
        <v>1.52</v>
      </c>
      <c r="AH413" s="1">
        <v>1</v>
      </c>
      <c r="AI413" s="1">
        <v>5</v>
      </c>
      <c r="AJ413" s="1">
        <v>1</v>
      </c>
      <c r="AK413" s="1">
        <v>0</v>
      </c>
      <c r="AL413" s="1">
        <v>1</v>
      </c>
      <c r="AM413" s="1">
        <v>1</v>
      </c>
      <c r="AN413" s="1">
        <v>3.52</v>
      </c>
    </row>
    <row r="414" spans="1:40">
      <c r="A414" s="1">
        <v>1822</v>
      </c>
      <c r="C414" s="1">
        <v>1.66</v>
      </c>
      <c r="D414" s="1">
        <v>1.66</v>
      </c>
      <c r="E414" s="1">
        <v>1.66</v>
      </c>
      <c r="F414" s="1">
        <v>1.66</v>
      </c>
      <c r="G414" s="1">
        <v>1.88</v>
      </c>
      <c r="H414" s="1">
        <v>1</v>
      </c>
      <c r="I414" s="1">
        <v>1</v>
      </c>
      <c r="J414" s="1">
        <v>1.54</v>
      </c>
      <c r="K414" s="1">
        <v>1.54</v>
      </c>
      <c r="L414" s="1">
        <v>1.54</v>
      </c>
      <c r="M414" s="1">
        <v>1.54</v>
      </c>
      <c r="N414" s="1">
        <v>1</v>
      </c>
      <c r="O414" s="1">
        <v>1</v>
      </c>
      <c r="P414" s="1">
        <v>1</v>
      </c>
      <c r="Q414" s="1">
        <v>1</v>
      </c>
      <c r="R414" s="1">
        <v>1</v>
      </c>
      <c r="S414" s="1">
        <v>1</v>
      </c>
      <c r="T414" s="1">
        <v>1</v>
      </c>
      <c r="U414" s="1">
        <v>1</v>
      </c>
      <c r="V414" s="1">
        <v>1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22</v>
      </c>
      <c r="AD414" s="1">
        <v>22</v>
      </c>
      <c r="AE414" s="1">
        <v>1.66</v>
      </c>
      <c r="AF414" s="1">
        <v>1</v>
      </c>
      <c r="AG414" s="1">
        <v>1.54</v>
      </c>
      <c r="AH414" s="1">
        <v>1</v>
      </c>
      <c r="AI414" s="1">
        <v>5.2</v>
      </c>
      <c r="AJ414" s="1">
        <v>1</v>
      </c>
      <c r="AK414" s="1">
        <v>0</v>
      </c>
      <c r="AL414" s="1">
        <v>1</v>
      </c>
      <c r="AM414" s="1">
        <v>1</v>
      </c>
      <c r="AN414" s="1">
        <v>3.64</v>
      </c>
    </row>
    <row r="415" spans="1:40">
      <c r="A415" s="1">
        <v>1823</v>
      </c>
      <c r="C415" s="1">
        <v>1.69</v>
      </c>
      <c r="D415" s="1">
        <v>1.69</v>
      </c>
      <c r="E415" s="1">
        <v>1.69</v>
      </c>
      <c r="F415" s="1">
        <v>1.69</v>
      </c>
      <c r="G415" s="1">
        <v>1.92</v>
      </c>
      <c r="H415" s="1">
        <v>1</v>
      </c>
      <c r="I415" s="1">
        <v>1</v>
      </c>
      <c r="J415" s="1">
        <v>1.56</v>
      </c>
      <c r="K415" s="1">
        <v>1.56</v>
      </c>
      <c r="L415" s="1">
        <v>1.56</v>
      </c>
      <c r="M415" s="1">
        <v>1.56</v>
      </c>
      <c r="N415" s="1">
        <v>1</v>
      </c>
      <c r="O415" s="1">
        <v>1</v>
      </c>
      <c r="P415" s="1">
        <v>1</v>
      </c>
      <c r="Q415" s="1">
        <v>1</v>
      </c>
      <c r="R415" s="1">
        <v>1</v>
      </c>
      <c r="S415" s="1">
        <v>1</v>
      </c>
      <c r="T415" s="1">
        <v>1</v>
      </c>
      <c r="U415" s="1">
        <v>1</v>
      </c>
      <c r="V415" s="1">
        <v>1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23</v>
      </c>
      <c r="AD415" s="1">
        <v>23</v>
      </c>
      <c r="AE415" s="1">
        <v>1.69</v>
      </c>
      <c r="AF415" s="1">
        <v>1</v>
      </c>
      <c r="AG415" s="1">
        <v>1.56</v>
      </c>
      <c r="AH415" s="1">
        <v>1</v>
      </c>
      <c r="AI415" s="1">
        <v>5.4</v>
      </c>
      <c r="AJ415" s="1">
        <v>1</v>
      </c>
      <c r="AK415" s="1">
        <v>0</v>
      </c>
      <c r="AL415" s="1">
        <v>1</v>
      </c>
      <c r="AM415" s="1">
        <v>1</v>
      </c>
      <c r="AN415" s="1">
        <v>3.76</v>
      </c>
    </row>
    <row r="416" spans="1:40">
      <c r="A416" s="1">
        <v>1824</v>
      </c>
      <c r="C416" s="1">
        <v>1.72</v>
      </c>
      <c r="D416" s="1">
        <v>1.72</v>
      </c>
      <c r="E416" s="1">
        <v>1.72</v>
      </c>
      <c r="F416" s="1">
        <v>1.72</v>
      </c>
      <c r="G416" s="1">
        <v>1.96</v>
      </c>
      <c r="H416" s="1">
        <v>1</v>
      </c>
      <c r="I416" s="1">
        <v>1</v>
      </c>
      <c r="J416" s="1">
        <v>1.58</v>
      </c>
      <c r="K416" s="1">
        <v>1.58</v>
      </c>
      <c r="L416" s="1">
        <v>1.58</v>
      </c>
      <c r="M416" s="1">
        <v>1.58</v>
      </c>
      <c r="N416" s="1">
        <v>1</v>
      </c>
      <c r="O416" s="1">
        <v>1</v>
      </c>
      <c r="P416" s="1">
        <v>1</v>
      </c>
      <c r="Q416" s="1">
        <v>1</v>
      </c>
      <c r="R416" s="1">
        <v>1</v>
      </c>
      <c r="S416" s="1">
        <v>1</v>
      </c>
      <c r="T416" s="1">
        <v>1</v>
      </c>
      <c r="U416" s="1">
        <v>1</v>
      </c>
      <c r="V416" s="1">
        <v>1</v>
      </c>
      <c r="W416" s="1">
        <v>0</v>
      </c>
      <c r="X416" s="1">
        <v>0</v>
      </c>
      <c r="Y416" s="1">
        <v>0</v>
      </c>
      <c r="Z416" s="1">
        <v>0</v>
      </c>
      <c r="AA416" s="1">
        <v>0</v>
      </c>
      <c r="AB416" s="1">
        <v>0</v>
      </c>
      <c r="AC416" s="1">
        <v>24</v>
      </c>
      <c r="AD416" s="1">
        <v>24</v>
      </c>
      <c r="AE416" s="1">
        <v>1.72</v>
      </c>
      <c r="AF416" s="1">
        <v>1</v>
      </c>
      <c r="AG416" s="1">
        <v>1.58</v>
      </c>
      <c r="AH416" s="1">
        <v>1</v>
      </c>
      <c r="AI416" s="1">
        <v>5.6</v>
      </c>
      <c r="AJ416" s="1">
        <v>1</v>
      </c>
      <c r="AK416" s="1">
        <v>0</v>
      </c>
      <c r="AL416" s="1">
        <v>1</v>
      </c>
      <c r="AM416" s="1">
        <v>1</v>
      </c>
      <c r="AN416" s="1">
        <v>3.88</v>
      </c>
    </row>
    <row r="417" spans="1:40">
      <c r="A417" s="1">
        <v>1825</v>
      </c>
      <c r="C417" s="1">
        <v>1.75</v>
      </c>
      <c r="D417" s="1">
        <v>1.75</v>
      </c>
      <c r="E417" s="1">
        <v>1.75</v>
      </c>
      <c r="F417" s="1">
        <v>1.75</v>
      </c>
      <c r="G417" s="1">
        <v>2</v>
      </c>
      <c r="H417" s="1">
        <v>1</v>
      </c>
      <c r="I417" s="1">
        <v>1</v>
      </c>
      <c r="J417" s="1">
        <v>1.6</v>
      </c>
      <c r="K417" s="1">
        <v>1.6</v>
      </c>
      <c r="L417" s="1">
        <v>1.6</v>
      </c>
      <c r="M417" s="1">
        <v>1.6</v>
      </c>
      <c r="N417" s="1">
        <v>1</v>
      </c>
      <c r="O417" s="1">
        <v>1</v>
      </c>
      <c r="P417" s="1">
        <v>1</v>
      </c>
      <c r="Q417" s="1">
        <v>1</v>
      </c>
      <c r="R417" s="1">
        <v>1</v>
      </c>
      <c r="S417" s="1">
        <v>1</v>
      </c>
      <c r="T417" s="1">
        <v>1</v>
      </c>
      <c r="U417" s="1">
        <v>1</v>
      </c>
      <c r="V417" s="1">
        <v>1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25</v>
      </c>
      <c r="AD417" s="1">
        <v>25</v>
      </c>
      <c r="AE417" s="1">
        <v>1.75</v>
      </c>
      <c r="AF417" s="1">
        <v>1</v>
      </c>
      <c r="AG417" s="1">
        <v>1.6</v>
      </c>
      <c r="AH417" s="1">
        <v>1</v>
      </c>
      <c r="AI417" s="1">
        <v>5.8</v>
      </c>
      <c r="AJ417" s="1">
        <v>1</v>
      </c>
      <c r="AK417" s="1">
        <v>0</v>
      </c>
      <c r="AL417" s="1">
        <v>1</v>
      </c>
      <c r="AM417" s="1">
        <v>1</v>
      </c>
      <c r="AN417" s="1">
        <v>4</v>
      </c>
    </row>
    <row r="418" spans="1:40">
      <c r="A418" s="1">
        <v>1900</v>
      </c>
      <c r="C418" s="1">
        <v>1</v>
      </c>
      <c r="D418" s="1">
        <v>1</v>
      </c>
      <c r="E418" s="1">
        <v>1</v>
      </c>
      <c r="F418" s="1">
        <v>1</v>
      </c>
      <c r="G418" s="1">
        <v>1</v>
      </c>
      <c r="H418" s="1">
        <v>1</v>
      </c>
      <c r="I418" s="1">
        <v>1</v>
      </c>
      <c r="J418" s="1">
        <v>1</v>
      </c>
      <c r="K418" s="1">
        <v>1</v>
      </c>
      <c r="L418" s="1">
        <v>1</v>
      </c>
      <c r="M418" s="1">
        <v>1</v>
      </c>
      <c r="N418" s="1">
        <v>1</v>
      </c>
      <c r="O418" s="1">
        <v>1</v>
      </c>
      <c r="P418" s="1">
        <v>1</v>
      </c>
      <c r="Q418" s="1">
        <v>1</v>
      </c>
      <c r="R418" s="1">
        <v>1</v>
      </c>
      <c r="S418" s="1">
        <v>1</v>
      </c>
      <c r="T418" s="1">
        <v>1</v>
      </c>
      <c r="U418" s="1">
        <v>1</v>
      </c>
      <c r="V418" s="1">
        <v>1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1</v>
      </c>
      <c r="AF418" s="1">
        <v>1</v>
      </c>
      <c r="AG418" s="1">
        <v>1</v>
      </c>
      <c r="AH418" s="1">
        <v>1</v>
      </c>
      <c r="AI418" s="1">
        <v>1</v>
      </c>
      <c r="AJ418" s="1">
        <v>1</v>
      </c>
      <c r="AK418" s="1">
        <v>0</v>
      </c>
      <c r="AL418" s="1">
        <v>1</v>
      </c>
      <c r="AM418" s="1">
        <v>1</v>
      </c>
      <c r="AN418" s="1">
        <v>1</v>
      </c>
    </row>
    <row r="419" spans="1:40">
      <c r="A419" s="1">
        <v>1901</v>
      </c>
      <c r="C419" s="1">
        <v>1.03</v>
      </c>
      <c r="D419" s="1">
        <v>1.03</v>
      </c>
      <c r="E419" s="1">
        <v>1.03</v>
      </c>
      <c r="F419" s="1">
        <v>1.03</v>
      </c>
      <c r="G419" s="1">
        <v>1.04</v>
      </c>
      <c r="H419" s="1">
        <v>1</v>
      </c>
      <c r="I419" s="1">
        <v>1</v>
      </c>
      <c r="J419" s="1">
        <v>1.08</v>
      </c>
      <c r="K419" s="1">
        <v>1.08</v>
      </c>
      <c r="L419" s="1">
        <v>1.08</v>
      </c>
      <c r="M419" s="1">
        <v>1.08</v>
      </c>
      <c r="N419" s="1">
        <v>1</v>
      </c>
      <c r="O419" s="1">
        <v>1</v>
      </c>
      <c r="P419" s="1">
        <v>1</v>
      </c>
      <c r="Q419" s="1">
        <v>1</v>
      </c>
      <c r="R419" s="1">
        <v>1</v>
      </c>
      <c r="S419" s="1">
        <v>1</v>
      </c>
      <c r="T419" s="1">
        <v>1</v>
      </c>
      <c r="U419" s="1">
        <v>1</v>
      </c>
      <c r="V419" s="1">
        <v>1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1</v>
      </c>
      <c r="AD419" s="1">
        <v>1</v>
      </c>
      <c r="AE419" s="1">
        <v>1.03</v>
      </c>
      <c r="AF419" s="1">
        <v>1</v>
      </c>
      <c r="AG419" s="1">
        <v>1.08</v>
      </c>
      <c r="AH419" s="1">
        <v>1</v>
      </c>
      <c r="AI419" s="1">
        <v>1</v>
      </c>
      <c r="AJ419" s="1">
        <v>1</v>
      </c>
      <c r="AK419" s="1">
        <v>0</v>
      </c>
      <c r="AL419" s="1">
        <v>1</v>
      </c>
      <c r="AM419" s="1">
        <v>1</v>
      </c>
      <c r="AN419" s="1">
        <v>1.1200000000000001</v>
      </c>
    </row>
    <row r="420" spans="1:40">
      <c r="A420" s="1">
        <v>1902</v>
      </c>
      <c r="C420" s="1">
        <v>1.06</v>
      </c>
      <c r="D420" s="1">
        <v>1.06</v>
      </c>
      <c r="E420" s="1">
        <v>1.06</v>
      </c>
      <c r="F420" s="1">
        <v>1.06</v>
      </c>
      <c r="G420" s="1">
        <v>1.08</v>
      </c>
      <c r="H420" s="1">
        <v>1</v>
      </c>
      <c r="I420" s="1">
        <v>1</v>
      </c>
      <c r="J420" s="1">
        <v>1.1599999999999999</v>
      </c>
      <c r="K420" s="1">
        <v>1.1599999999999999</v>
      </c>
      <c r="L420" s="1">
        <v>1.1599999999999999</v>
      </c>
      <c r="M420" s="1">
        <v>1.1599999999999999</v>
      </c>
      <c r="N420" s="1">
        <v>1</v>
      </c>
      <c r="O420" s="1">
        <v>1</v>
      </c>
      <c r="P420" s="1">
        <v>1</v>
      </c>
      <c r="Q420" s="1">
        <v>1</v>
      </c>
      <c r="R420" s="1">
        <v>1</v>
      </c>
      <c r="S420" s="1">
        <v>1</v>
      </c>
      <c r="T420" s="1">
        <v>1</v>
      </c>
      <c r="U420" s="1">
        <v>1</v>
      </c>
      <c r="V420" s="1">
        <v>1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2</v>
      </c>
      <c r="AD420" s="1">
        <v>2</v>
      </c>
      <c r="AE420" s="1">
        <v>1.06</v>
      </c>
      <c r="AF420" s="1">
        <v>1</v>
      </c>
      <c r="AG420" s="1">
        <v>1.1599999999999999</v>
      </c>
      <c r="AH420" s="1">
        <v>1</v>
      </c>
      <c r="AI420" s="1">
        <v>1.2</v>
      </c>
      <c r="AJ420" s="1">
        <v>1</v>
      </c>
      <c r="AK420" s="1">
        <v>0</v>
      </c>
      <c r="AL420" s="1">
        <v>1</v>
      </c>
      <c r="AM420" s="1">
        <v>1</v>
      </c>
      <c r="AN420" s="1">
        <v>1.24</v>
      </c>
    </row>
    <row r="421" spans="1:40">
      <c r="A421" s="1">
        <v>1903</v>
      </c>
      <c r="C421" s="1">
        <v>1.0900000000000001</v>
      </c>
      <c r="D421" s="1">
        <v>1.0900000000000001</v>
      </c>
      <c r="E421" s="1">
        <v>1.0900000000000001</v>
      </c>
      <c r="F421" s="1">
        <v>1.0900000000000001</v>
      </c>
      <c r="G421" s="1">
        <v>1.1200000000000001</v>
      </c>
      <c r="H421" s="1">
        <v>1</v>
      </c>
      <c r="I421" s="1">
        <v>1</v>
      </c>
      <c r="J421" s="1">
        <v>1.24</v>
      </c>
      <c r="K421" s="1">
        <v>1.24</v>
      </c>
      <c r="L421" s="1">
        <v>1.24</v>
      </c>
      <c r="M421" s="1">
        <v>1.24</v>
      </c>
      <c r="N421" s="1">
        <v>1</v>
      </c>
      <c r="O421" s="1">
        <v>1</v>
      </c>
      <c r="P421" s="1">
        <v>1</v>
      </c>
      <c r="Q421" s="1">
        <v>1</v>
      </c>
      <c r="R421" s="1">
        <v>1</v>
      </c>
      <c r="S421" s="1">
        <v>1</v>
      </c>
      <c r="T421" s="1">
        <v>1</v>
      </c>
      <c r="U421" s="1">
        <v>1</v>
      </c>
      <c r="V421" s="1">
        <v>1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3</v>
      </c>
      <c r="AD421" s="1">
        <v>3</v>
      </c>
      <c r="AE421" s="1">
        <v>1.0900000000000001</v>
      </c>
      <c r="AF421" s="1">
        <v>1</v>
      </c>
      <c r="AG421" s="1">
        <v>1.24</v>
      </c>
      <c r="AH421" s="1">
        <v>1</v>
      </c>
      <c r="AI421" s="1">
        <v>1.4</v>
      </c>
      <c r="AJ421" s="1">
        <v>1</v>
      </c>
      <c r="AK421" s="1">
        <v>0</v>
      </c>
      <c r="AL421" s="1">
        <v>1</v>
      </c>
      <c r="AM421" s="1">
        <v>1</v>
      </c>
      <c r="AN421" s="1">
        <v>1.36</v>
      </c>
    </row>
    <row r="422" spans="1:40">
      <c r="A422" s="1">
        <v>1904</v>
      </c>
      <c r="C422" s="1">
        <v>1.1200000000000001</v>
      </c>
      <c r="D422" s="1">
        <v>1.1200000000000001</v>
      </c>
      <c r="E422" s="1">
        <v>1.1200000000000001</v>
      </c>
      <c r="F422" s="1">
        <v>1.1200000000000001</v>
      </c>
      <c r="G422" s="1">
        <v>1.1599999999999999</v>
      </c>
      <c r="H422" s="1">
        <v>1</v>
      </c>
      <c r="I422" s="1">
        <v>1</v>
      </c>
      <c r="J422" s="1">
        <v>1.32</v>
      </c>
      <c r="K422" s="1">
        <v>1.32</v>
      </c>
      <c r="L422" s="1">
        <v>1.32</v>
      </c>
      <c r="M422" s="1">
        <v>1.32</v>
      </c>
      <c r="N422" s="1">
        <v>1</v>
      </c>
      <c r="O422" s="1">
        <v>1</v>
      </c>
      <c r="P422" s="1">
        <v>1</v>
      </c>
      <c r="Q422" s="1">
        <v>1</v>
      </c>
      <c r="R422" s="1">
        <v>1</v>
      </c>
      <c r="S422" s="1">
        <v>1</v>
      </c>
      <c r="T422" s="1">
        <v>1</v>
      </c>
      <c r="U422" s="1">
        <v>1</v>
      </c>
      <c r="V422" s="1">
        <v>1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4</v>
      </c>
      <c r="AD422" s="1">
        <v>4</v>
      </c>
      <c r="AE422" s="1">
        <v>1.1200000000000001</v>
      </c>
      <c r="AF422" s="1">
        <v>1</v>
      </c>
      <c r="AG422" s="1">
        <v>1.32</v>
      </c>
      <c r="AH422" s="1">
        <v>1</v>
      </c>
      <c r="AI422" s="1">
        <v>1.6</v>
      </c>
      <c r="AJ422" s="1">
        <v>1</v>
      </c>
      <c r="AK422" s="1">
        <v>0</v>
      </c>
      <c r="AL422" s="1">
        <v>1</v>
      </c>
      <c r="AM422" s="1">
        <v>1</v>
      </c>
      <c r="AN422" s="1">
        <v>1.48</v>
      </c>
    </row>
    <row r="423" spans="1:40">
      <c r="A423" s="1">
        <v>1905</v>
      </c>
      <c r="C423" s="1">
        <v>1.1499999999999999</v>
      </c>
      <c r="D423" s="1">
        <v>1.1499999999999999</v>
      </c>
      <c r="E423" s="1">
        <v>1.1499999999999999</v>
      </c>
      <c r="F423" s="1">
        <v>1.1499999999999999</v>
      </c>
      <c r="G423" s="1">
        <v>1.2</v>
      </c>
      <c r="H423" s="1">
        <v>1</v>
      </c>
      <c r="I423" s="1">
        <v>1</v>
      </c>
      <c r="J423" s="1">
        <v>1.4</v>
      </c>
      <c r="K423" s="1">
        <v>1.4</v>
      </c>
      <c r="L423" s="1">
        <v>1.4</v>
      </c>
      <c r="M423" s="1">
        <v>1.4</v>
      </c>
      <c r="N423" s="1">
        <v>1</v>
      </c>
      <c r="O423" s="1">
        <v>1</v>
      </c>
      <c r="P423" s="1">
        <v>1</v>
      </c>
      <c r="Q423" s="1">
        <v>1</v>
      </c>
      <c r="R423" s="1">
        <v>1</v>
      </c>
      <c r="S423" s="1">
        <v>1</v>
      </c>
      <c r="T423" s="1">
        <v>1</v>
      </c>
      <c r="U423" s="1">
        <v>1</v>
      </c>
      <c r="V423" s="1">
        <v>1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v>5</v>
      </c>
      <c r="AD423" s="1">
        <v>5</v>
      </c>
      <c r="AE423" s="1">
        <v>1.1499999999999999</v>
      </c>
      <c r="AF423" s="1">
        <v>1</v>
      </c>
      <c r="AG423" s="1">
        <v>1.4</v>
      </c>
      <c r="AH423" s="1">
        <v>1</v>
      </c>
      <c r="AI423" s="1">
        <v>1.8</v>
      </c>
      <c r="AJ423" s="1">
        <v>1</v>
      </c>
      <c r="AK423" s="1">
        <v>0</v>
      </c>
      <c r="AL423" s="1">
        <v>1</v>
      </c>
      <c r="AM423" s="1">
        <v>1</v>
      </c>
      <c r="AN423" s="1">
        <v>1.6</v>
      </c>
    </row>
    <row r="424" spans="1:40">
      <c r="A424" s="1">
        <v>1906</v>
      </c>
      <c r="C424" s="1">
        <v>1.18</v>
      </c>
      <c r="D424" s="1">
        <v>1.18</v>
      </c>
      <c r="E424" s="1">
        <v>1.18</v>
      </c>
      <c r="F424" s="1">
        <v>1.18</v>
      </c>
      <c r="G424" s="1">
        <v>1.24</v>
      </c>
      <c r="H424" s="1">
        <v>1</v>
      </c>
      <c r="I424" s="1">
        <v>1</v>
      </c>
      <c r="J424" s="1">
        <v>1.48</v>
      </c>
      <c r="K424" s="1">
        <v>1.48</v>
      </c>
      <c r="L424" s="1">
        <v>1.48</v>
      </c>
      <c r="M424" s="1">
        <v>1.48</v>
      </c>
      <c r="N424" s="1">
        <v>1</v>
      </c>
      <c r="O424" s="1">
        <v>1</v>
      </c>
      <c r="P424" s="1">
        <v>1</v>
      </c>
      <c r="Q424" s="1">
        <v>1</v>
      </c>
      <c r="R424" s="1">
        <v>1</v>
      </c>
      <c r="S424" s="1">
        <v>1</v>
      </c>
      <c r="T424" s="1">
        <v>1</v>
      </c>
      <c r="U424" s="1">
        <v>1</v>
      </c>
      <c r="V424" s="1">
        <v>1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6</v>
      </c>
      <c r="AD424" s="1">
        <v>6</v>
      </c>
      <c r="AE424" s="1">
        <v>1.18</v>
      </c>
      <c r="AF424" s="1">
        <v>1</v>
      </c>
      <c r="AG424" s="1">
        <v>1.48</v>
      </c>
      <c r="AH424" s="1">
        <v>1</v>
      </c>
      <c r="AI424" s="1">
        <v>2</v>
      </c>
      <c r="AJ424" s="1">
        <v>1</v>
      </c>
      <c r="AK424" s="1">
        <v>0</v>
      </c>
      <c r="AL424" s="1">
        <v>1</v>
      </c>
      <c r="AM424" s="1">
        <v>1</v>
      </c>
      <c r="AN424" s="1">
        <v>1.72</v>
      </c>
    </row>
    <row r="425" spans="1:40">
      <c r="A425" s="1">
        <v>1907</v>
      </c>
      <c r="C425" s="1">
        <v>1.21</v>
      </c>
      <c r="D425" s="1">
        <v>1.21</v>
      </c>
      <c r="E425" s="1">
        <v>1.21</v>
      </c>
      <c r="F425" s="1">
        <v>1.21</v>
      </c>
      <c r="G425" s="1">
        <v>1.28</v>
      </c>
      <c r="H425" s="1">
        <v>1</v>
      </c>
      <c r="I425" s="1">
        <v>1</v>
      </c>
      <c r="J425" s="1">
        <v>1.56</v>
      </c>
      <c r="K425" s="1">
        <v>1.56</v>
      </c>
      <c r="L425" s="1">
        <v>1.56</v>
      </c>
      <c r="M425" s="1">
        <v>1.56</v>
      </c>
      <c r="N425" s="1">
        <v>1</v>
      </c>
      <c r="O425" s="1">
        <v>1</v>
      </c>
      <c r="P425" s="1">
        <v>1</v>
      </c>
      <c r="Q425" s="1">
        <v>1</v>
      </c>
      <c r="R425" s="1">
        <v>1</v>
      </c>
      <c r="S425" s="1">
        <v>1</v>
      </c>
      <c r="T425" s="1">
        <v>1</v>
      </c>
      <c r="U425" s="1">
        <v>1</v>
      </c>
      <c r="V425" s="1">
        <v>1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7</v>
      </c>
      <c r="AD425" s="1">
        <v>7</v>
      </c>
      <c r="AE425" s="1">
        <v>1.21</v>
      </c>
      <c r="AF425" s="1">
        <v>1</v>
      </c>
      <c r="AG425" s="1">
        <v>1.56</v>
      </c>
      <c r="AH425" s="1">
        <v>1</v>
      </c>
      <c r="AI425" s="1">
        <v>2.2000000000000002</v>
      </c>
      <c r="AJ425" s="1">
        <v>1</v>
      </c>
      <c r="AK425" s="1">
        <v>0</v>
      </c>
      <c r="AL425" s="1">
        <v>1</v>
      </c>
      <c r="AM425" s="1">
        <v>1</v>
      </c>
      <c r="AN425" s="1">
        <v>1.84</v>
      </c>
    </row>
    <row r="426" spans="1:40">
      <c r="A426" s="1">
        <v>1908</v>
      </c>
      <c r="C426" s="1">
        <v>1.24</v>
      </c>
      <c r="D426" s="1">
        <v>1.24</v>
      </c>
      <c r="E426" s="1">
        <v>1.24</v>
      </c>
      <c r="F426" s="1">
        <v>1.24</v>
      </c>
      <c r="G426" s="1">
        <v>1.32</v>
      </c>
      <c r="H426" s="1">
        <v>1</v>
      </c>
      <c r="I426" s="1">
        <v>1</v>
      </c>
      <c r="J426" s="1">
        <v>1.64</v>
      </c>
      <c r="K426" s="1">
        <v>1.64</v>
      </c>
      <c r="L426" s="1">
        <v>1.64</v>
      </c>
      <c r="M426" s="1">
        <v>1.64</v>
      </c>
      <c r="N426" s="1">
        <v>1</v>
      </c>
      <c r="O426" s="1">
        <v>1</v>
      </c>
      <c r="P426" s="1">
        <v>1</v>
      </c>
      <c r="Q426" s="1">
        <v>1</v>
      </c>
      <c r="R426" s="1">
        <v>1</v>
      </c>
      <c r="S426" s="1">
        <v>1</v>
      </c>
      <c r="T426" s="1">
        <v>1</v>
      </c>
      <c r="U426" s="1">
        <v>1</v>
      </c>
      <c r="V426" s="1">
        <v>1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8</v>
      </c>
      <c r="AD426" s="1">
        <v>8</v>
      </c>
      <c r="AE426" s="1">
        <v>1.24</v>
      </c>
      <c r="AF426" s="1">
        <v>1</v>
      </c>
      <c r="AG426" s="1">
        <v>1.64</v>
      </c>
      <c r="AH426" s="1">
        <v>1</v>
      </c>
      <c r="AI426" s="1">
        <v>2.4</v>
      </c>
      <c r="AJ426" s="1">
        <v>1</v>
      </c>
      <c r="AK426" s="1">
        <v>0</v>
      </c>
      <c r="AL426" s="1">
        <v>1</v>
      </c>
      <c r="AM426" s="1">
        <v>1</v>
      </c>
      <c r="AN426" s="1">
        <v>1.96</v>
      </c>
    </row>
    <row r="427" spans="1:40">
      <c r="A427" s="1">
        <v>1909</v>
      </c>
      <c r="C427" s="1">
        <v>1.27</v>
      </c>
      <c r="D427" s="1">
        <v>1.27</v>
      </c>
      <c r="E427" s="1">
        <v>1.27</v>
      </c>
      <c r="F427" s="1">
        <v>1.27</v>
      </c>
      <c r="G427" s="1">
        <v>1.36</v>
      </c>
      <c r="H427" s="1">
        <v>1</v>
      </c>
      <c r="I427" s="1">
        <v>1</v>
      </c>
      <c r="J427" s="1">
        <v>1.72</v>
      </c>
      <c r="K427" s="1">
        <v>1.72</v>
      </c>
      <c r="L427" s="1">
        <v>1.72</v>
      </c>
      <c r="M427" s="1">
        <v>1.72</v>
      </c>
      <c r="N427" s="1">
        <v>1</v>
      </c>
      <c r="O427" s="1">
        <v>1</v>
      </c>
      <c r="P427" s="1">
        <v>1</v>
      </c>
      <c r="Q427" s="1">
        <v>1</v>
      </c>
      <c r="R427" s="1">
        <v>1</v>
      </c>
      <c r="S427" s="1">
        <v>1</v>
      </c>
      <c r="T427" s="1">
        <v>1</v>
      </c>
      <c r="U427" s="1">
        <v>1</v>
      </c>
      <c r="V427" s="1">
        <v>1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9</v>
      </c>
      <c r="AD427" s="1">
        <v>9</v>
      </c>
      <c r="AE427" s="1">
        <v>1.27</v>
      </c>
      <c r="AF427" s="1">
        <v>1</v>
      </c>
      <c r="AG427" s="1">
        <v>1.72</v>
      </c>
      <c r="AH427" s="1">
        <v>1</v>
      </c>
      <c r="AI427" s="1">
        <v>2.6</v>
      </c>
      <c r="AJ427" s="1">
        <v>1</v>
      </c>
      <c r="AK427" s="1">
        <v>0</v>
      </c>
      <c r="AL427" s="1">
        <v>1</v>
      </c>
      <c r="AM427" s="1">
        <v>1</v>
      </c>
      <c r="AN427" s="1">
        <v>2.08</v>
      </c>
    </row>
    <row r="428" spans="1:40">
      <c r="A428" s="1">
        <v>1910</v>
      </c>
      <c r="C428" s="1">
        <v>1.3</v>
      </c>
      <c r="D428" s="1">
        <v>1.3</v>
      </c>
      <c r="E428" s="1">
        <v>1.3</v>
      </c>
      <c r="F428" s="1">
        <v>1.3</v>
      </c>
      <c r="G428" s="1">
        <v>1.4</v>
      </c>
      <c r="H428" s="1">
        <v>1</v>
      </c>
      <c r="I428" s="1">
        <v>1</v>
      </c>
      <c r="J428" s="1">
        <v>1.8</v>
      </c>
      <c r="K428" s="1">
        <v>1.8</v>
      </c>
      <c r="L428" s="1">
        <v>1.8</v>
      </c>
      <c r="M428" s="1">
        <v>1.8</v>
      </c>
      <c r="N428" s="1">
        <v>1</v>
      </c>
      <c r="O428" s="1">
        <v>1</v>
      </c>
      <c r="P428" s="1">
        <v>1</v>
      </c>
      <c r="Q428" s="1">
        <v>1</v>
      </c>
      <c r="R428" s="1">
        <v>1</v>
      </c>
      <c r="S428" s="1">
        <v>1</v>
      </c>
      <c r="T428" s="1">
        <v>1</v>
      </c>
      <c r="U428" s="1">
        <v>1</v>
      </c>
      <c r="V428" s="1">
        <v>1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10</v>
      </c>
      <c r="AD428" s="1">
        <v>10</v>
      </c>
      <c r="AE428" s="1">
        <v>1.3</v>
      </c>
      <c r="AF428" s="1">
        <v>1</v>
      </c>
      <c r="AG428" s="1">
        <v>1.8</v>
      </c>
      <c r="AH428" s="1">
        <v>1</v>
      </c>
      <c r="AI428" s="1">
        <v>2.8</v>
      </c>
      <c r="AJ428" s="1">
        <v>1</v>
      </c>
      <c r="AK428" s="1">
        <v>0</v>
      </c>
      <c r="AL428" s="1">
        <v>1</v>
      </c>
      <c r="AM428" s="1">
        <v>1</v>
      </c>
      <c r="AN428" s="1">
        <v>2.2000000000000002</v>
      </c>
    </row>
    <row r="429" spans="1:40">
      <c r="A429" s="1">
        <v>1911</v>
      </c>
      <c r="C429" s="1">
        <v>1.33</v>
      </c>
      <c r="D429" s="1">
        <v>1.33</v>
      </c>
      <c r="E429" s="1">
        <v>1.33</v>
      </c>
      <c r="F429" s="1">
        <v>1.33</v>
      </c>
      <c r="G429" s="1">
        <v>1.44</v>
      </c>
      <c r="H429" s="1">
        <v>1</v>
      </c>
      <c r="I429" s="1">
        <v>1</v>
      </c>
      <c r="J429" s="1">
        <v>1.88</v>
      </c>
      <c r="K429" s="1">
        <v>1.88</v>
      </c>
      <c r="L429" s="1">
        <v>1.88</v>
      </c>
      <c r="M429" s="1">
        <v>1.88</v>
      </c>
      <c r="N429" s="1">
        <v>1</v>
      </c>
      <c r="O429" s="1">
        <v>1</v>
      </c>
      <c r="P429" s="1">
        <v>1</v>
      </c>
      <c r="Q429" s="1">
        <v>1</v>
      </c>
      <c r="R429" s="1">
        <v>1</v>
      </c>
      <c r="S429" s="1">
        <v>1</v>
      </c>
      <c r="T429" s="1">
        <v>1</v>
      </c>
      <c r="U429" s="1">
        <v>1</v>
      </c>
      <c r="V429" s="1">
        <v>1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11</v>
      </c>
      <c r="AD429" s="1">
        <v>11</v>
      </c>
      <c r="AE429" s="1">
        <v>1.33</v>
      </c>
      <c r="AF429" s="1">
        <v>1</v>
      </c>
      <c r="AG429" s="1">
        <v>1.88</v>
      </c>
      <c r="AH429" s="1">
        <v>1</v>
      </c>
      <c r="AI429" s="1">
        <v>3</v>
      </c>
      <c r="AJ429" s="1">
        <v>1</v>
      </c>
      <c r="AK429" s="1">
        <v>0</v>
      </c>
      <c r="AL429" s="1">
        <v>1</v>
      </c>
      <c r="AM429" s="1">
        <v>1</v>
      </c>
      <c r="AN429" s="1">
        <v>2.3199999999999998</v>
      </c>
    </row>
    <row r="430" spans="1:40">
      <c r="A430" s="1">
        <v>1912</v>
      </c>
      <c r="C430" s="1">
        <v>1.36</v>
      </c>
      <c r="D430" s="1">
        <v>1.36</v>
      </c>
      <c r="E430" s="1">
        <v>1.36</v>
      </c>
      <c r="F430" s="1">
        <v>1.36</v>
      </c>
      <c r="G430" s="1">
        <v>1.48</v>
      </c>
      <c r="H430" s="1">
        <v>1</v>
      </c>
      <c r="I430" s="1">
        <v>1</v>
      </c>
      <c r="J430" s="1">
        <v>1.96</v>
      </c>
      <c r="K430" s="1">
        <v>1.96</v>
      </c>
      <c r="L430" s="1">
        <v>1.96</v>
      </c>
      <c r="M430" s="1">
        <v>1.96</v>
      </c>
      <c r="N430" s="1">
        <v>1</v>
      </c>
      <c r="O430" s="1">
        <v>1</v>
      </c>
      <c r="P430" s="1">
        <v>1</v>
      </c>
      <c r="Q430" s="1">
        <v>1</v>
      </c>
      <c r="R430" s="1">
        <v>1</v>
      </c>
      <c r="S430" s="1">
        <v>1</v>
      </c>
      <c r="T430" s="1">
        <v>1</v>
      </c>
      <c r="U430" s="1">
        <v>1</v>
      </c>
      <c r="V430" s="1">
        <v>1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12</v>
      </c>
      <c r="AD430" s="1">
        <v>12</v>
      </c>
      <c r="AE430" s="1">
        <v>1.36</v>
      </c>
      <c r="AF430" s="1">
        <v>1</v>
      </c>
      <c r="AG430" s="1">
        <v>1.96</v>
      </c>
      <c r="AH430" s="1">
        <v>1</v>
      </c>
      <c r="AI430" s="1">
        <v>3.2</v>
      </c>
      <c r="AJ430" s="1">
        <v>1</v>
      </c>
      <c r="AK430" s="1">
        <v>0</v>
      </c>
      <c r="AL430" s="1">
        <v>1</v>
      </c>
      <c r="AM430" s="1">
        <v>1</v>
      </c>
      <c r="AN430" s="1">
        <v>2.44</v>
      </c>
    </row>
    <row r="431" spans="1:40">
      <c r="A431" s="1">
        <v>1913</v>
      </c>
      <c r="C431" s="1">
        <v>1.39</v>
      </c>
      <c r="D431" s="1">
        <v>1.39</v>
      </c>
      <c r="E431" s="1">
        <v>1.39</v>
      </c>
      <c r="F431" s="1">
        <v>1.39</v>
      </c>
      <c r="G431" s="1">
        <v>1.52</v>
      </c>
      <c r="H431" s="1">
        <v>1</v>
      </c>
      <c r="I431" s="1">
        <v>1</v>
      </c>
      <c r="J431" s="1">
        <v>2.04</v>
      </c>
      <c r="K431" s="1">
        <v>2.04</v>
      </c>
      <c r="L431" s="1">
        <v>2.04</v>
      </c>
      <c r="M431" s="1">
        <v>2.04</v>
      </c>
      <c r="N431" s="1">
        <v>1</v>
      </c>
      <c r="O431" s="1">
        <v>1</v>
      </c>
      <c r="P431" s="1">
        <v>1</v>
      </c>
      <c r="Q431" s="1">
        <v>1</v>
      </c>
      <c r="R431" s="1">
        <v>1</v>
      </c>
      <c r="S431" s="1">
        <v>1</v>
      </c>
      <c r="T431" s="1">
        <v>1</v>
      </c>
      <c r="U431" s="1">
        <v>1</v>
      </c>
      <c r="V431" s="1">
        <v>1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13</v>
      </c>
      <c r="AD431" s="1">
        <v>13</v>
      </c>
      <c r="AE431" s="1">
        <v>1.39</v>
      </c>
      <c r="AF431" s="1">
        <v>1</v>
      </c>
      <c r="AG431" s="1">
        <v>2.04</v>
      </c>
      <c r="AH431" s="1">
        <v>1</v>
      </c>
      <c r="AI431" s="1">
        <v>3.4</v>
      </c>
      <c r="AJ431" s="1">
        <v>1</v>
      </c>
      <c r="AK431" s="1">
        <v>0</v>
      </c>
      <c r="AL431" s="1">
        <v>1</v>
      </c>
      <c r="AM431" s="1">
        <v>1</v>
      </c>
      <c r="AN431" s="1">
        <v>2.56</v>
      </c>
    </row>
    <row r="432" spans="1:40">
      <c r="A432" s="1">
        <v>1914</v>
      </c>
      <c r="C432" s="1">
        <v>1.42</v>
      </c>
      <c r="D432" s="1">
        <v>1.42</v>
      </c>
      <c r="E432" s="1">
        <v>1.42</v>
      </c>
      <c r="F432" s="1">
        <v>1.42</v>
      </c>
      <c r="G432" s="1">
        <v>1.56</v>
      </c>
      <c r="H432" s="1">
        <v>1</v>
      </c>
      <c r="I432" s="1">
        <v>1</v>
      </c>
      <c r="J432" s="1">
        <v>2.12</v>
      </c>
      <c r="K432" s="1">
        <v>2.12</v>
      </c>
      <c r="L432" s="1">
        <v>2.12</v>
      </c>
      <c r="M432" s="1">
        <v>2.12</v>
      </c>
      <c r="N432" s="1">
        <v>1</v>
      </c>
      <c r="O432" s="1">
        <v>1</v>
      </c>
      <c r="P432" s="1">
        <v>1</v>
      </c>
      <c r="Q432" s="1">
        <v>1</v>
      </c>
      <c r="R432" s="1">
        <v>1</v>
      </c>
      <c r="S432" s="1">
        <v>1</v>
      </c>
      <c r="T432" s="1">
        <v>1</v>
      </c>
      <c r="U432" s="1">
        <v>1</v>
      </c>
      <c r="V432" s="1">
        <v>1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14</v>
      </c>
      <c r="AD432" s="1">
        <v>14</v>
      </c>
      <c r="AE432" s="1">
        <v>1.42</v>
      </c>
      <c r="AF432" s="1">
        <v>1</v>
      </c>
      <c r="AG432" s="1">
        <v>2.12</v>
      </c>
      <c r="AH432" s="1">
        <v>1</v>
      </c>
      <c r="AI432" s="1">
        <v>3.6</v>
      </c>
      <c r="AJ432" s="1">
        <v>1</v>
      </c>
      <c r="AK432" s="1">
        <v>0</v>
      </c>
      <c r="AL432" s="1">
        <v>1</v>
      </c>
      <c r="AM432" s="1">
        <v>1</v>
      </c>
      <c r="AN432" s="1">
        <v>2.68</v>
      </c>
    </row>
    <row r="433" spans="1:40">
      <c r="A433" s="1">
        <v>1915</v>
      </c>
      <c r="C433" s="1">
        <v>1.45</v>
      </c>
      <c r="D433" s="1">
        <v>1.45</v>
      </c>
      <c r="E433" s="1">
        <v>1.45</v>
      </c>
      <c r="F433" s="1">
        <v>1.45</v>
      </c>
      <c r="G433" s="1">
        <v>1.6</v>
      </c>
      <c r="H433" s="1">
        <v>1</v>
      </c>
      <c r="I433" s="1">
        <v>1</v>
      </c>
      <c r="J433" s="1">
        <v>2.2000000000000002</v>
      </c>
      <c r="K433" s="1">
        <v>2.2000000000000002</v>
      </c>
      <c r="L433" s="1">
        <v>2.2000000000000002</v>
      </c>
      <c r="M433" s="1">
        <v>2.2000000000000002</v>
      </c>
      <c r="N433" s="1">
        <v>1</v>
      </c>
      <c r="O433" s="1">
        <v>1</v>
      </c>
      <c r="P433" s="1">
        <v>1</v>
      </c>
      <c r="Q433" s="1">
        <v>1</v>
      </c>
      <c r="R433" s="1">
        <v>1</v>
      </c>
      <c r="S433" s="1">
        <v>1</v>
      </c>
      <c r="T433" s="1">
        <v>1</v>
      </c>
      <c r="U433" s="1">
        <v>1</v>
      </c>
      <c r="V433" s="1">
        <v>1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15</v>
      </c>
      <c r="AD433" s="1">
        <v>15</v>
      </c>
      <c r="AE433" s="1">
        <v>1.45</v>
      </c>
      <c r="AF433" s="1">
        <v>1</v>
      </c>
      <c r="AG433" s="1">
        <v>2.2000000000000002</v>
      </c>
      <c r="AH433" s="1">
        <v>1</v>
      </c>
      <c r="AI433" s="1">
        <v>3.8</v>
      </c>
      <c r="AJ433" s="1">
        <v>1</v>
      </c>
      <c r="AK433" s="1">
        <v>0</v>
      </c>
      <c r="AL433" s="1">
        <v>1</v>
      </c>
      <c r="AM433" s="1">
        <v>1</v>
      </c>
      <c r="AN433" s="1">
        <v>2.8</v>
      </c>
    </row>
    <row r="434" spans="1:40">
      <c r="A434" s="1">
        <v>1916</v>
      </c>
      <c r="C434" s="1">
        <v>1.48</v>
      </c>
      <c r="D434" s="1">
        <v>1.48</v>
      </c>
      <c r="E434" s="1">
        <v>1.48</v>
      </c>
      <c r="F434" s="1">
        <v>1.48</v>
      </c>
      <c r="G434" s="1">
        <v>1.64</v>
      </c>
      <c r="H434" s="1">
        <v>1</v>
      </c>
      <c r="I434" s="1">
        <v>1</v>
      </c>
      <c r="J434" s="1">
        <v>2.2799999999999998</v>
      </c>
      <c r="K434" s="1">
        <v>2.2799999999999998</v>
      </c>
      <c r="L434" s="1">
        <v>2.2799999999999998</v>
      </c>
      <c r="M434" s="1">
        <v>2.2799999999999998</v>
      </c>
      <c r="N434" s="1">
        <v>1</v>
      </c>
      <c r="O434" s="1">
        <v>1</v>
      </c>
      <c r="P434" s="1">
        <v>1</v>
      </c>
      <c r="Q434" s="1">
        <v>1</v>
      </c>
      <c r="R434" s="1">
        <v>1</v>
      </c>
      <c r="S434" s="1">
        <v>1</v>
      </c>
      <c r="T434" s="1">
        <v>1</v>
      </c>
      <c r="U434" s="1">
        <v>1</v>
      </c>
      <c r="V434" s="1">
        <v>1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16</v>
      </c>
      <c r="AD434" s="1">
        <v>16</v>
      </c>
      <c r="AE434" s="1">
        <v>1.48</v>
      </c>
      <c r="AF434" s="1">
        <v>1</v>
      </c>
      <c r="AG434" s="1">
        <v>2.2799999999999998</v>
      </c>
      <c r="AH434" s="1">
        <v>1</v>
      </c>
      <c r="AI434" s="1">
        <v>4</v>
      </c>
      <c r="AJ434" s="1">
        <v>1</v>
      </c>
      <c r="AK434" s="1">
        <v>0</v>
      </c>
      <c r="AL434" s="1">
        <v>1</v>
      </c>
      <c r="AM434" s="1">
        <v>1</v>
      </c>
      <c r="AN434" s="1">
        <v>2.92</v>
      </c>
    </row>
    <row r="435" spans="1:40">
      <c r="A435" s="1">
        <v>1917</v>
      </c>
      <c r="C435" s="1">
        <v>1.51</v>
      </c>
      <c r="D435" s="1">
        <v>1.51</v>
      </c>
      <c r="E435" s="1">
        <v>1.51</v>
      </c>
      <c r="F435" s="1">
        <v>1.51</v>
      </c>
      <c r="G435" s="1">
        <v>1.68</v>
      </c>
      <c r="H435" s="1">
        <v>1</v>
      </c>
      <c r="I435" s="1">
        <v>1</v>
      </c>
      <c r="J435" s="1">
        <v>2.36</v>
      </c>
      <c r="K435" s="1">
        <v>2.36</v>
      </c>
      <c r="L435" s="1">
        <v>2.36</v>
      </c>
      <c r="M435" s="1">
        <v>2.36</v>
      </c>
      <c r="N435" s="1">
        <v>1</v>
      </c>
      <c r="O435" s="1">
        <v>1</v>
      </c>
      <c r="P435" s="1">
        <v>1</v>
      </c>
      <c r="Q435" s="1">
        <v>1</v>
      </c>
      <c r="R435" s="1">
        <v>1</v>
      </c>
      <c r="S435" s="1">
        <v>1</v>
      </c>
      <c r="T435" s="1">
        <v>1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17</v>
      </c>
      <c r="AD435" s="1">
        <v>17</v>
      </c>
      <c r="AE435" s="1">
        <v>1.51</v>
      </c>
      <c r="AF435" s="1">
        <v>1</v>
      </c>
      <c r="AG435" s="1">
        <v>2.36</v>
      </c>
      <c r="AH435" s="1">
        <v>1</v>
      </c>
      <c r="AI435" s="1">
        <v>4.2</v>
      </c>
      <c r="AJ435" s="1">
        <v>1</v>
      </c>
      <c r="AK435" s="1">
        <v>0</v>
      </c>
      <c r="AL435" s="1">
        <v>1</v>
      </c>
      <c r="AM435" s="1">
        <v>1</v>
      </c>
      <c r="AN435" s="1">
        <v>3.04</v>
      </c>
    </row>
    <row r="436" spans="1:40">
      <c r="A436" s="1">
        <v>1918</v>
      </c>
      <c r="C436" s="1">
        <v>1.54</v>
      </c>
      <c r="D436" s="1">
        <v>1.54</v>
      </c>
      <c r="E436" s="1">
        <v>1.54</v>
      </c>
      <c r="F436" s="1">
        <v>1.54</v>
      </c>
      <c r="G436" s="1">
        <v>1.72</v>
      </c>
      <c r="H436" s="1">
        <v>1</v>
      </c>
      <c r="I436" s="1">
        <v>1</v>
      </c>
      <c r="J436" s="1">
        <v>2.44</v>
      </c>
      <c r="K436" s="1">
        <v>2.44</v>
      </c>
      <c r="L436" s="1">
        <v>2.44</v>
      </c>
      <c r="M436" s="1">
        <v>2.44</v>
      </c>
      <c r="N436" s="1">
        <v>1</v>
      </c>
      <c r="O436" s="1">
        <v>1</v>
      </c>
      <c r="P436" s="1">
        <v>1</v>
      </c>
      <c r="Q436" s="1">
        <v>1</v>
      </c>
      <c r="R436" s="1">
        <v>1</v>
      </c>
      <c r="S436" s="1">
        <v>1</v>
      </c>
      <c r="T436" s="1">
        <v>1</v>
      </c>
      <c r="U436" s="1">
        <v>1</v>
      </c>
      <c r="V436" s="1">
        <v>1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18</v>
      </c>
      <c r="AD436" s="1">
        <v>18</v>
      </c>
      <c r="AE436" s="1">
        <v>1.54</v>
      </c>
      <c r="AF436" s="1">
        <v>1</v>
      </c>
      <c r="AG436" s="1">
        <v>2.44</v>
      </c>
      <c r="AH436" s="1">
        <v>1</v>
      </c>
      <c r="AI436" s="1">
        <v>4.4000000000000004</v>
      </c>
      <c r="AJ436" s="1">
        <v>1</v>
      </c>
      <c r="AK436" s="1">
        <v>0</v>
      </c>
      <c r="AL436" s="1">
        <v>1</v>
      </c>
      <c r="AM436" s="1">
        <v>1</v>
      </c>
      <c r="AN436" s="1">
        <v>3.16</v>
      </c>
    </row>
    <row r="437" spans="1:40">
      <c r="A437" s="1">
        <v>1919</v>
      </c>
      <c r="C437" s="1">
        <v>1.57</v>
      </c>
      <c r="D437" s="1">
        <v>1.57</v>
      </c>
      <c r="E437" s="1">
        <v>1.57</v>
      </c>
      <c r="F437" s="1">
        <v>1.57</v>
      </c>
      <c r="G437" s="1">
        <v>1.76</v>
      </c>
      <c r="H437" s="1">
        <v>1</v>
      </c>
      <c r="I437" s="1">
        <v>1</v>
      </c>
      <c r="J437" s="1">
        <v>2.52</v>
      </c>
      <c r="K437" s="1">
        <v>2.52</v>
      </c>
      <c r="L437" s="1">
        <v>2.52</v>
      </c>
      <c r="M437" s="1">
        <v>2.52</v>
      </c>
      <c r="N437" s="1">
        <v>1</v>
      </c>
      <c r="O437" s="1">
        <v>1</v>
      </c>
      <c r="P437" s="1">
        <v>1</v>
      </c>
      <c r="Q437" s="1">
        <v>1</v>
      </c>
      <c r="R437" s="1">
        <v>1</v>
      </c>
      <c r="S437" s="1">
        <v>1</v>
      </c>
      <c r="T437" s="1">
        <v>1</v>
      </c>
      <c r="U437" s="1">
        <v>1</v>
      </c>
      <c r="V437" s="1">
        <v>1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19</v>
      </c>
      <c r="AD437" s="1">
        <v>19</v>
      </c>
      <c r="AE437" s="1">
        <v>1.57</v>
      </c>
      <c r="AF437" s="1">
        <v>1</v>
      </c>
      <c r="AG437" s="1">
        <v>2.52</v>
      </c>
      <c r="AH437" s="1">
        <v>1</v>
      </c>
      <c r="AI437" s="1">
        <v>4.5999999999999996</v>
      </c>
      <c r="AJ437" s="1">
        <v>1</v>
      </c>
      <c r="AK437" s="1">
        <v>0</v>
      </c>
      <c r="AL437" s="1">
        <v>1</v>
      </c>
      <c r="AM437" s="1">
        <v>1</v>
      </c>
      <c r="AN437" s="1">
        <v>3.28</v>
      </c>
    </row>
    <row r="438" spans="1:40">
      <c r="A438" s="1">
        <v>1920</v>
      </c>
      <c r="C438" s="1">
        <v>1.6</v>
      </c>
      <c r="D438" s="1">
        <v>1.6</v>
      </c>
      <c r="E438" s="1">
        <v>1.6</v>
      </c>
      <c r="F438" s="1">
        <v>1.6</v>
      </c>
      <c r="G438" s="1">
        <v>1.8</v>
      </c>
      <c r="H438" s="1">
        <v>1</v>
      </c>
      <c r="I438" s="1">
        <v>1</v>
      </c>
      <c r="J438" s="1">
        <v>2.6</v>
      </c>
      <c r="K438" s="1">
        <v>2.6</v>
      </c>
      <c r="L438" s="1">
        <v>2.6</v>
      </c>
      <c r="M438" s="1">
        <v>2.6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20</v>
      </c>
      <c r="AD438" s="1">
        <v>20</v>
      </c>
      <c r="AE438" s="1">
        <v>1.6</v>
      </c>
      <c r="AF438" s="1">
        <v>1</v>
      </c>
      <c r="AG438" s="1">
        <v>2.6</v>
      </c>
      <c r="AH438" s="1">
        <v>1</v>
      </c>
      <c r="AI438" s="1">
        <v>4.8</v>
      </c>
      <c r="AJ438" s="1">
        <v>1</v>
      </c>
      <c r="AK438" s="1">
        <v>0</v>
      </c>
      <c r="AL438" s="1">
        <v>1</v>
      </c>
      <c r="AM438" s="1">
        <v>1</v>
      </c>
      <c r="AN438" s="1">
        <v>3.4</v>
      </c>
    </row>
    <row r="439" spans="1:40">
      <c r="A439" s="1">
        <v>1921</v>
      </c>
      <c r="C439" s="1">
        <v>1.63</v>
      </c>
      <c r="D439" s="1">
        <v>1.63</v>
      </c>
      <c r="E439" s="1">
        <v>1.63</v>
      </c>
      <c r="F439" s="1">
        <v>1.63</v>
      </c>
      <c r="G439" s="1">
        <v>1.84</v>
      </c>
      <c r="H439" s="1">
        <v>1</v>
      </c>
      <c r="I439" s="1">
        <v>1</v>
      </c>
      <c r="J439" s="1">
        <v>2.68</v>
      </c>
      <c r="K439" s="1">
        <v>2.68</v>
      </c>
      <c r="L439" s="1">
        <v>2.68</v>
      </c>
      <c r="M439" s="1">
        <v>2.68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21</v>
      </c>
      <c r="AD439" s="1">
        <v>21</v>
      </c>
      <c r="AE439" s="1">
        <v>1.63</v>
      </c>
      <c r="AF439" s="1">
        <v>1</v>
      </c>
      <c r="AG439" s="1">
        <v>2.68</v>
      </c>
      <c r="AH439" s="1">
        <v>1</v>
      </c>
      <c r="AI439" s="1">
        <v>5</v>
      </c>
      <c r="AJ439" s="1">
        <v>1</v>
      </c>
      <c r="AK439" s="1">
        <v>0</v>
      </c>
      <c r="AL439" s="1">
        <v>1</v>
      </c>
      <c r="AM439" s="1">
        <v>1</v>
      </c>
      <c r="AN439" s="1">
        <v>3.52</v>
      </c>
    </row>
    <row r="440" spans="1:40">
      <c r="A440" s="1">
        <v>1922</v>
      </c>
      <c r="C440" s="1">
        <v>1.66</v>
      </c>
      <c r="D440" s="1">
        <v>1.66</v>
      </c>
      <c r="E440" s="1">
        <v>1.66</v>
      </c>
      <c r="F440" s="1">
        <v>1.66</v>
      </c>
      <c r="G440" s="1">
        <v>1.88</v>
      </c>
      <c r="H440" s="1">
        <v>1</v>
      </c>
      <c r="I440" s="1">
        <v>1</v>
      </c>
      <c r="J440" s="1">
        <v>2.76</v>
      </c>
      <c r="K440" s="1">
        <v>2.76</v>
      </c>
      <c r="L440" s="1">
        <v>2.76</v>
      </c>
      <c r="M440" s="1">
        <v>2.76</v>
      </c>
      <c r="N440" s="1">
        <v>1</v>
      </c>
      <c r="O440" s="1">
        <v>1</v>
      </c>
      <c r="P440" s="1">
        <v>1</v>
      </c>
      <c r="Q440" s="1">
        <v>1</v>
      </c>
      <c r="R440" s="1">
        <v>1</v>
      </c>
      <c r="S440" s="1">
        <v>1</v>
      </c>
      <c r="T440" s="1">
        <v>1</v>
      </c>
      <c r="U440" s="1">
        <v>1</v>
      </c>
      <c r="V440" s="1">
        <v>1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22</v>
      </c>
      <c r="AD440" s="1">
        <v>22</v>
      </c>
      <c r="AE440" s="1">
        <v>1.66</v>
      </c>
      <c r="AF440" s="1">
        <v>1</v>
      </c>
      <c r="AG440" s="1">
        <v>2.76</v>
      </c>
      <c r="AH440" s="1">
        <v>1</v>
      </c>
      <c r="AI440" s="1">
        <v>5.2</v>
      </c>
      <c r="AJ440" s="1">
        <v>1</v>
      </c>
      <c r="AK440" s="1">
        <v>0</v>
      </c>
      <c r="AL440" s="1">
        <v>1</v>
      </c>
      <c r="AM440" s="1">
        <v>1</v>
      </c>
      <c r="AN440" s="1">
        <v>3.64</v>
      </c>
    </row>
    <row r="441" spans="1:40">
      <c r="A441" s="1">
        <v>1923</v>
      </c>
      <c r="C441" s="1">
        <v>1.69</v>
      </c>
      <c r="D441" s="1">
        <v>1.69</v>
      </c>
      <c r="E441" s="1">
        <v>1.69</v>
      </c>
      <c r="F441" s="1">
        <v>1.69</v>
      </c>
      <c r="G441" s="1">
        <v>1.92</v>
      </c>
      <c r="H441" s="1">
        <v>1</v>
      </c>
      <c r="I441" s="1">
        <v>1</v>
      </c>
      <c r="J441" s="1">
        <v>2.84</v>
      </c>
      <c r="K441" s="1">
        <v>2.84</v>
      </c>
      <c r="L441" s="1">
        <v>2.84</v>
      </c>
      <c r="M441" s="1">
        <v>2.84</v>
      </c>
      <c r="N441" s="1">
        <v>1</v>
      </c>
      <c r="O441" s="1">
        <v>1</v>
      </c>
      <c r="P441" s="1">
        <v>1</v>
      </c>
      <c r="Q441" s="1">
        <v>1</v>
      </c>
      <c r="R441" s="1">
        <v>1</v>
      </c>
      <c r="S441" s="1">
        <v>1</v>
      </c>
      <c r="T441" s="1">
        <v>1</v>
      </c>
      <c r="U441" s="1">
        <v>1</v>
      </c>
      <c r="V441" s="1">
        <v>1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23</v>
      </c>
      <c r="AD441" s="1">
        <v>23</v>
      </c>
      <c r="AE441" s="1">
        <v>1.69</v>
      </c>
      <c r="AF441" s="1">
        <v>1</v>
      </c>
      <c r="AG441" s="1">
        <v>2.84</v>
      </c>
      <c r="AH441" s="1">
        <v>1</v>
      </c>
      <c r="AI441" s="1">
        <v>5.4</v>
      </c>
      <c r="AJ441" s="1">
        <v>1</v>
      </c>
      <c r="AK441" s="1">
        <v>0</v>
      </c>
      <c r="AL441" s="1">
        <v>1</v>
      </c>
      <c r="AM441" s="1">
        <v>1</v>
      </c>
      <c r="AN441" s="1">
        <v>3.76</v>
      </c>
    </row>
    <row r="442" spans="1:40">
      <c r="A442" s="1">
        <v>1924</v>
      </c>
      <c r="C442" s="1">
        <v>1.72</v>
      </c>
      <c r="D442" s="1">
        <v>1.72</v>
      </c>
      <c r="E442" s="1">
        <v>1.72</v>
      </c>
      <c r="F442" s="1">
        <v>1.72</v>
      </c>
      <c r="G442" s="1">
        <v>1.96</v>
      </c>
      <c r="H442" s="1">
        <v>1</v>
      </c>
      <c r="I442" s="1">
        <v>1</v>
      </c>
      <c r="J442" s="1">
        <v>2.92</v>
      </c>
      <c r="K442" s="1">
        <v>2.92</v>
      </c>
      <c r="L442" s="1">
        <v>2.92</v>
      </c>
      <c r="M442" s="1">
        <v>2.92</v>
      </c>
      <c r="N442" s="1">
        <v>1</v>
      </c>
      <c r="O442" s="1">
        <v>1</v>
      </c>
      <c r="P442" s="1">
        <v>1</v>
      </c>
      <c r="Q442" s="1">
        <v>1</v>
      </c>
      <c r="R442" s="1">
        <v>1</v>
      </c>
      <c r="S442" s="1">
        <v>1</v>
      </c>
      <c r="T442" s="1">
        <v>1</v>
      </c>
      <c r="U442" s="1">
        <v>1</v>
      </c>
      <c r="V442" s="1">
        <v>1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24</v>
      </c>
      <c r="AD442" s="1">
        <v>24</v>
      </c>
      <c r="AE442" s="1">
        <v>1.72</v>
      </c>
      <c r="AF442" s="1">
        <v>1</v>
      </c>
      <c r="AG442" s="1">
        <v>2.92</v>
      </c>
      <c r="AH442" s="1">
        <v>1</v>
      </c>
      <c r="AI442" s="1">
        <v>5.6</v>
      </c>
      <c r="AJ442" s="1">
        <v>1</v>
      </c>
      <c r="AK442" s="1">
        <v>0</v>
      </c>
      <c r="AL442" s="1">
        <v>1</v>
      </c>
      <c r="AM442" s="1">
        <v>1</v>
      </c>
      <c r="AN442" s="1">
        <v>3.88</v>
      </c>
    </row>
    <row r="443" spans="1:40">
      <c r="A443" s="1">
        <v>1925</v>
      </c>
      <c r="C443" s="1">
        <v>1.75</v>
      </c>
      <c r="D443" s="1">
        <v>1.75</v>
      </c>
      <c r="E443" s="1">
        <v>1.75</v>
      </c>
      <c r="F443" s="1">
        <v>1.75</v>
      </c>
      <c r="G443" s="1">
        <v>2</v>
      </c>
      <c r="H443" s="1">
        <v>1</v>
      </c>
      <c r="I443" s="1">
        <v>1</v>
      </c>
      <c r="J443" s="1">
        <v>3</v>
      </c>
      <c r="K443" s="1">
        <v>3</v>
      </c>
      <c r="L443" s="1">
        <v>3</v>
      </c>
      <c r="M443" s="1">
        <v>3</v>
      </c>
      <c r="N443" s="1">
        <v>1</v>
      </c>
      <c r="O443" s="1">
        <v>1</v>
      </c>
      <c r="P443" s="1">
        <v>1</v>
      </c>
      <c r="Q443" s="1">
        <v>1</v>
      </c>
      <c r="R443" s="1">
        <v>1</v>
      </c>
      <c r="S443" s="1">
        <v>1</v>
      </c>
      <c r="T443" s="1">
        <v>1</v>
      </c>
      <c r="U443" s="1">
        <v>1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25</v>
      </c>
      <c r="AD443" s="1">
        <v>25</v>
      </c>
      <c r="AE443" s="1">
        <v>1.75</v>
      </c>
      <c r="AF443" s="1">
        <v>1</v>
      </c>
      <c r="AG443" s="1">
        <v>3</v>
      </c>
      <c r="AH443" s="1">
        <v>1</v>
      </c>
      <c r="AI443" s="1">
        <v>5.8</v>
      </c>
      <c r="AJ443" s="1">
        <v>1</v>
      </c>
      <c r="AK443" s="1">
        <v>0</v>
      </c>
      <c r="AL443" s="1">
        <v>1</v>
      </c>
      <c r="AM443" s="1">
        <v>1</v>
      </c>
      <c r="AN443" s="1">
        <v>4</v>
      </c>
    </row>
    <row r="444" spans="1:40">
      <c r="A444" s="1">
        <v>2000</v>
      </c>
      <c r="C444" s="1">
        <v>1</v>
      </c>
      <c r="D444" s="1">
        <v>1</v>
      </c>
      <c r="E444" s="1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1</v>
      </c>
      <c r="U444" s="1">
        <v>1</v>
      </c>
      <c r="V444" s="1">
        <v>1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1</v>
      </c>
      <c r="AF444" s="1">
        <v>1</v>
      </c>
      <c r="AG444" s="1">
        <v>1</v>
      </c>
      <c r="AH444" s="1">
        <v>1</v>
      </c>
      <c r="AI444" s="1">
        <v>1</v>
      </c>
      <c r="AJ444" s="1">
        <v>1</v>
      </c>
      <c r="AK444" s="1">
        <v>0</v>
      </c>
      <c r="AL444" s="1">
        <v>1</v>
      </c>
      <c r="AM444" s="1">
        <v>1</v>
      </c>
      <c r="AN444" s="1">
        <v>1</v>
      </c>
    </row>
    <row r="445" spans="1:40">
      <c r="A445" s="1">
        <v>2001</v>
      </c>
      <c r="C445" s="1">
        <v>1.03</v>
      </c>
      <c r="D445" s="1">
        <v>1.03</v>
      </c>
      <c r="E445" s="1">
        <v>1.03</v>
      </c>
      <c r="F445" s="1">
        <v>1.03</v>
      </c>
      <c r="G445" s="1">
        <v>1.04</v>
      </c>
      <c r="H445" s="1">
        <v>1</v>
      </c>
      <c r="I445" s="1">
        <v>1</v>
      </c>
      <c r="J445" s="1">
        <v>1.05</v>
      </c>
      <c r="K445" s="1">
        <v>1.05</v>
      </c>
      <c r="L445" s="1">
        <v>1.05</v>
      </c>
      <c r="M445" s="1">
        <v>1.05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1</v>
      </c>
      <c r="U445" s="1">
        <v>1</v>
      </c>
      <c r="V445" s="1">
        <v>1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1</v>
      </c>
      <c r="AD445" s="1">
        <v>1</v>
      </c>
      <c r="AE445" s="1">
        <v>1.03</v>
      </c>
      <c r="AF445" s="1">
        <v>1</v>
      </c>
      <c r="AG445" s="1">
        <v>1.05</v>
      </c>
      <c r="AH445" s="1">
        <v>1</v>
      </c>
      <c r="AI445" s="1">
        <v>1</v>
      </c>
      <c r="AJ445" s="1">
        <v>1</v>
      </c>
      <c r="AK445" s="1">
        <v>0</v>
      </c>
      <c r="AL445" s="1">
        <v>1</v>
      </c>
      <c r="AM445" s="1">
        <v>1</v>
      </c>
      <c r="AN445" s="1">
        <v>1.1200000000000001</v>
      </c>
    </row>
    <row r="446" spans="1:40">
      <c r="A446" s="1">
        <v>2002</v>
      </c>
      <c r="C446" s="1">
        <v>1.06</v>
      </c>
      <c r="D446" s="1">
        <v>1.06</v>
      </c>
      <c r="E446" s="1">
        <v>1.06</v>
      </c>
      <c r="F446" s="1">
        <v>1.06</v>
      </c>
      <c r="G446" s="1">
        <v>1.08</v>
      </c>
      <c r="H446" s="1">
        <v>1</v>
      </c>
      <c r="I446" s="1">
        <v>1</v>
      </c>
      <c r="J446" s="1">
        <v>1.1000000000000001</v>
      </c>
      <c r="K446" s="1">
        <v>1.1000000000000001</v>
      </c>
      <c r="L446" s="1">
        <v>1.1000000000000001</v>
      </c>
      <c r="M446" s="1">
        <v>1.1000000000000001</v>
      </c>
      <c r="N446" s="1">
        <v>1</v>
      </c>
      <c r="O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1</v>
      </c>
      <c r="U446" s="1">
        <v>1</v>
      </c>
      <c r="V446" s="1">
        <v>1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2</v>
      </c>
      <c r="AD446" s="1">
        <v>2</v>
      </c>
      <c r="AE446" s="1">
        <v>1.06</v>
      </c>
      <c r="AF446" s="1">
        <v>1</v>
      </c>
      <c r="AG446" s="1">
        <v>1.1000000000000001</v>
      </c>
      <c r="AH446" s="1">
        <v>1</v>
      </c>
      <c r="AI446" s="1">
        <v>1.2</v>
      </c>
      <c r="AJ446" s="1">
        <v>1</v>
      </c>
      <c r="AK446" s="1">
        <v>0</v>
      </c>
      <c r="AL446" s="1">
        <v>1</v>
      </c>
      <c r="AM446" s="1">
        <v>1</v>
      </c>
      <c r="AN446" s="1">
        <v>1.24</v>
      </c>
    </row>
    <row r="447" spans="1:40">
      <c r="A447" s="1">
        <v>2003</v>
      </c>
      <c r="C447" s="1">
        <v>1.0900000000000001</v>
      </c>
      <c r="D447" s="1">
        <v>1.0900000000000001</v>
      </c>
      <c r="E447" s="1">
        <v>1.0900000000000001</v>
      </c>
      <c r="F447" s="1">
        <v>1.0900000000000001</v>
      </c>
      <c r="G447" s="1">
        <v>1.1200000000000001</v>
      </c>
      <c r="H447" s="1">
        <v>1</v>
      </c>
      <c r="I447" s="1">
        <v>1</v>
      </c>
      <c r="J447" s="1">
        <v>1.1499999999999999</v>
      </c>
      <c r="K447" s="1">
        <v>1.1499999999999999</v>
      </c>
      <c r="L447" s="1">
        <v>1.1499999999999999</v>
      </c>
      <c r="M447" s="1">
        <v>1.1499999999999999</v>
      </c>
      <c r="N447" s="1">
        <v>1</v>
      </c>
      <c r="O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1</v>
      </c>
      <c r="U447" s="1">
        <v>1</v>
      </c>
      <c r="V447" s="1">
        <v>1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3</v>
      </c>
      <c r="AD447" s="1">
        <v>3</v>
      </c>
      <c r="AE447" s="1">
        <v>1.0900000000000001</v>
      </c>
      <c r="AF447" s="1">
        <v>1</v>
      </c>
      <c r="AG447" s="1">
        <v>1.1499999999999999</v>
      </c>
      <c r="AH447" s="1">
        <v>1</v>
      </c>
      <c r="AI447" s="1">
        <v>1.4</v>
      </c>
      <c r="AJ447" s="1">
        <v>1</v>
      </c>
      <c r="AK447" s="1">
        <v>0</v>
      </c>
      <c r="AL447" s="1">
        <v>1</v>
      </c>
      <c r="AM447" s="1">
        <v>1</v>
      </c>
      <c r="AN447" s="1">
        <v>1.36</v>
      </c>
    </row>
    <row r="448" spans="1:40">
      <c r="A448" s="1">
        <v>2004</v>
      </c>
      <c r="C448" s="1">
        <v>1.1200000000000001</v>
      </c>
      <c r="D448" s="1">
        <v>1.1200000000000001</v>
      </c>
      <c r="E448" s="1">
        <v>1.1200000000000001</v>
      </c>
      <c r="F448" s="1">
        <v>1.1200000000000001</v>
      </c>
      <c r="G448" s="1">
        <v>1.1599999999999999</v>
      </c>
      <c r="H448" s="1">
        <v>1</v>
      </c>
      <c r="I448" s="1">
        <v>1</v>
      </c>
      <c r="J448" s="1">
        <v>1.2</v>
      </c>
      <c r="K448" s="1">
        <v>1.2</v>
      </c>
      <c r="L448" s="1">
        <v>1.2</v>
      </c>
      <c r="M448" s="1">
        <v>1.2</v>
      </c>
      <c r="N448" s="1">
        <v>1</v>
      </c>
      <c r="O448" s="1">
        <v>1</v>
      </c>
      <c r="P448" s="1">
        <v>1</v>
      </c>
      <c r="Q448" s="1">
        <v>1</v>
      </c>
      <c r="R448" s="1">
        <v>1</v>
      </c>
      <c r="S448" s="1">
        <v>1</v>
      </c>
      <c r="T448" s="1">
        <v>1</v>
      </c>
      <c r="U448" s="1">
        <v>1</v>
      </c>
      <c r="V448" s="1">
        <v>1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4</v>
      </c>
      <c r="AD448" s="1">
        <v>4</v>
      </c>
      <c r="AE448" s="1">
        <v>1.1200000000000001</v>
      </c>
      <c r="AF448" s="1">
        <v>1</v>
      </c>
      <c r="AG448" s="1">
        <v>1.2</v>
      </c>
      <c r="AH448" s="1">
        <v>1</v>
      </c>
      <c r="AI448" s="1">
        <v>1.6</v>
      </c>
      <c r="AJ448" s="1">
        <v>1</v>
      </c>
      <c r="AK448" s="1">
        <v>0</v>
      </c>
      <c r="AL448" s="1">
        <v>1</v>
      </c>
      <c r="AM448" s="1">
        <v>1</v>
      </c>
      <c r="AN448" s="1">
        <v>1.48</v>
      </c>
    </row>
    <row r="449" spans="1:40">
      <c r="A449" s="1">
        <v>2005</v>
      </c>
      <c r="C449" s="1">
        <v>1.1499999999999999</v>
      </c>
      <c r="D449" s="1">
        <v>1.1499999999999999</v>
      </c>
      <c r="E449" s="1">
        <v>1.1499999999999999</v>
      </c>
      <c r="F449" s="1">
        <v>1.1499999999999999</v>
      </c>
      <c r="G449" s="1">
        <v>1.2</v>
      </c>
      <c r="H449" s="1">
        <v>1</v>
      </c>
      <c r="I449" s="1">
        <v>1</v>
      </c>
      <c r="J449" s="1">
        <v>1.25</v>
      </c>
      <c r="K449" s="1">
        <v>1.25</v>
      </c>
      <c r="L449" s="1">
        <v>1.25</v>
      </c>
      <c r="M449" s="1">
        <v>1.25</v>
      </c>
      <c r="N449" s="1">
        <v>1</v>
      </c>
      <c r="O449" s="1">
        <v>1</v>
      </c>
      <c r="P449" s="1">
        <v>1</v>
      </c>
      <c r="Q449" s="1">
        <v>1</v>
      </c>
      <c r="R449" s="1">
        <v>1</v>
      </c>
      <c r="S449" s="1">
        <v>1</v>
      </c>
      <c r="T449" s="1">
        <v>1</v>
      </c>
      <c r="U449" s="1">
        <v>1</v>
      </c>
      <c r="V449" s="1">
        <v>1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5</v>
      </c>
      <c r="AD449" s="1">
        <v>5</v>
      </c>
      <c r="AE449" s="1">
        <v>1.1499999999999999</v>
      </c>
      <c r="AF449" s="1">
        <v>1</v>
      </c>
      <c r="AG449" s="1">
        <v>1.25</v>
      </c>
      <c r="AH449" s="1">
        <v>1</v>
      </c>
      <c r="AI449" s="1">
        <v>1.8</v>
      </c>
      <c r="AJ449" s="1">
        <v>1</v>
      </c>
      <c r="AK449" s="1">
        <v>0</v>
      </c>
      <c r="AL449" s="1">
        <v>1</v>
      </c>
      <c r="AM449" s="1">
        <v>1</v>
      </c>
      <c r="AN449" s="1">
        <v>1.6</v>
      </c>
    </row>
    <row r="450" spans="1:40">
      <c r="A450" s="1">
        <v>2006</v>
      </c>
      <c r="C450" s="1">
        <v>1.18</v>
      </c>
      <c r="D450" s="1">
        <v>1.18</v>
      </c>
      <c r="E450" s="1">
        <v>1.18</v>
      </c>
      <c r="F450" s="1">
        <v>1.18</v>
      </c>
      <c r="G450" s="1">
        <v>1.24</v>
      </c>
      <c r="H450" s="1">
        <v>1</v>
      </c>
      <c r="I450" s="1">
        <v>1</v>
      </c>
      <c r="J450" s="1">
        <v>1.3</v>
      </c>
      <c r="K450" s="1">
        <v>1.3</v>
      </c>
      <c r="L450" s="1">
        <v>1.3</v>
      </c>
      <c r="M450" s="1">
        <v>1.3</v>
      </c>
      <c r="N450" s="1">
        <v>1</v>
      </c>
      <c r="O450" s="1">
        <v>1</v>
      </c>
      <c r="P450" s="1">
        <v>1</v>
      </c>
      <c r="Q450" s="1">
        <v>1</v>
      </c>
      <c r="R450" s="1">
        <v>1</v>
      </c>
      <c r="S450" s="1">
        <v>1</v>
      </c>
      <c r="T450" s="1">
        <v>1</v>
      </c>
      <c r="U450" s="1">
        <v>1</v>
      </c>
      <c r="V450" s="1">
        <v>1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6</v>
      </c>
      <c r="AD450" s="1">
        <v>6</v>
      </c>
      <c r="AE450" s="1">
        <v>1.18</v>
      </c>
      <c r="AF450" s="1">
        <v>1</v>
      </c>
      <c r="AG450" s="1">
        <v>1.3</v>
      </c>
      <c r="AH450" s="1">
        <v>1</v>
      </c>
      <c r="AI450" s="1">
        <v>2</v>
      </c>
      <c r="AJ450" s="1">
        <v>1</v>
      </c>
      <c r="AK450" s="1">
        <v>0</v>
      </c>
      <c r="AL450" s="1">
        <v>1</v>
      </c>
      <c r="AM450" s="1">
        <v>1</v>
      </c>
      <c r="AN450" s="1">
        <v>1.72</v>
      </c>
    </row>
    <row r="451" spans="1:40">
      <c r="A451" s="1">
        <v>2007</v>
      </c>
      <c r="C451" s="1">
        <v>1.21</v>
      </c>
      <c r="D451" s="1">
        <v>1.21</v>
      </c>
      <c r="E451" s="1">
        <v>1.21</v>
      </c>
      <c r="F451" s="1">
        <v>1.21</v>
      </c>
      <c r="G451" s="1">
        <v>1.28</v>
      </c>
      <c r="H451" s="1">
        <v>1</v>
      </c>
      <c r="I451" s="1">
        <v>1</v>
      </c>
      <c r="J451" s="1">
        <v>1.35</v>
      </c>
      <c r="K451" s="1">
        <v>1.35</v>
      </c>
      <c r="L451" s="1">
        <v>1.35</v>
      </c>
      <c r="M451" s="1">
        <v>1.35</v>
      </c>
      <c r="N451" s="1">
        <v>1</v>
      </c>
      <c r="O451" s="1">
        <v>1</v>
      </c>
      <c r="P451" s="1">
        <v>1</v>
      </c>
      <c r="Q451" s="1">
        <v>1</v>
      </c>
      <c r="R451" s="1">
        <v>1</v>
      </c>
      <c r="S451" s="1">
        <v>1</v>
      </c>
      <c r="T451" s="1">
        <v>1</v>
      </c>
      <c r="U451" s="1">
        <v>1</v>
      </c>
      <c r="V451" s="1">
        <v>1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7</v>
      </c>
      <c r="AD451" s="1">
        <v>7</v>
      </c>
      <c r="AE451" s="1">
        <v>1.21</v>
      </c>
      <c r="AF451" s="1">
        <v>1</v>
      </c>
      <c r="AG451" s="1">
        <v>1.35</v>
      </c>
      <c r="AH451" s="1">
        <v>1</v>
      </c>
      <c r="AI451" s="1">
        <v>2.2000000000000002</v>
      </c>
      <c r="AJ451" s="1">
        <v>1</v>
      </c>
      <c r="AK451" s="1">
        <v>0</v>
      </c>
      <c r="AL451" s="1">
        <v>1</v>
      </c>
      <c r="AM451" s="1">
        <v>1</v>
      </c>
      <c r="AN451" s="1">
        <v>1.84</v>
      </c>
    </row>
    <row r="452" spans="1:40">
      <c r="A452" s="1">
        <v>2008</v>
      </c>
      <c r="C452" s="1">
        <v>1.24</v>
      </c>
      <c r="D452" s="1">
        <v>1.24</v>
      </c>
      <c r="E452" s="1">
        <v>1.24</v>
      </c>
      <c r="F452" s="1">
        <v>1.24</v>
      </c>
      <c r="G452" s="1">
        <v>1.32</v>
      </c>
      <c r="H452" s="1">
        <v>1</v>
      </c>
      <c r="I452" s="1">
        <v>1</v>
      </c>
      <c r="J452" s="1">
        <v>1.4</v>
      </c>
      <c r="K452" s="1">
        <v>1.4</v>
      </c>
      <c r="L452" s="1">
        <v>1.4</v>
      </c>
      <c r="M452" s="1">
        <v>1.4</v>
      </c>
      <c r="N452" s="1">
        <v>1</v>
      </c>
      <c r="O452" s="1">
        <v>1</v>
      </c>
      <c r="P452" s="1">
        <v>1</v>
      </c>
      <c r="Q452" s="1">
        <v>1</v>
      </c>
      <c r="R452" s="1">
        <v>1</v>
      </c>
      <c r="S452" s="1">
        <v>1</v>
      </c>
      <c r="T452" s="1">
        <v>1</v>
      </c>
      <c r="U452" s="1">
        <v>1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8</v>
      </c>
      <c r="AD452" s="1">
        <v>8</v>
      </c>
      <c r="AE452" s="1">
        <v>1.24</v>
      </c>
      <c r="AF452" s="1">
        <v>1</v>
      </c>
      <c r="AG452" s="1">
        <v>1.4</v>
      </c>
      <c r="AH452" s="1">
        <v>1</v>
      </c>
      <c r="AI452" s="1">
        <v>2.4</v>
      </c>
      <c r="AJ452" s="1">
        <v>1</v>
      </c>
      <c r="AK452" s="1">
        <v>0</v>
      </c>
      <c r="AL452" s="1">
        <v>1</v>
      </c>
      <c r="AM452" s="1">
        <v>1</v>
      </c>
      <c r="AN452" s="1">
        <v>1.96</v>
      </c>
    </row>
    <row r="453" spans="1:40">
      <c r="A453" s="1">
        <v>2009</v>
      </c>
      <c r="C453" s="1">
        <v>1.27</v>
      </c>
      <c r="D453" s="1">
        <v>1.27</v>
      </c>
      <c r="E453" s="1">
        <v>1.27</v>
      </c>
      <c r="F453" s="1">
        <v>1.27</v>
      </c>
      <c r="G453" s="1">
        <v>1.36</v>
      </c>
      <c r="H453" s="1">
        <v>1</v>
      </c>
      <c r="I453" s="1">
        <v>1</v>
      </c>
      <c r="J453" s="1">
        <v>1.43</v>
      </c>
      <c r="K453" s="1">
        <v>1.43</v>
      </c>
      <c r="L453" s="1">
        <v>1.43</v>
      </c>
      <c r="M453" s="1">
        <v>1.43</v>
      </c>
      <c r="N453" s="1">
        <v>1</v>
      </c>
      <c r="O453" s="1">
        <v>1</v>
      </c>
      <c r="P453" s="1">
        <v>1</v>
      </c>
      <c r="Q453" s="1">
        <v>1</v>
      </c>
      <c r="R453" s="1">
        <v>1</v>
      </c>
      <c r="S453" s="1">
        <v>1</v>
      </c>
      <c r="T453" s="1">
        <v>1</v>
      </c>
      <c r="U453" s="1">
        <v>1</v>
      </c>
      <c r="V453" s="1">
        <v>1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9</v>
      </c>
      <c r="AD453" s="1">
        <v>9</v>
      </c>
      <c r="AE453" s="1">
        <v>1.27</v>
      </c>
      <c r="AF453" s="1">
        <v>1</v>
      </c>
      <c r="AG453" s="1">
        <v>1.43</v>
      </c>
      <c r="AH453" s="1">
        <v>1</v>
      </c>
      <c r="AI453" s="1">
        <v>2.6</v>
      </c>
      <c r="AJ453" s="1">
        <v>1</v>
      </c>
      <c r="AK453" s="1">
        <v>0</v>
      </c>
      <c r="AL453" s="1">
        <v>1</v>
      </c>
      <c r="AM453" s="1">
        <v>1</v>
      </c>
      <c r="AN453" s="1">
        <v>2.08</v>
      </c>
    </row>
    <row r="454" spans="1:40">
      <c r="A454" s="1">
        <v>2010</v>
      </c>
      <c r="C454" s="1">
        <v>1.3</v>
      </c>
      <c r="D454" s="1">
        <v>1.3</v>
      </c>
      <c r="E454" s="1">
        <v>1.3</v>
      </c>
      <c r="F454" s="1">
        <v>1.3</v>
      </c>
      <c r="G454" s="1">
        <v>1.4</v>
      </c>
      <c r="H454" s="1">
        <v>1</v>
      </c>
      <c r="I454" s="1">
        <v>1</v>
      </c>
      <c r="J454" s="1">
        <v>1.45</v>
      </c>
      <c r="K454" s="1">
        <v>1.45</v>
      </c>
      <c r="L454" s="1">
        <v>1.45</v>
      </c>
      <c r="M454" s="1">
        <v>1.45</v>
      </c>
      <c r="N454" s="1">
        <v>1</v>
      </c>
      <c r="O454" s="1">
        <v>1</v>
      </c>
      <c r="P454" s="1">
        <v>1</v>
      </c>
      <c r="Q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10</v>
      </c>
      <c r="AD454" s="1">
        <v>10</v>
      </c>
      <c r="AE454" s="1">
        <v>1.3</v>
      </c>
      <c r="AF454" s="1">
        <v>1</v>
      </c>
      <c r="AG454" s="1">
        <v>1.45</v>
      </c>
      <c r="AH454" s="1">
        <v>1</v>
      </c>
      <c r="AI454" s="1">
        <v>2.8</v>
      </c>
      <c r="AJ454" s="1">
        <v>1</v>
      </c>
      <c r="AK454" s="1">
        <v>0</v>
      </c>
      <c r="AL454" s="1">
        <v>1</v>
      </c>
      <c r="AM454" s="1">
        <v>1</v>
      </c>
      <c r="AN454" s="1">
        <v>2.2000000000000002</v>
      </c>
    </row>
    <row r="455" spans="1:40">
      <c r="A455" s="1">
        <v>2011</v>
      </c>
      <c r="C455" s="1">
        <v>1.33</v>
      </c>
      <c r="D455" s="1">
        <v>1.33</v>
      </c>
      <c r="E455" s="1">
        <v>1.33</v>
      </c>
      <c r="F455" s="1">
        <v>1.33</v>
      </c>
      <c r="G455" s="1">
        <v>1.44</v>
      </c>
      <c r="H455" s="1">
        <v>1</v>
      </c>
      <c r="I455" s="1">
        <v>1</v>
      </c>
      <c r="J455" s="1">
        <v>1.47</v>
      </c>
      <c r="K455" s="1">
        <v>1.47</v>
      </c>
      <c r="L455" s="1">
        <v>1.47</v>
      </c>
      <c r="M455" s="1">
        <v>1.47</v>
      </c>
      <c r="N455" s="1">
        <v>1</v>
      </c>
      <c r="O455" s="1">
        <v>1</v>
      </c>
      <c r="P455" s="1">
        <v>1</v>
      </c>
      <c r="Q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11</v>
      </c>
      <c r="AD455" s="1">
        <v>11</v>
      </c>
      <c r="AE455" s="1">
        <v>1.33</v>
      </c>
      <c r="AF455" s="1">
        <v>1</v>
      </c>
      <c r="AG455" s="1">
        <v>1.47</v>
      </c>
      <c r="AH455" s="1">
        <v>1</v>
      </c>
      <c r="AI455" s="1">
        <v>3</v>
      </c>
      <c r="AJ455" s="1">
        <v>1</v>
      </c>
      <c r="AK455" s="1">
        <v>0</v>
      </c>
      <c r="AL455" s="1">
        <v>1</v>
      </c>
      <c r="AM455" s="1">
        <v>1</v>
      </c>
      <c r="AN455" s="1">
        <v>2.3199999999999998</v>
      </c>
    </row>
    <row r="456" spans="1:40">
      <c r="A456" s="1">
        <v>2012</v>
      </c>
      <c r="C456" s="1">
        <v>1.36</v>
      </c>
      <c r="D456" s="1">
        <v>1.36</v>
      </c>
      <c r="E456" s="1">
        <v>1.36</v>
      </c>
      <c r="F456" s="1">
        <v>1.36</v>
      </c>
      <c r="G456" s="1">
        <v>1.48</v>
      </c>
      <c r="H456" s="1">
        <v>1</v>
      </c>
      <c r="I456" s="1">
        <v>1</v>
      </c>
      <c r="J456" s="1">
        <v>1.49</v>
      </c>
      <c r="K456" s="1">
        <v>1.49</v>
      </c>
      <c r="L456" s="1">
        <v>1.49</v>
      </c>
      <c r="M456" s="1">
        <v>1.49</v>
      </c>
      <c r="N456" s="1">
        <v>1</v>
      </c>
      <c r="O456" s="1">
        <v>1</v>
      </c>
      <c r="P456" s="1">
        <v>1</v>
      </c>
      <c r="Q456" s="1">
        <v>1</v>
      </c>
      <c r="R456" s="1">
        <v>1</v>
      </c>
      <c r="S456" s="1">
        <v>1</v>
      </c>
      <c r="T456" s="1">
        <v>1</v>
      </c>
      <c r="U456" s="1">
        <v>1</v>
      </c>
      <c r="V456" s="1">
        <v>1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12</v>
      </c>
      <c r="AD456" s="1">
        <v>12</v>
      </c>
      <c r="AE456" s="1">
        <v>1.36</v>
      </c>
      <c r="AF456" s="1">
        <v>1</v>
      </c>
      <c r="AG456" s="1">
        <v>1.49</v>
      </c>
      <c r="AH456" s="1">
        <v>1</v>
      </c>
      <c r="AI456" s="1">
        <v>3.2</v>
      </c>
      <c r="AJ456" s="1">
        <v>1</v>
      </c>
      <c r="AK456" s="1">
        <v>0</v>
      </c>
      <c r="AL456" s="1">
        <v>1</v>
      </c>
      <c r="AM456" s="1">
        <v>1</v>
      </c>
      <c r="AN456" s="1">
        <v>2.44</v>
      </c>
    </row>
    <row r="457" spans="1:40">
      <c r="A457" s="1">
        <v>2013</v>
      </c>
      <c r="C457" s="1">
        <v>1.39</v>
      </c>
      <c r="D457" s="1">
        <v>1.39</v>
      </c>
      <c r="E457" s="1">
        <v>1.39</v>
      </c>
      <c r="F457" s="1">
        <v>1.39</v>
      </c>
      <c r="G457" s="1">
        <v>1.52</v>
      </c>
      <c r="H457" s="1">
        <v>1</v>
      </c>
      <c r="I457" s="1">
        <v>1</v>
      </c>
      <c r="J457" s="1">
        <v>1.51</v>
      </c>
      <c r="K457" s="1">
        <v>1.51</v>
      </c>
      <c r="L457" s="1">
        <v>1.51</v>
      </c>
      <c r="M457" s="1">
        <v>1.51</v>
      </c>
      <c r="N457" s="1">
        <v>1</v>
      </c>
      <c r="O457" s="1">
        <v>1</v>
      </c>
      <c r="P457" s="1">
        <v>1</v>
      </c>
      <c r="Q457" s="1">
        <v>1</v>
      </c>
      <c r="R457" s="1">
        <v>1</v>
      </c>
      <c r="S457" s="1">
        <v>1</v>
      </c>
      <c r="T457" s="1">
        <v>1</v>
      </c>
      <c r="U457" s="1">
        <v>1</v>
      </c>
      <c r="V457" s="1">
        <v>1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13</v>
      </c>
      <c r="AD457" s="1">
        <v>13</v>
      </c>
      <c r="AE457" s="1">
        <v>1.39</v>
      </c>
      <c r="AF457" s="1">
        <v>1</v>
      </c>
      <c r="AG457" s="1">
        <v>1.51</v>
      </c>
      <c r="AH457" s="1">
        <v>1</v>
      </c>
      <c r="AI457" s="1">
        <v>3.4</v>
      </c>
      <c r="AJ457" s="1">
        <v>1</v>
      </c>
      <c r="AK457" s="1">
        <v>0</v>
      </c>
      <c r="AL457" s="1">
        <v>1</v>
      </c>
      <c r="AM457" s="1">
        <v>1</v>
      </c>
      <c r="AN457" s="1">
        <v>2.56</v>
      </c>
    </row>
    <row r="458" spans="1:40">
      <c r="A458" s="1">
        <v>2014</v>
      </c>
      <c r="C458" s="1">
        <v>1.42</v>
      </c>
      <c r="D458" s="1">
        <v>1.42</v>
      </c>
      <c r="E458" s="1">
        <v>1.42</v>
      </c>
      <c r="F458" s="1">
        <v>1.42</v>
      </c>
      <c r="G458" s="1">
        <v>1.56</v>
      </c>
      <c r="H458" s="1">
        <v>1</v>
      </c>
      <c r="I458" s="1">
        <v>1</v>
      </c>
      <c r="J458" s="1">
        <v>1.53</v>
      </c>
      <c r="K458" s="1">
        <v>1.53</v>
      </c>
      <c r="L458" s="1">
        <v>1.53</v>
      </c>
      <c r="M458" s="1">
        <v>1.53</v>
      </c>
      <c r="N458" s="1">
        <v>1</v>
      </c>
      <c r="O458" s="1">
        <v>1</v>
      </c>
      <c r="P458" s="1">
        <v>1</v>
      </c>
      <c r="Q458" s="1">
        <v>1</v>
      </c>
      <c r="R458" s="1">
        <v>1</v>
      </c>
      <c r="S458" s="1">
        <v>1</v>
      </c>
      <c r="T458" s="1">
        <v>1</v>
      </c>
      <c r="U458" s="1">
        <v>1</v>
      </c>
      <c r="V458" s="1">
        <v>1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14</v>
      </c>
      <c r="AD458" s="1">
        <v>14</v>
      </c>
      <c r="AE458" s="1">
        <v>1.42</v>
      </c>
      <c r="AF458" s="1">
        <v>1</v>
      </c>
      <c r="AG458" s="1">
        <v>1.53</v>
      </c>
      <c r="AH458" s="1">
        <v>1</v>
      </c>
      <c r="AI458" s="1">
        <v>3.6</v>
      </c>
      <c r="AJ458" s="1">
        <v>1</v>
      </c>
      <c r="AK458" s="1">
        <v>0</v>
      </c>
      <c r="AL458" s="1">
        <v>1</v>
      </c>
      <c r="AM458" s="1">
        <v>1</v>
      </c>
      <c r="AN458" s="1">
        <v>2.68</v>
      </c>
    </row>
    <row r="459" spans="1:40">
      <c r="A459" s="1">
        <v>2015</v>
      </c>
      <c r="C459" s="1">
        <v>1.45</v>
      </c>
      <c r="D459" s="1">
        <v>1.45</v>
      </c>
      <c r="E459" s="1">
        <v>1.45</v>
      </c>
      <c r="F459" s="1">
        <v>1.45</v>
      </c>
      <c r="G459" s="1">
        <v>1.6</v>
      </c>
      <c r="H459" s="1">
        <v>1</v>
      </c>
      <c r="I459" s="1">
        <v>1</v>
      </c>
      <c r="J459" s="1">
        <v>1.55</v>
      </c>
      <c r="K459" s="1">
        <v>1.55</v>
      </c>
      <c r="L459" s="1">
        <v>1.55</v>
      </c>
      <c r="M459" s="1">
        <v>1.55</v>
      </c>
      <c r="N459" s="1">
        <v>1</v>
      </c>
      <c r="O459" s="1">
        <v>1</v>
      </c>
      <c r="P459" s="1">
        <v>1</v>
      </c>
      <c r="Q459" s="1">
        <v>1</v>
      </c>
      <c r="R459" s="1">
        <v>1</v>
      </c>
      <c r="S459" s="1">
        <v>1</v>
      </c>
      <c r="T459" s="1">
        <v>1</v>
      </c>
      <c r="U459" s="1">
        <v>1</v>
      </c>
      <c r="V459" s="1">
        <v>1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15</v>
      </c>
      <c r="AD459" s="1">
        <v>15</v>
      </c>
      <c r="AE459" s="1">
        <v>1.45</v>
      </c>
      <c r="AF459" s="1">
        <v>1</v>
      </c>
      <c r="AG459" s="1">
        <v>1.55</v>
      </c>
      <c r="AH459" s="1">
        <v>1</v>
      </c>
      <c r="AI459" s="1">
        <v>3.8</v>
      </c>
      <c r="AJ459" s="1">
        <v>1</v>
      </c>
      <c r="AK459" s="1">
        <v>0</v>
      </c>
      <c r="AL459" s="1">
        <v>1</v>
      </c>
      <c r="AM459" s="1">
        <v>1</v>
      </c>
      <c r="AN459" s="1">
        <v>2.8</v>
      </c>
    </row>
    <row r="460" spans="1:40">
      <c r="A460" s="1">
        <v>2016</v>
      </c>
      <c r="C460" s="1">
        <v>1.48</v>
      </c>
      <c r="D460" s="1">
        <v>1.48</v>
      </c>
      <c r="E460" s="1">
        <v>1.48</v>
      </c>
      <c r="F460" s="1">
        <v>1.48</v>
      </c>
      <c r="G460" s="1">
        <v>1.64</v>
      </c>
      <c r="H460" s="1">
        <v>1</v>
      </c>
      <c r="I460" s="1">
        <v>1</v>
      </c>
      <c r="J460" s="1">
        <v>1.57</v>
      </c>
      <c r="K460" s="1">
        <v>1.57</v>
      </c>
      <c r="L460" s="1">
        <v>1.57</v>
      </c>
      <c r="M460" s="1">
        <v>1.57</v>
      </c>
      <c r="N460" s="1">
        <v>1</v>
      </c>
      <c r="O460" s="1">
        <v>1</v>
      </c>
      <c r="P460" s="1">
        <v>1</v>
      </c>
      <c r="Q460" s="1">
        <v>1</v>
      </c>
      <c r="R460" s="1">
        <v>1</v>
      </c>
      <c r="S460" s="1">
        <v>1</v>
      </c>
      <c r="T460" s="1">
        <v>1</v>
      </c>
      <c r="U460" s="1">
        <v>1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16</v>
      </c>
      <c r="AD460" s="1">
        <v>16</v>
      </c>
      <c r="AE460" s="1">
        <v>1.48</v>
      </c>
      <c r="AF460" s="1">
        <v>1</v>
      </c>
      <c r="AG460" s="1">
        <v>1.57</v>
      </c>
      <c r="AH460" s="1">
        <v>1</v>
      </c>
      <c r="AI460" s="1">
        <v>4</v>
      </c>
      <c r="AJ460" s="1">
        <v>1</v>
      </c>
      <c r="AK460" s="1">
        <v>0</v>
      </c>
      <c r="AL460" s="1">
        <v>1</v>
      </c>
      <c r="AM460" s="1">
        <v>1</v>
      </c>
      <c r="AN460" s="1">
        <v>2.92</v>
      </c>
    </row>
    <row r="461" spans="1:40">
      <c r="A461" s="1">
        <v>2017</v>
      </c>
      <c r="C461" s="1">
        <v>1.51</v>
      </c>
      <c r="D461" s="1">
        <v>1.51</v>
      </c>
      <c r="E461" s="1">
        <v>1.51</v>
      </c>
      <c r="F461" s="1">
        <v>1.51</v>
      </c>
      <c r="G461" s="1">
        <v>1.68</v>
      </c>
      <c r="H461" s="1">
        <v>1</v>
      </c>
      <c r="I461" s="1">
        <v>1</v>
      </c>
      <c r="J461" s="1">
        <v>1.59</v>
      </c>
      <c r="K461" s="1">
        <v>1.59</v>
      </c>
      <c r="L461" s="1">
        <v>1.59</v>
      </c>
      <c r="M461" s="1">
        <v>1.59</v>
      </c>
      <c r="N461" s="1">
        <v>1</v>
      </c>
      <c r="O461" s="1">
        <v>1</v>
      </c>
      <c r="P461" s="1">
        <v>1</v>
      </c>
      <c r="Q461" s="1">
        <v>1</v>
      </c>
      <c r="R461" s="1">
        <v>1</v>
      </c>
      <c r="S461" s="1">
        <v>1</v>
      </c>
      <c r="T461" s="1">
        <v>1</v>
      </c>
      <c r="U461" s="1">
        <v>1</v>
      </c>
      <c r="V461" s="1">
        <v>1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17</v>
      </c>
      <c r="AD461" s="1">
        <v>17</v>
      </c>
      <c r="AE461" s="1">
        <v>1.51</v>
      </c>
      <c r="AF461" s="1">
        <v>1</v>
      </c>
      <c r="AG461" s="1">
        <v>1.59</v>
      </c>
      <c r="AH461" s="1">
        <v>1</v>
      </c>
      <c r="AI461" s="1">
        <v>4.2</v>
      </c>
      <c r="AJ461" s="1">
        <v>1</v>
      </c>
      <c r="AK461" s="1">
        <v>0</v>
      </c>
      <c r="AL461" s="1">
        <v>1</v>
      </c>
      <c r="AM461" s="1">
        <v>1</v>
      </c>
      <c r="AN461" s="1">
        <v>3.04</v>
      </c>
    </row>
    <row r="462" spans="1:40">
      <c r="A462" s="1">
        <v>2018</v>
      </c>
      <c r="C462" s="1">
        <v>1.54</v>
      </c>
      <c r="D462" s="1">
        <v>1.54</v>
      </c>
      <c r="E462" s="1">
        <v>1.54</v>
      </c>
      <c r="F462" s="1">
        <v>1.54</v>
      </c>
      <c r="G462" s="1">
        <v>1.72</v>
      </c>
      <c r="H462" s="1">
        <v>1</v>
      </c>
      <c r="I462" s="1">
        <v>1</v>
      </c>
      <c r="J462" s="1">
        <v>1.6</v>
      </c>
      <c r="K462" s="1">
        <v>1.6</v>
      </c>
      <c r="L462" s="1">
        <v>1.6</v>
      </c>
      <c r="M462" s="1">
        <v>1.6</v>
      </c>
      <c r="N462" s="1">
        <v>1</v>
      </c>
      <c r="O462" s="1">
        <v>1</v>
      </c>
      <c r="P462" s="1">
        <v>1</v>
      </c>
      <c r="Q462" s="1">
        <v>1</v>
      </c>
      <c r="R462" s="1">
        <v>1</v>
      </c>
      <c r="S462" s="1">
        <v>1</v>
      </c>
      <c r="T462" s="1">
        <v>1</v>
      </c>
      <c r="U462" s="1">
        <v>1</v>
      </c>
      <c r="V462" s="1">
        <v>1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18</v>
      </c>
      <c r="AD462" s="1">
        <v>18</v>
      </c>
      <c r="AE462" s="1">
        <v>1.54</v>
      </c>
      <c r="AF462" s="1">
        <v>1</v>
      </c>
      <c r="AG462" s="1">
        <v>1.6</v>
      </c>
      <c r="AH462" s="1">
        <v>1</v>
      </c>
      <c r="AI462" s="1">
        <v>4.4000000000000004</v>
      </c>
      <c r="AJ462" s="1">
        <v>1</v>
      </c>
      <c r="AK462" s="1">
        <v>0</v>
      </c>
      <c r="AL462" s="1">
        <v>1</v>
      </c>
      <c r="AM462" s="1">
        <v>1</v>
      </c>
      <c r="AN462" s="1">
        <v>3.16</v>
      </c>
    </row>
    <row r="463" spans="1:40">
      <c r="A463" s="1">
        <v>2019</v>
      </c>
      <c r="C463" s="1">
        <v>1.57</v>
      </c>
      <c r="D463" s="1">
        <v>1.57</v>
      </c>
      <c r="E463" s="1">
        <v>1.57</v>
      </c>
      <c r="F463" s="1">
        <v>1.57</v>
      </c>
      <c r="G463" s="1">
        <v>1.76</v>
      </c>
      <c r="H463" s="1">
        <v>1</v>
      </c>
      <c r="I463" s="1">
        <v>1</v>
      </c>
      <c r="J463" s="1">
        <v>1.62</v>
      </c>
      <c r="K463" s="1">
        <v>1.62</v>
      </c>
      <c r="L463" s="1">
        <v>1.62</v>
      </c>
      <c r="M463" s="1">
        <v>1.62</v>
      </c>
      <c r="N463" s="1">
        <v>1</v>
      </c>
      <c r="O463" s="1">
        <v>1</v>
      </c>
      <c r="P463" s="1">
        <v>1</v>
      </c>
      <c r="Q463" s="1">
        <v>1</v>
      </c>
      <c r="R463" s="1">
        <v>1</v>
      </c>
      <c r="S463" s="1">
        <v>1</v>
      </c>
      <c r="T463" s="1">
        <v>1</v>
      </c>
      <c r="U463" s="1">
        <v>1</v>
      </c>
      <c r="V463" s="1">
        <v>1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19</v>
      </c>
      <c r="AD463" s="1">
        <v>19</v>
      </c>
      <c r="AE463" s="1">
        <v>1.57</v>
      </c>
      <c r="AF463" s="1">
        <v>1</v>
      </c>
      <c r="AG463" s="1">
        <v>1.62</v>
      </c>
      <c r="AH463" s="1">
        <v>1</v>
      </c>
      <c r="AI463" s="1">
        <v>4.5999999999999996</v>
      </c>
      <c r="AJ463" s="1">
        <v>1</v>
      </c>
      <c r="AK463" s="1">
        <v>0</v>
      </c>
      <c r="AL463" s="1">
        <v>1</v>
      </c>
      <c r="AM463" s="1">
        <v>1</v>
      </c>
      <c r="AN463" s="1">
        <v>3.28</v>
      </c>
    </row>
    <row r="464" spans="1:40">
      <c r="A464" s="1">
        <v>2020</v>
      </c>
      <c r="C464" s="1">
        <v>1.6</v>
      </c>
      <c r="D464" s="1">
        <v>1.6</v>
      </c>
      <c r="E464" s="1">
        <v>1.6</v>
      </c>
      <c r="F464" s="1">
        <v>1.6</v>
      </c>
      <c r="G464" s="1">
        <v>1.8</v>
      </c>
      <c r="H464" s="1">
        <v>1</v>
      </c>
      <c r="I464" s="1">
        <v>1</v>
      </c>
      <c r="J464" s="1">
        <v>1.64</v>
      </c>
      <c r="K464" s="1">
        <v>1.64</v>
      </c>
      <c r="L464" s="1">
        <v>1.64</v>
      </c>
      <c r="M464" s="1">
        <v>1.64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20</v>
      </c>
      <c r="AD464" s="1">
        <v>20</v>
      </c>
      <c r="AE464" s="1">
        <v>1.6</v>
      </c>
      <c r="AF464" s="1">
        <v>1</v>
      </c>
      <c r="AG464" s="1">
        <v>1.64</v>
      </c>
      <c r="AH464" s="1">
        <v>1</v>
      </c>
      <c r="AI464" s="1">
        <v>4.8</v>
      </c>
      <c r="AJ464" s="1">
        <v>1</v>
      </c>
      <c r="AK464" s="1">
        <v>0</v>
      </c>
      <c r="AL464" s="1">
        <v>1</v>
      </c>
      <c r="AM464" s="1">
        <v>1</v>
      </c>
      <c r="AN464" s="1">
        <v>3.4</v>
      </c>
    </row>
    <row r="465" spans="1:40">
      <c r="A465" s="1">
        <v>2021</v>
      </c>
      <c r="C465" s="1">
        <v>1.63</v>
      </c>
      <c r="D465" s="1">
        <v>1.63</v>
      </c>
      <c r="E465" s="1">
        <v>1.63</v>
      </c>
      <c r="F465" s="1">
        <v>1.63</v>
      </c>
      <c r="G465" s="1">
        <v>1.84</v>
      </c>
      <c r="H465" s="1">
        <v>1</v>
      </c>
      <c r="I465" s="1">
        <v>1</v>
      </c>
      <c r="J465" s="1">
        <v>1.65</v>
      </c>
      <c r="K465" s="1">
        <v>1.65</v>
      </c>
      <c r="L465" s="1">
        <v>1.65</v>
      </c>
      <c r="M465" s="1">
        <v>1.65</v>
      </c>
      <c r="N465" s="1">
        <v>1</v>
      </c>
      <c r="O465" s="1">
        <v>1</v>
      </c>
      <c r="P465" s="1">
        <v>1</v>
      </c>
      <c r="Q465" s="1">
        <v>1</v>
      </c>
      <c r="R465" s="1">
        <v>1</v>
      </c>
      <c r="S465" s="1">
        <v>1</v>
      </c>
      <c r="T465" s="1">
        <v>1</v>
      </c>
      <c r="U465" s="1">
        <v>1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21</v>
      </c>
      <c r="AD465" s="1">
        <v>21</v>
      </c>
      <c r="AE465" s="1">
        <v>1.63</v>
      </c>
      <c r="AF465" s="1">
        <v>1</v>
      </c>
      <c r="AG465" s="1">
        <v>1.65</v>
      </c>
      <c r="AH465" s="1">
        <v>1</v>
      </c>
      <c r="AI465" s="1">
        <v>5</v>
      </c>
      <c r="AJ465" s="1">
        <v>1</v>
      </c>
      <c r="AK465" s="1">
        <v>0</v>
      </c>
      <c r="AL465" s="1">
        <v>1</v>
      </c>
      <c r="AM465" s="1">
        <v>1</v>
      </c>
      <c r="AN465" s="1">
        <v>3.52</v>
      </c>
    </row>
    <row r="466" spans="1:40">
      <c r="A466" s="1">
        <v>2022</v>
      </c>
      <c r="C466" s="1">
        <v>1.66</v>
      </c>
      <c r="D466" s="1">
        <v>1.66</v>
      </c>
      <c r="E466" s="1">
        <v>1.66</v>
      </c>
      <c r="F466" s="1">
        <v>1.66</v>
      </c>
      <c r="G466" s="1">
        <v>1.88</v>
      </c>
      <c r="H466" s="1">
        <v>1</v>
      </c>
      <c r="I466" s="1">
        <v>1</v>
      </c>
      <c r="J466" s="1">
        <v>1.66</v>
      </c>
      <c r="K466" s="1">
        <v>1.66</v>
      </c>
      <c r="L466" s="1">
        <v>1.66</v>
      </c>
      <c r="M466" s="1">
        <v>1.66</v>
      </c>
      <c r="N466" s="1">
        <v>1</v>
      </c>
      <c r="O466" s="1">
        <v>1</v>
      </c>
      <c r="P466" s="1">
        <v>1</v>
      </c>
      <c r="Q466" s="1">
        <v>1</v>
      </c>
      <c r="R466" s="1">
        <v>1</v>
      </c>
      <c r="S466" s="1">
        <v>1</v>
      </c>
      <c r="T466" s="1">
        <v>1</v>
      </c>
      <c r="U466" s="1">
        <v>1</v>
      </c>
      <c r="V466" s="1">
        <v>1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22</v>
      </c>
      <c r="AD466" s="1">
        <v>22</v>
      </c>
      <c r="AE466" s="1">
        <v>1.66</v>
      </c>
      <c r="AF466" s="1">
        <v>1</v>
      </c>
      <c r="AG466" s="1">
        <v>1.66</v>
      </c>
      <c r="AH466" s="1">
        <v>1</v>
      </c>
      <c r="AI466" s="1">
        <v>5.2</v>
      </c>
      <c r="AJ466" s="1">
        <v>1</v>
      </c>
      <c r="AK466" s="1">
        <v>0</v>
      </c>
      <c r="AL466" s="1">
        <v>1</v>
      </c>
      <c r="AM466" s="1">
        <v>1</v>
      </c>
      <c r="AN466" s="1">
        <v>3.64</v>
      </c>
    </row>
    <row r="467" spans="1:40">
      <c r="A467" s="1">
        <v>2023</v>
      </c>
      <c r="C467" s="1">
        <v>1.69</v>
      </c>
      <c r="D467" s="1">
        <v>1.69</v>
      </c>
      <c r="E467" s="1">
        <v>1.69</v>
      </c>
      <c r="F467" s="1">
        <v>1.69</v>
      </c>
      <c r="G467" s="1">
        <v>1.92</v>
      </c>
      <c r="H467" s="1">
        <v>1</v>
      </c>
      <c r="I467" s="1">
        <v>1</v>
      </c>
      <c r="J467" s="1">
        <v>1.67</v>
      </c>
      <c r="K467" s="1">
        <v>1.67</v>
      </c>
      <c r="L467" s="1">
        <v>1.67</v>
      </c>
      <c r="M467" s="1">
        <v>1.67</v>
      </c>
      <c r="N467" s="1">
        <v>1</v>
      </c>
      <c r="O467" s="1">
        <v>1</v>
      </c>
      <c r="P467" s="1">
        <v>1</v>
      </c>
      <c r="Q467" s="1">
        <v>1</v>
      </c>
      <c r="R467" s="1">
        <v>1</v>
      </c>
      <c r="S467" s="1">
        <v>1</v>
      </c>
      <c r="T467" s="1">
        <v>1</v>
      </c>
      <c r="U467" s="1">
        <v>1</v>
      </c>
      <c r="V467" s="1">
        <v>1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23</v>
      </c>
      <c r="AD467" s="1">
        <v>23</v>
      </c>
      <c r="AE467" s="1">
        <v>1.69</v>
      </c>
      <c r="AF467" s="1">
        <v>1</v>
      </c>
      <c r="AG467" s="1">
        <v>1.67</v>
      </c>
      <c r="AH467" s="1">
        <v>1</v>
      </c>
      <c r="AI467" s="1">
        <v>5.4</v>
      </c>
      <c r="AJ467" s="1">
        <v>1</v>
      </c>
      <c r="AK467" s="1">
        <v>0</v>
      </c>
      <c r="AL467" s="1">
        <v>1</v>
      </c>
      <c r="AM467" s="1">
        <v>1</v>
      </c>
      <c r="AN467" s="1">
        <v>3.76</v>
      </c>
    </row>
    <row r="468" spans="1:40">
      <c r="A468" s="1">
        <v>2024</v>
      </c>
      <c r="C468" s="1">
        <v>1.72</v>
      </c>
      <c r="D468" s="1">
        <v>1.72</v>
      </c>
      <c r="E468" s="1">
        <v>1.72</v>
      </c>
      <c r="F468" s="1">
        <v>1.72</v>
      </c>
      <c r="G468" s="1">
        <v>1.96</v>
      </c>
      <c r="H468" s="1">
        <v>1</v>
      </c>
      <c r="I468" s="1">
        <v>1</v>
      </c>
      <c r="J468" s="1">
        <v>1.68</v>
      </c>
      <c r="K468" s="1">
        <v>1.68</v>
      </c>
      <c r="L468" s="1">
        <v>1.68</v>
      </c>
      <c r="M468" s="1">
        <v>1.68</v>
      </c>
      <c r="N468" s="1">
        <v>1</v>
      </c>
      <c r="O468" s="1">
        <v>1</v>
      </c>
      <c r="P468" s="1">
        <v>1</v>
      </c>
      <c r="Q468" s="1">
        <v>1</v>
      </c>
      <c r="R468" s="1">
        <v>1</v>
      </c>
      <c r="S468" s="1">
        <v>1</v>
      </c>
      <c r="T468" s="1">
        <v>1</v>
      </c>
      <c r="U468" s="1">
        <v>1</v>
      </c>
      <c r="V468" s="1">
        <v>1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24</v>
      </c>
      <c r="AD468" s="1">
        <v>24</v>
      </c>
      <c r="AE468" s="1">
        <v>1.72</v>
      </c>
      <c r="AF468" s="1">
        <v>1</v>
      </c>
      <c r="AG468" s="1">
        <v>1.68</v>
      </c>
      <c r="AH468" s="1">
        <v>1</v>
      </c>
      <c r="AI468" s="1">
        <v>5.6</v>
      </c>
      <c r="AJ468" s="1">
        <v>1</v>
      </c>
      <c r="AK468" s="1">
        <v>0</v>
      </c>
      <c r="AL468" s="1">
        <v>1</v>
      </c>
      <c r="AM468" s="1">
        <v>1</v>
      </c>
      <c r="AN468" s="1">
        <v>3.88</v>
      </c>
    </row>
    <row r="469" spans="1:40">
      <c r="A469" s="1">
        <v>2025</v>
      </c>
      <c r="C469" s="1">
        <v>1.75</v>
      </c>
      <c r="D469" s="1">
        <v>1.75</v>
      </c>
      <c r="E469" s="1">
        <v>1.75</v>
      </c>
      <c r="F469" s="1">
        <v>1.75</v>
      </c>
      <c r="G469" s="1">
        <v>2</v>
      </c>
      <c r="H469" s="1">
        <v>1</v>
      </c>
      <c r="I469" s="1">
        <v>1</v>
      </c>
      <c r="J469" s="1">
        <v>1.69</v>
      </c>
      <c r="K469" s="1">
        <v>1.69</v>
      </c>
      <c r="L469" s="1">
        <v>1.69</v>
      </c>
      <c r="M469" s="1">
        <v>1.69</v>
      </c>
      <c r="N469" s="1">
        <v>1</v>
      </c>
      <c r="O469" s="1">
        <v>1</v>
      </c>
      <c r="P469" s="1">
        <v>1</v>
      </c>
      <c r="Q469" s="1">
        <v>1</v>
      </c>
      <c r="R469" s="1">
        <v>1</v>
      </c>
      <c r="S469" s="1">
        <v>1</v>
      </c>
      <c r="T469" s="1">
        <v>1</v>
      </c>
      <c r="U469" s="1">
        <v>1</v>
      </c>
      <c r="V469" s="1">
        <v>1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25</v>
      </c>
      <c r="AD469" s="1">
        <v>25</v>
      </c>
      <c r="AE469" s="1">
        <v>1.75</v>
      </c>
      <c r="AF469" s="1">
        <v>1</v>
      </c>
      <c r="AG469" s="1">
        <v>1.69</v>
      </c>
      <c r="AH469" s="1">
        <v>1</v>
      </c>
      <c r="AI469" s="1">
        <v>5.8</v>
      </c>
      <c r="AJ469" s="1">
        <v>1</v>
      </c>
      <c r="AK469" s="1">
        <v>0</v>
      </c>
      <c r="AL469" s="1">
        <v>1</v>
      </c>
      <c r="AM469" s="1">
        <v>1</v>
      </c>
      <c r="AN469" s="1">
        <v>4</v>
      </c>
    </row>
    <row r="470" spans="1:40">
      <c r="A470" s="1">
        <v>2100</v>
      </c>
      <c r="C470" s="1">
        <v>1</v>
      </c>
      <c r="D470" s="1">
        <v>1</v>
      </c>
      <c r="E470" s="1">
        <v>1</v>
      </c>
      <c r="F470" s="1">
        <v>1</v>
      </c>
      <c r="G470" s="1">
        <v>1</v>
      </c>
      <c r="H470" s="1">
        <v>1</v>
      </c>
      <c r="I470" s="1">
        <v>1</v>
      </c>
      <c r="J470" s="1">
        <v>1</v>
      </c>
      <c r="K470" s="1">
        <v>1</v>
      </c>
      <c r="L470" s="1">
        <v>1</v>
      </c>
      <c r="M470" s="1">
        <v>1</v>
      </c>
      <c r="N470" s="1">
        <v>1</v>
      </c>
      <c r="O470" s="1">
        <v>1</v>
      </c>
      <c r="P470" s="1">
        <v>1</v>
      </c>
      <c r="Q470" s="1">
        <v>1</v>
      </c>
      <c r="R470" s="1">
        <v>1</v>
      </c>
      <c r="S470" s="1">
        <v>1</v>
      </c>
      <c r="T470" s="1">
        <v>1</v>
      </c>
      <c r="U470" s="1">
        <v>1</v>
      </c>
      <c r="V470" s="1">
        <v>1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1</v>
      </c>
      <c r="AF470" s="1">
        <v>1</v>
      </c>
      <c r="AG470" s="1">
        <v>1</v>
      </c>
      <c r="AH470" s="1">
        <v>1</v>
      </c>
      <c r="AI470" s="1">
        <v>1</v>
      </c>
      <c r="AJ470" s="1">
        <v>1</v>
      </c>
      <c r="AK470" s="1">
        <v>0</v>
      </c>
      <c r="AL470" s="1">
        <v>1</v>
      </c>
      <c r="AM470" s="1">
        <v>1</v>
      </c>
      <c r="AN470" s="1">
        <v>1</v>
      </c>
    </row>
    <row r="471" spans="1:40">
      <c r="A471" s="1">
        <v>2101</v>
      </c>
      <c r="C471" s="1">
        <v>1.03</v>
      </c>
      <c r="D471" s="1">
        <v>1.03</v>
      </c>
      <c r="E471" s="1">
        <v>1.03</v>
      </c>
      <c r="F471" s="1">
        <v>1.03</v>
      </c>
      <c r="G471" s="1">
        <v>1.04</v>
      </c>
      <c r="H471" s="1">
        <v>1</v>
      </c>
      <c r="I471" s="1">
        <v>1</v>
      </c>
      <c r="J471" s="1">
        <v>1.07</v>
      </c>
      <c r="K471" s="1">
        <v>1.07</v>
      </c>
      <c r="L471" s="1">
        <v>1.07</v>
      </c>
      <c r="M471" s="1">
        <v>1.07</v>
      </c>
      <c r="N471" s="1">
        <v>1</v>
      </c>
      <c r="O471" s="1">
        <v>1</v>
      </c>
      <c r="P471" s="1">
        <v>1</v>
      </c>
      <c r="Q471" s="1">
        <v>1</v>
      </c>
      <c r="R471" s="1">
        <v>1</v>
      </c>
      <c r="S471" s="1">
        <v>1</v>
      </c>
      <c r="T471" s="1">
        <v>1</v>
      </c>
      <c r="U471" s="1">
        <v>1</v>
      </c>
      <c r="V471" s="1">
        <v>1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1</v>
      </c>
      <c r="AD471" s="1">
        <v>1</v>
      </c>
      <c r="AE471" s="1">
        <v>1.03</v>
      </c>
      <c r="AF471" s="1">
        <v>1</v>
      </c>
      <c r="AG471" s="1">
        <v>1.07</v>
      </c>
      <c r="AH471" s="1">
        <v>1</v>
      </c>
      <c r="AI471" s="1">
        <v>1</v>
      </c>
      <c r="AJ471" s="1">
        <v>1</v>
      </c>
      <c r="AK471" s="1">
        <v>0</v>
      </c>
      <c r="AL471" s="1">
        <v>1</v>
      </c>
      <c r="AM471" s="1">
        <v>1</v>
      </c>
      <c r="AN471" s="1">
        <v>1.1200000000000001</v>
      </c>
    </row>
    <row r="472" spans="1:40">
      <c r="A472" s="1">
        <v>2102</v>
      </c>
      <c r="C472" s="1">
        <v>1.06</v>
      </c>
      <c r="D472" s="1">
        <v>1.06</v>
      </c>
      <c r="E472" s="1">
        <v>1.06</v>
      </c>
      <c r="F472" s="1">
        <v>1.06</v>
      </c>
      <c r="G472" s="1">
        <v>1.08</v>
      </c>
      <c r="H472" s="1">
        <v>1</v>
      </c>
      <c r="I472" s="1">
        <v>1</v>
      </c>
      <c r="J472" s="1">
        <v>1.1399999999999999</v>
      </c>
      <c r="K472" s="1">
        <v>1.1399999999999999</v>
      </c>
      <c r="L472" s="1">
        <v>1.1399999999999999</v>
      </c>
      <c r="M472" s="1">
        <v>1.1399999999999999</v>
      </c>
      <c r="N472" s="1">
        <v>1</v>
      </c>
      <c r="O472" s="1">
        <v>1</v>
      </c>
      <c r="P472" s="1">
        <v>1</v>
      </c>
      <c r="Q472" s="1">
        <v>1</v>
      </c>
      <c r="R472" s="1">
        <v>1</v>
      </c>
      <c r="S472" s="1">
        <v>1</v>
      </c>
      <c r="T472" s="1">
        <v>1</v>
      </c>
      <c r="U472" s="1">
        <v>1</v>
      </c>
      <c r="V472" s="1">
        <v>1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2</v>
      </c>
      <c r="AD472" s="1">
        <v>2</v>
      </c>
      <c r="AE472" s="1">
        <v>1.06</v>
      </c>
      <c r="AF472" s="1">
        <v>1</v>
      </c>
      <c r="AG472" s="1">
        <v>1.1399999999999999</v>
      </c>
      <c r="AH472" s="1">
        <v>1</v>
      </c>
      <c r="AI472" s="1">
        <v>1.2</v>
      </c>
      <c r="AJ472" s="1">
        <v>1</v>
      </c>
      <c r="AK472" s="1">
        <v>0</v>
      </c>
      <c r="AL472" s="1">
        <v>1</v>
      </c>
      <c r="AM472" s="1">
        <v>1</v>
      </c>
      <c r="AN472" s="1">
        <v>1.24</v>
      </c>
    </row>
    <row r="473" spans="1:40">
      <c r="A473" s="1">
        <v>2103</v>
      </c>
      <c r="C473" s="1">
        <v>1.0900000000000001</v>
      </c>
      <c r="D473" s="1">
        <v>1.0900000000000001</v>
      </c>
      <c r="E473" s="1">
        <v>1.0900000000000001</v>
      </c>
      <c r="F473" s="1">
        <v>1.0900000000000001</v>
      </c>
      <c r="G473" s="1">
        <v>1.1200000000000001</v>
      </c>
      <c r="H473" s="1">
        <v>1</v>
      </c>
      <c r="I473" s="1">
        <v>1</v>
      </c>
      <c r="J473" s="1">
        <v>1.21</v>
      </c>
      <c r="K473" s="1">
        <v>1.21</v>
      </c>
      <c r="L473" s="1">
        <v>1.21</v>
      </c>
      <c r="M473" s="1">
        <v>1.21</v>
      </c>
      <c r="N473" s="1">
        <v>1</v>
      </c>
      <c r="O473" s="1">
        <v>1</v>
      </c>
      <c r="P473" s="1">
        <v>1</v>
      </c>
      <c r="Q473" s="1">
        <v>1</v>
      </c>
      <c r="R473" s="1">
        <v>1</v>
      </c>
      <c r="S473" s="1">
        <v>1</v>
      </c>
      <c r="T473" s="1">
        <v>1</v>
      </c>
      <c r="U473" s="1">
        <v>1</v>
      </c>
      <c r="V473" s="1">
        <v>1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3</v>
      </c>
      <c r="AD473" s="1">
        <v>3</v>
      </c>
      <c r="AE473" s="1">
        <v>1.0900000000000001</v>
      </c>
      <c r="AF473" s="1">
        <v>1</v>
      </c>
      <c r="AG473" s="1">
        <v>1.21</v>
      </c>
      <c r="AH473" s="1">
        <v>1</v>
      </c>
      <c r="AI473" s="1">
        <v>1.4</v>
      </c>
      <c r="AJ473" s="1">
        <v>1</v>
      </c>
      <c r="AK473" s="1">
        <v>0</v>
      </c>
      <c r="AL473" s="1">
        <v>1</v>
      </c>
      <c r="AM473" s="1">
        <v>1</v>
      </c>
      <c r="AN473" s="1">
        <v>1.36</v>
      </c>
    </row>
    <row r="474" spans="1:40">
      <c r="A474" s="1">
        <v>2104</v>
      </c>
      <c r="C474" s="1">
        <v>1.1200000000000001</v>
      </c>
      <c r="D474" s="1">
        <v>1.1200000000000001</v>
      </c>
      <c r="E474" s="1">
        <v>1.1200000000000001</v>
      </c>
      <c r="F474" s="1">
        <v>1.1200000000000001</v>
      </c>
      <c r="G474" s="1">
        <v>1.1599999999999999</v>
      </c>
      <c r="H474" s="1">
        <v>1</v>
      </c>
      <c r="I474" s="1">
        <v>1</v>
      </c>
      <c r="J474" s="1">
        <v>1.28</v>
      </c>
      <c r="K474" s="1">
        <v>1.28</v>
      </c>
      <c r="L474" s="1">
        <v>1.28</v>
      </c>
      <c r="M474" s="1">
        <v>1.28</v>
      </c>
      <c r="N474" s="1">
        <v>1</v>
      </c>
      <c r="O474" s="1">
        <v>1</v>
      </c>
      <c r="P474" s="1">
        <v>1</v>
      </c>
      <c r="Q474" s="1">
        <v>1</v>
      </c>
      <c r="R474" s="1">
        <v>1</v>
      </c>
      <c r="S474" s="1">
        <v>1</v>
      </c>
      <c r="T474" s="1">
        <v>1</v>
      </c>
      <c r="U474" s="1">
        <v>1</v>
      </c>
      <c r="V474" s="1">
        <v>1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4</v>
      </c>
      <c r="AD474" s="1">
        <v>4</v>
      </c>
      <c r="AE474" s="1">
        <v>1.1200000000000001</v>
      </c>
      <c r="AF474" s="1">
        <v>1</v>
      </c>
      <c r="AG474" s="1">
        <v>1.28</v>
      </c>
      <c r="AH474" s="1">
        <v>1</v>
      </c>
      <c r="AI474" s="1">
        <v>1.6</v>
      </c>
      <c r="AJ474" s="1">
        <v>1</v>
      </c>
      <c r="AK474" s="1">
        <v>0</v>
      </c>
      <c r="AL474" s="1">
        <v>1</v>
      </c>
      <c r="AM474" s="1">
        <v>1</v>
      </c>
      <c r="AN474" s="1">
        <v>1.48</v>
      </c>
    </row>
    <row r="475" spans="1:40">
      <c r="A475" s="1">
        <v>2105</v>
      </c>
      <c r="C475" s="1">
        <v>1.1499999999999999</v>
      </c>
      <c r="D475" s="1">
        <v>1.1499999999999999</v>
      </c>
      <c r="E475" s="1">
        <v>1.1499999999999999</v>
      </c>
      <c r="F475" s="1">
        <v>1.1499999999999999</v>
      </c>
      <c r="G475" s="1">
        <v>1.2</v>
      </c>
      <c r="H475" s="1">
        <v>1</v>
      </c>
      <c r="I475" s="1">
        <v>1</v>
      </c>
      <c r="J475" s="1">
        <v>1.35</v>
      </c>
      <c r="K475" s="1">
        <v>1.35</v>
      </c>
      <c r="L475" s="1">
        <v>1.35</v>
      </c>
      <c r="M475" s="1">
        <v>1.35</v>
      </c>
      <c r="N475" s="1">
        <v>1</v>
      </c>
      <c r="O475" s="1">
        <v>1</v>
      </c>
      <c r="P475" s="1">
        <v>1</v>
      </c>
      <c r="Q475" s="1">
        <v>1</v>
      </c>
      <c r="R475" s="1">
        <v>1</v>
      </c>
      <c r="S475" s="1">
        <v>1</v>
      </c>
      <c r="T475" s="1">
        <v>1</v>
      </c>
      <c r="U475" s="1">
        <v>1</v>
      </c>
      <c r="V475" s="1">
        <v>1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5</v>
      </c>
      <c r="AD475" s="1">
        <v>5</v>
      </c>
      <c r="AE475" s="1">
        <v>1.1499999999999999</v>
      </c>
      <c r="AF475" s="1">
        <v>1</v>
      </c>
      <c r="AG475" s="1">
        <v>1.35</v>
      </c>
      <c r="AH475" s="1">
        <v>1</v>
      </c>
      <c r="AI475" s="1">
        <v>1.8</v>
      </c>
      <c r="AJ475" s="1">
        <v>1</v>
      </c>
      <c r="AK475" s="1">
        <v>0</v>
      </c>
      <c r="AL475" s="1">
        <v>1</v>
      </c>
      <c r="AM475" s="1">
        <v>1</v>
      </c>
      <c r="AN475" s="1">
        <v>1.6</v>
      </c>
    </row>
    <row r="476" spans="1:40">
      <c r="A476" s="1">
        <v>2106</v>
      </c>
      <c r="C476" s="1">
        <v>1.18</v>
      </c>
      <c r="D476" s="1">
        <v>1.18</v>
      </c>
      <c r="E476" s="1">
        <v>1.18</v>
      </c>
      <c r="F476" s="1">
        <v>1.18</v>
      </c>
      <c r="G476" s="1">
        <v>1.24</v>
      </c>
      <c r="H476" s="1">
        <v>1</v>
      </c>
      <c r="I476" s="1">
        <v>1</v>
      </c>
      <c r="J476" s="1">
        <v>1.42</v>
      </c>
      <c r="K476" s="1">
        <v>1.42</v>
      </c>
      <c r="L476" s="1">
        <v>1.42</v>
      </c>
      <c r="M476" s="1">
        <v>1.42</v>
      </c>
      <c r="N476" s="1">
        <v>1</v>
      </c>
      <c r="O476" s="1">
        <v>1</v>
      </c>
      <c r="P476" s="1">
        <v>1</v>
      </c>
      <c r="Q476" s="1">
        <v>1</v>
      </c>
      <c r="R476" s="1">
        <v>1</v>
      </c>
      <c r="S476" s="1">
        <v>1</v>
      </c>
      <c r="T476" s="1">
        <v>1</v>
      </c>
      <c r="U476" s="1">
        <v>1</v>
      </c>
      <c r="V476" s="1">
        <v>1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6</v>
      </c>
      <c r="AD476" s="1">
        <v>6</v>
      </c>
      <c r="AE476" s="1">
        <v>1.18</v>
      </c>
      <c r="AF476" s="1">
        <v>1</v>
      </c>
      <c r="AG476" s="1">
        <v>1.42</v>
      </c>
      <c r="AH476" s="1">
        <v>1</v>
      </c>
      <c r="AI476" s="1">
        <v>2</v>
      </c>
      <c r="AJ476" s="1">
        <v>1</v>
      </c>
      <c r="AK476" s="1">
        <v>0</v>
      </c>
      <c r="AL476" s="1">
        <v>1</v>
      </c>
      <c r="AM476" s="1">
        <v>1</v>
      </c>
      <c r="AN476" s="1">
        <v>1.72</v>
      </c>
    </row>
    <row r="477" spans="1:40">
      <c r="A477" s="1">
        <v>2107</v>
      </c>
      <c r="C477" s="1">
        <v>1.21</v>
      </c>
      <c r="D477" s="1">
        <v>1.21</v>
      </c>
      <c r="E477" s="1">
        <v>1.21</v>
      </c>
      <c r="F477" s="1">
        <v>1.21</v>
      </c>
      <c r="G477" s="1">
        <v>1.28</v>
      </c>
      <c r="H477" s="1">
        <v>1</v>
      </c>
      <c r="I477" s="1">
        <v>1</v>
      </c>
      <c r="J477" s="1">
        <v>1.49</v>
      </c>
      <c r="K477" s="1">
        <v>1.49</v>
      </c>
      <c r="L477" s="1">
        <v>1.49</v>
      </c>
      <c r="M477" s="1">
        <v>1.49</v>
      </c>
      <c r="N477" s="1">
        <v>1</v>
      </c>
      <c r="O477" s="1">
        <v>1</v>
      </c>
      <c r="P477" s="1">
        <v>1</v>
      </c>
      <c r="Q477" s="1">
        <v>1</v>
      </c>
      <c r="R477" s="1">
        <v>1</v>
      </c>
      <c r="S477" s="1">
        <v>1</v>
      </c>
      <c r="T477" s="1">
        <v>1</v>
      </c>
      <c r="U477" s="1">
        <v>1</v>
      </c>
      <c r="V477" s="1">
        <v>1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7</v>
      </c>
      <c r="AD477" s="1">
        <v>7</v>
      </c>
      <c r="AE477" s="1">
        <v>1.21</v>
      </c>
      <c r="AF477" s="1">
        <v>1</v>
      </c>
      <c r="AG477" s="1">
        <v>1.49</v>
      </c>
      <c r="AH477" s="1">
        <v>1</v>
      </c>
      <c r="AI477" s="1">
        <v>2.2000000000000002</v>
      </c>
      <c r="AJ477" s="1">
        <v>1</v>
      </c>
      <c r="AK477" s="1">
        <v>0</v>
      </c>
      <c r="AL477" s="1">
        <v>1</v>
      </c>
      <c r="AM477" s="1">
        <v>1</v>
      </c>
      <c r="AN477" s="1">
        <v>1.84</v>
      </c>
    </row>
    <row r="478" spans="1:40">
      <c r="A478" s="1">
        <v>2108</v>
      </c>
      <c r="C478" s="1">
        <v>1.24</v>
      </c>
      <c r="D478" s="1">
        <v>1.24</v>
      </c>
      <c r="E478" s="1">
        <v>1.24</v>
      </c>
      <c r="F478" s="1">
        <v>1.24</v>
      </c>
      <c r="G478" s="1">
        <v>1.32</v>
      </c>
      <c r="H478" s="1">
        <v>1</v>
      </c>
      <c r="I478" s="1">
        <v>1</v>
      </c>
      <c r="J478" s="1">
        <v>1.56</v>
      </c>
      <c r="K478" s="1">
        <v>1.56</v>
      </c>
      <c r="L478" s="1">
        <v>1.56</v>
      </c>
      <c r="M478" s="1">
        <v>1.56</v>
      </c>
      <c r="N478" s="1">
        <v>1</v>
      </c>
      <c r="O478" s="1">
        <v>1</v>
      </c>
      <c r="P478" s="1">
        <v>1</v>
      </c>
      <c r="Q478" s="1">
        <v>1</v>
      </c>
      <c r="R478" s="1">
        <v>1</v>
      </c>
      <c r="S478" s="1">
        <v>1</v>
      </c>
      <c r="T478" s="1">
        <v>1</v>
      </c>
      <c r="U478" s="1">
        <v>1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8</v>
      </c>
      <c r="AD478" s="1">
        <v>8</v>
      </c>
      <c r="AE478" s="1">
        <v>1.24</v>
      </c>
      <c r="AF478" s="1">
        <v>1</v>
      </c>
      <c r="AG478" s="1">
        <v>1.56</v>
      </c>
      <c r="AH478" s="1">
        <v>1</v>
      </c>
      <c r="AI478" s="1">
        <v>2.4</v>
      </c>
      <c r="AJ478" s="1">
        <v>1</v>
      </c>
      <c r="AK478" s="1">
        <v>0</v>
      </c>
      <c r="AL478" s="1">
        <v>1</v>
      </c>
      <c r="AM478" s="1">
        <v>1</v>
      </c>
      <c r="AN478" s="1">
        <v>1.96</v>
      </c>
    </row>
    <row r="479" spans="1:40">
      <c r="A479" s="1">
        <v>2109</v>
      </c>
      <c r="C479" s="1">
        <v>1.27</v>
      </c>
      <c r="D479" s="1">
        <v>1.27</v>
      </c>
      <c r="E479" s="1">
        <v>1.27</v>
      </c>
      <c r="F479" s="1">
        <v>1.27</v>
      </c>
      <c r="G479" s="1">
        <v>1.36</v>
      </c>
      <c r="H479" s="1">
        <v>1</v>
      </c>
      <c r="I479" s="1">
        <v>1</v>
      </c>
      <c r="J479" s="1">
        <v>1.63</v>
      </c>
      <c r="K479" s="1">
        <v>1.63</v>
      </c>
      <c r="L479" s="1">
        <v>1.63</v>
      </c>
      <c r="M479" s="1">
        <v>1.63</v>
      </c>
      <c r="N479" s="1">
        <v>1</v>
      </c>
      <c r="O479" s="1">
        <v>1</v>
      </c>
      <c r="P479" s="1">
        <v>1</v>
      </c>
      <c r="Q479" s="1">
        <v>1</v>
      </c>
      <c r="R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9</v>
      </c>
      <c r="AD479" s="1">
        <v>9</v>
      </c>
      <c r="AE479" s="1">
        <v>1.27</v>
      </c>
      <c r="AF479" s="1">
        <v>1</v>
      </c>
      <c r="AG479" s="1">
        <v>1.63</v>
      </c>
      <c r="AH479" s="1">
        <v>1</v>
      </c>
      <c r="AI479" s="1">
        <v>2.6</v>
      </c>
      <c r="AJ479" s="1">
        <v>1</v>
      </c>
      <c r="AK479" s="1">
        <v>0</v>
      </c>
      <c r="AL479" s="1">
        <v>1</v>
      </c>
      <c r="AM479" s="1">
        <v>1</v>
      </c>
      <c r="AN479" s="1">
        <v>2.08</v>
      </c>
    </row>
    <row r="480" spans="1:40">
      <c r="A480" s="1">
        <v>2110</v>
      </c>
      <c r="C480" s="1">
        <v>1.3</v>
      </c>
      <c r="D480" s="1">
        <v>1.3</v>
      </c>
      <c r="E480" s="1">
        <v>1.3</v>
      </c>
      <c r="F480" s="1">
        <v>1.3</v>
      </c>
      <c r="G480" s="1">
        <v>1.4</v>
      </c>
      <c r="H480" s="1">
        <v>1</v>
      </c>
      <c r="I480" s="1">
        <v>1</v>
      </c>
      <c r="J480" s="1">
        <v>1.7</v>
      </c>
      <c r="K480" s="1">
        <v>1.7</v>
      </c>
      <c r="L480" s="1">
        <v>1.7</v>
      </c>
      <c r="M480" s="1">
        <v>1.7</v>
      </c>
      <c r="N480" s="1">
        <v>1</v>
      </c>
      <c r="O480" s="1">
        <v>1</v>
      </c>
      <c r="P480" s="1">
        <v>1</v>
      </c>
      <c r="Q480" s="1">
        <v>1</v>
      </c>
      <c r="R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10</v>
      </c>
      <c r="AD480" s="1">
        <v>10</v>
      </c>
      <c r="AE480" s="1">
        <v>1.3</v>
      </c>
      <c r="AF480" s="1">
        <v>1</v>
      </c>
      <c r="AG480" s="1">
        <v>1.7</v>
      </c>
      <c r="AH480" s="1">
        <v>1</v>
      </c>
      <c r="AI480" s="1">
        <v>2.8</v>
      </c>
      <c r="AJ480" s="1">
        <v>1</v>
      </c>
      <c r="AK480" s="1">
        <v>0</v>
      </c>
      <c r="AL480" s="1">
        <v>1</v>
      </c>
      <c r="AM480" s="1">
        <v>1</v>
      </c>
      <c r="AN480" s="1">
        <v>2.2000000000000002</v>
      </c>
    </row>
    <row r="481" spans="1:40">
      <c r="A481" s="1">
        <v>2111</v>
      </c>
      <c r="C481" s="1">
        <v>1.33</v>
      </c>
      <c r="D481" s="1">
        <v>1.33</v>
      </c>
      <c r="E481" s="1">
        <v>1.33</v>
      </c>
      <c r="F481" s="1">
        <v>1.33</v>
      </c>
      <c r="G481" s="1">
        <v>1.44</v>
      </c>
      <c r="H481" s="1">
        <v>1</v>
      </c>
      <c r="I481" s="1">
        <v>1</v>
      </c>
      <c r="J481" s="1">
        <v>1.73</v>
      </c>
      <c r="K481" s="1">
        <v>1.73</v>
      </c>
      <c r="L481" s="1">
        <v>1.73</v>
      </c>
      <c r="M481" s="1">
        <v>1.73</v>
      </c>
      <c r="N481" s="1">
        <v>1</v>
      </c>
      <c r="O481" s="1">
        <v>1</v>
      </c>
      <c r="P481" s="1">
        <v>1</v>
      </c>
      <c r="Q481" s="1">
        <v>1</v>
      </c>
      <c r="R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11</v>
      </c>
      <c r="AD481" s="1">
        <v>11</v>
      </c>
      <c r="AE481" s="1">
        <v>1.33</v>
      </c>
      <c r="AF481" s="1">
        <v>1</v>
      </c>
      <c r="AG481" s="1">
        <v>1.73</v>
      </c>
      <c r="AH481" s="1">
        <v>1</v>
      </c>
      <c r="AI481" s="1">
        <v>3</v>
      </c>
      <c r="AJ481" s="1">
        <v>1</v>
      </c>
      <c r="AK481" s="1">
        <v>0</v>
      </c>
      <c r="AL481" s="1">
        <v>1</v>
      </c>
      <c r="AM481" s="1">
        <v>1</v>
      </c>
      <c r="AN481" s="1">
        <v>2.3199999999999998</v>
      </c>
    </row>
    <row r="482" spans="1:40">
      <c r="A482" s="1">
        <v>2112</v>
      </c>
      <c r="C482" s="1">
        <v>1.36</v>
      </c>
      <c r="D482" s="1">
        <v>1.36</v>
      </c>
      <c r="E482" s="1">
        <v>1.36</v>
      </c>
      <c r="F482" s="1">
        <v>1.36</v>
      </c>
      <c r="G482" s="1">
        <v>1.48</v>
      </c>
      <c r="H482" s="1">
        <v>1</v>
      </c>
      <c r="I482" s="1">
        <v>1</v>
      </c>
      <c r="J482" s="1">
        <v>1.76</v>
      </c>
      <c r="K482" s="1">
        <v>1.76</v>
      </c>
      <c r="L482" s="1">
        <v>1.76</v>
      </c>
      <c r="M482" s="1">
        <v>1.76</v>
      </c>
      <c r="N482" s="1">
        <v>1</v>
      </c>
      <c r="O482" s="1">
        <v>1</v>
      </c>
      <c r="P482" s="1">
        <v>1</v>
      </c>
      <c r="Q482" s="1">
        <v>1</v>
      </c>
      <c r="R482" s="1">
        <v>1</v>
      </c>
      <c r="S482" s="1">
        <v>1</v>
      </c>
      <c r="T482" s="1">
        <v>1</v>
      </c>
      <c r="U482" s="1">
        <v>1</v>
      </c>
      <c r="V482" s="1">
        <v>1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12</v>
      </c>
      <c r="AD482" s="1">
        <v>12</v>
      </c>
      <c r="AE482" s="1">
        <v>1.36</v>
      </c>
      <c r="AF482" s="1">
        <v>1</v>
      </c>
      <c r="AG482" s="1">
        <v>1.76</v>
      </c>
      <c r="AH482" s="1">
        <v>1</v>
      </c>
      <c r="AI482" s="1">
        <v>3.2</v>
      </c>
      <c r="AJ482" s="1">
        <v>1</v>
      </c>
      <c r="AK482" s="1">
        <v>0</v>
      </c>
      <c r="AL482" s="1">
        <v>1</v>
      </c>
      <c r="AM482" s="1">
        <v>1</v>
      </c>
      <c r="AN482" s="1">
        <v>2.44</v>
      </c>
    </row>
    <row r="483" spans="1:40">
      <c r="A483" s="1">
        <v>2113</v>
      </c>
      <c r="C483" s="1">
        <v>1.39</v>
      </c>
      <c r="D483" s="1">
        <v>1.39</v>
      </c>
      <c r="E483" s="1">
        <v>1.39</v>
      </c>
      <c r="F483" s="1">
        <v>1.39</v>
      </c>
      <c r="G483" s="1">
        <v>1.52</v>
      </c>
      <c r="H483" s="1">
        <v>1</v>
      </c>
      <c r="I483" s="1">
        <v>1</v>
      </c>
      <c r="J483" s="1">
        <v>1.79</v>
      </c>
      <c r="K483" s="1">
        <v>1.79</v>
      </c>
      <c r="L483" s="1">
        <v>1.79</v>
      </c>
      <c r="M483" s="1">
        <v>1.79</v>
      </c>
      <c r="N483" s="1">
        <v>1</v>
      </c>
      <c r="O483" s="1">
        <v>1</v>
      </c>
      <c r="P483" s="1">
        <v>1</v>
      </c>
      <c r="Q483" s="1">
        <v>1</v>
      </c>
      <c r="R483" s="1">
        <v>1</v>
      </c>
      <c r="S483" s="1">
        <v>1</v>
      </c>
      <c r="T483" s="1">
        <v>1</v>
      </c>
      <c r="U483" s="1">
        <v>1</v>
      </c>
      <c r="V483" s="1">
        <v>1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13</v>
      </c>
      <c r="AD483" s="1">
        <v>13</v>
      </c>
      <c r="AE483" s="1">
        <v>1.39</v>
      </c>
      <c r="AF483" s="1">
        <v>1</v>
      </c>
      <c r="AG483" s="1">
        <v>1.79</v>
      </c>
      <c r="AH483" s="1">
        <v>1</v>
      </c>
      <c r="AI483" s="1">
        <v>3.4</v>
      </c>
      <c r="AJ483" s="1">
        <v>1</v>
      </c>
      <c r="AK483" s="1">
        <v>0</v>
      </c>
      <c r="AL483" s="1">
        <v>1</v>
      </c>
      <c r="AM483" s="1">
        <v>1</v>
      </c>
      <c r="AN483" s="1">
        <v>2.56</v>
      </c>
    </row>
    <row r="484" spans="1:40">
      <c r="A484" s="1">
        <v>2114</v>
      </c>
      <c r="C484" s="1">
        <v>1.42</v>
      </c>
      <c r="D484" s="1">
        <v>1.42</v>
      </c>
      <c r="E484" s="1">
        <v>1.42</v>
      </c>
      <c r="F484" s="1">
        <v>1.42</v>
      </c>
      <c r="G484" s="1">
        <v>1.56</v>
      </c>
      <c r="H484" s="1">
        <v>1</v>
      </c>
      <c r="I484" s="1">
        <v>1</v>
      </c>
      <c r="J484" s="1">
        <v>1.82</v>
      </c>
      <c r="K484" s="1">
        <v>1.82</v>
      </c>
      <c r="L484" s="1">
        <v>1.82</v>
      </c>
      <c r="M484" s="1">
        <v>1.82</v>
      </c>
      <c r="N484" s="1">
        <v>1</v>
      </c>
      <c r="O484" s="1">
        <v>1</v>
      </c>
      <c r="P484" s="1">
        <v>1</v>
      </c>
      <c r="Q484" s="1">
        <v>1</v>
      </c>
      <c r="R484" s="1">
        <v>1</v>
      </c>
      <c r="S484" s="1">
        <v>1</v>
      </c>
      <c r="T484" s="1">
        <v>1</v>
      </c>
      <c r="U484" s="1">
        <v>1</v>
      </c>
      <c r="V484" s="1">
        <v>1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14</v>
      </c>
      <c r="AD484" s="1">
        <v>14</v>
      </c>
      <c r="AE484" s="1">
        <v>1.42</v>
      </c>
      <c r="AF484" s="1">
        <v>1</v>
      </c>
      <c r="AG484" s="1">
        <v>1.82</v>
      </c>
      <c r="AH484" s="1">
        <v>1</v>
      </c>
      <c r="AI484" s="1">
        <v>3.6</v>
      </c>
      <c r="AJ484" s="1">
        <v>1</v>
      </c>
      <c r="AK484" s="1">
        <v>0</v>
      </c>
      <c r="AL484" s="1">
        <v>1</v>
      </c>
      <c r="AM484" s="1">
        <v>1</v>
      </c>
      <c r="AN484" s="1">
        <v>2.68</v>
      </c>
    </row>
    <row r="485" spans="1:40">
      <c r="A485" s="1">
        <v>2115</v>
      </c>
      <c r="C485" s="1">
        <v>1.45</v>
      </c>
      <c r="D485" s="1">
        <v>1.45</v>
      </c>
      <c r="E485" s="1">
        <v>1.45</v>
      </c>
      <c r="F485" s="1">
        <v>1.45</v>
      </c>
      <c r="G485" s="1">
        <v>1.6</v>
      </c>
      <c r="H485" s="1">
        <v>1</v>
      </c>
      <c r="I485" s="1">
        <v>1</v>
      </c>
      <c r="J485" s="1">
        <v>1.85</v>
      </c>
      <c r="K485" s="1">
        <v>1.85</v>
      </c>
      <c r="L485" s="1">
        <v>1.85</v>
      </c>
      <c r="M485" s="1">
        <v>1.85</v>
      </c>
      <c r="N485" s="1">
        <v>1</v>
      </c>
      <c r="O485" s="1">
        <v>1</v>
      </c>
      <c r="P485" s="1">
        <v>1</v>
      </c>
      <c r="Q485" s="1">
        <v>1</v>
      </c>
      <c r="R485" s="1">
        <v>1</v>
      </c>
      <c r="S485" s="1">
        <v>1</v>
      </c>
      <c r="T485" s="1">
        <v>1</v>
      </c>
      <c r="U485" s="1">
        <v>1</v>
      </c>
      <c r="V485" s="1">
        <v>1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15</v>
      </c>
      <c r="AD485" s="1">
        <v>15</v>
      </c>
      <c r="AE485" s="1">
        <v>1.45</v>
      </c>
      <c r="AF485" s="1">
        <v>1</v>
      </c>
      <c r="AG485" s="1">
        <v>1.85</v>
      </c>
      <c r="AH485" s="1">
        <v>1</v>
      </c>
      <c r="AI485" s="1">
        <v>3.8</v>
      </c>
      <c r="AJ485" s="1">
        <v>1</v>
      </c>
      <c r="AK485" s="1">
        <v>0</v>
      </c>
      <c r="AL485" s="1">
        <v>1</v>
      </c>
      <c r="AM485" s="1">
        <v>1</v>
      </c>
      <c r="AN485" s="1">
        <v>2.8</v>
      </c>
    </row>
    <row r="486" spans="1:40">
      <c r="A486" s="1">
        <v>2116</v>
      </c>
      <c r="C486" s="1">
        <v>1.48</v>
      </c>
      <c r="D486" s="1">
        <v>1.48</v>
      </c>
      <c r="E486" s="1">
        <v>1.48</v>
      </c>
      <c r="F486" s="1">
        <v>1.48</v>
      </c>
      <c r="G486" s="1">
        <v>1.64</v>
      </c>
      <c r="H486" s="1">
        <v>1</v>
      </c>
      <c r="I486" s="1">
        <v>1</v>
      </c>
      <c r="J486" s="1">
        <v>1.88</v>
      </c>
      <c r="K486" s="1">
        <v>1.88</v>
      </c>
      <c r="L486" s="1">
        <v>1.88</v>
      </c>
      <c r="M486" s="1">
        <v>1.88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1</v>
      </c>
      <c r="V486" s="1">
        <v>1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16</v>
      </c>
      <c r="AD486" s="1">
        <v>16</v>
      </c>
      <c r="AE486" s="1">
        <v>1.48</v>
      </c>
      <c r="AF486" s="1">
        <v>1</v>
      </c>
      <c r="AG486" s="1">
        <v>1.88</v>
      </c>
      <c r="AH486" s="1">
        <v>1</v>
      </c>
      <c r="AI486" s="1">
        <v>4</v>
      </c>
      <c r="AJ486" s="1">
        <v>1</v>
      </c>
      <c r="AK486" s="1">
        <v>0</v>
      </c>
      <c r="AL486" s="1">
        <v>1</v>
      </c>
      <c r="AM486" s="1">
        <v>1</v>
      </c>
      <c r="AN486" s="1">
        <v>2.92</v>
      </c>
    </row>
    <row r="487" spans="1:40">
      <c r="A487" s="1">
        <v>2117</v>
      </c>
      <c r="C487" s="1">
        <v>1.51</v>
      </c>
      <c r="D487" s="1">
        <v>1.51</v>
      </c>
      <c r="E487" s="1">
        <v>1.51</v>
      </c>
      <c r="F487" s="1">
        <v>1.51</v>
      </c>
      <c r="G487" s="1">
        <v>1.68</v>
      </c>
      <c r="H487" s="1">
        <v>1</v>
      </c>
      <c r="I487" s="1">
        <v>1</v>
      </c>
      <c r="J487" s="1">
        <v>1.91</v>
      </c>
      <c r="K487" s="1">
        <v>1.91</v>
      </c>
      <c r="L487" s="1">
        <v>1.91</v>
      </c>
      <c r="M487" s="1">
        <v>1.91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U487" s="1">
        <v>1</v>
      </c>
      <c r="V487" s="1">
        <v>1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17</v>
      </c>
      <c r="AD487" s="1">
        <v>17</v>
      </c>
      <c r="AE487" s="1">
        <v>1.51</v>
      </c>
      <c r="AF487" s="1">
        <v>1</v>
      </c>
      <c r="AG487" s="1">
        <v>1.91</v>
      </c>
      <c r="AH487" s="1">
        <v>1</v>
      </c>
      <c r="AI487" s="1">
        <v>4.2</v>
      </c>
      <c r="AJ487" s="1">
        <v>1</v>
      </c>
      <c r="AK487" s="1">
        <v>0</v>
      </c>
      <c r="AL487" s="1">
        <v>1</v>
      </c>
      <c r="AM487" s="1">
        <v>1</v>
      </c>
      <c r="AN487" s="1">
        <v>3.04</v>
      </c>
    </row>
    <row r="488" spans="1:40">
      <c r="A488" s="1">
        <v>2118</v>
      </c>
      <c r="C488" s="1">
        <v>1.54</v>
      </c>
      <c r="D488" s="1">
        <v>1.54</v>
      </c>
      <c r="E488" s="1">
        <v>1.54</v>
      </c>
      <c r="F488" s="1">
        <v>1.54</v>
      </c>
      <c r="G488" s="1">
        <v>1.72</v>
      </c>
      <c r="H488" s="1">
        <v>1</v>
      </c>
      <c r="I488" s="1">
        <v>1</v>
      </c>
      <c r="J488" s="1">
        <v>1.94</v>
      </c>
      <c r="K488" s="1">
        <v>1.94</v>
      </c>
      <c r="L488" s="1">
        <v>1.94</v>
      </c>
      <c r="M488" s="1">
        <v>1.94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18</v>
      </c>
      <c r="AD488" s="1">
        <v>18</v>
      </c>
      <c r="AE488" s="1">
        <v>1.54</v>
      </c>
      <c r="AF488" s="1">
        <v>1</v>
      </c>
      <c r="AG488" s="1">
        <v>1.94</v>
      </c>
      <c r="AH488" s="1">
        <v>1</v>
      </c>
      <c r="AI488" s="1">
        <v>4.4000000000000004</v>
      </c>
      <c r="AJ488" s="1">
        <v>1</v>
      </c>
      <c r="AK488" s="1">
        <v>0</v>
      </c>
      <c r="AL488" s="1">
        <v>1</v>
      </c>
      <c r="AM488" s="1">
        <v>1</v>
      </c>
      <c r="AN488" s="1">
        <v>3.16</v>
      </c>
    </row>
    <row r="489" spans="1:40">
      <c r="A489" s="1">
        <v>2119</v>
      </c>
      <c r="C489" s="1">
        <v>1.57</v>
      </c>
      <c r="D489" s="1">
        <v>1.57</v>
      </c>
      <c r="E489" s="1">
        <v>1.57</v>
      </c>
      <c r="F489" s="1">
        <v>1.57</v>
      </c>
      <c r="G489" s="1">
        <v>1.76</v>
      </c>
      <c r="H489" s="1">
        <v>1</v>
      </c>
      <c r="I489" s="1">
        <v>1</v>
      </c>
      <c r="J489" s="1">
        <v>1.97</v>
      </c>
      <c r="K489" s="1">
        <v>1.97</v>
      </c>
      <c r="L489" s="1">
        <v>1.97</v>
      </c>
      <c r="M489" s="1">
        <v>1.97</v>
      </c>
      <c r="N489" s="1">
        <v>1</v>
      </c>
      <c r="O489" s="1">
        <v>1</v>
      </c>
      <c r="P489" s="1">
        <v>1</v>
      </c>
      <c r="Q489" s="1">
        <v>1</v>
      </c>
      <c r="R489" s="1">
        <v>1</v>
      </c>
      <c r="S489" s="1">
        <v>1</v>
      </c>
      <c r="T489" s="1">
        <v>1</v>
      </c>
      <c r="U489" s="1">
        <v>1</v>
      </c>
      <c r="V489" s="1">
        <v>1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19</v>
      </c>
      <c r="AD489" s="1">
        <v>19</v>
      </c>
      <c r="AE489" s="1">
        <v>1.57</v>
      </c>
      <c r="AF489" s="1">
        <v>1</v>
      </c>
      <c r="AG489" s="1">
        <v>1.97</v>
      </c>
      <c r="AH489" s="1">
        <v>1</v>
      </c>
      <c r="AI489" s="1">
        <v>4.5999999999999996</v>
      </c>
      <c r="AJ489" s="1">
        <v>1</v>
      </c>
      <c r="AK489" s="1">
        <v>0</v>
      </c>
      <c r="AL489" s="1">
        <v>1</v>
      </c>
      <c r="AM489" s="1">
        <v>1</v>
      </c>
      <c r="AN489" s="1">
        <v>3.28</v>
      </c>
    </row>
    <row r="490" spans="1:40">
      <c r="A490" s="1">
        <v>2120</v>
      </c>
      <c r="C490" s="1">
        <v>1.6</v>
      </c>
      <c r="D490" s="1">
        <v>1.6</v>
      </c>
      <c r="E490" s="1">
        <v>1.6</v>
      </c>
      <c r="F490" s="1">
        <v>1.6</v>
      </c>
      <c r="G490" s="1">
        <v>1.8</v>
      </c>
      <c r="H490" s="1">
        <v>1</v>
      </c>
      <c r="I490" s="1">
        <v>1</v>
      </c>
      <c r="J490" s="1">
        <v>2</v>
      </c>
      <c r="K490" s="1">
        <v>2</v>
      </c>
      <c r="L490" s="1">
        <v>2</v>
      </c>
      <c r="M490" s="1">
        <v>2</v>
      </c>
      <c r="N490" s="1">
        <v>1</v>
      </c>
      <c r="O490" s="1">
        <v>1</v>
      </c>
      <c r="P490" s="1">
        <v>1</v>
      </c>
      <c r="Q490" s="1">
        <v>1</v>
      </c>
      <c r="R490" s="1">
        <v>1</v>
      </c>
      <c r="S490" s="1">
        <v>1</v>
      </c>
      <c r="T490" s="1">
        <v>1</v>
      </c>
      <c r="U490" s="1">
        <v>1</v>
      </c>
      <c r="V490" s="1">
        <v>1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20</v>
      </c>
      <c r="AD490" s="1">
        <v>20</v>
      </c>
      <c r="AE490" s="1">
        <v>1.6</v>
      </c>
      <c r="AF490" s="1">
        <v>1</v>
      </c>
      <c r="AG490" s="1">
        <v>2</v>
      </c>
      <c r="AH490" s="1">
        <v>1</v>
      </c>
      <c r="AI490" s="1">
        <v>4.8</v>
      </c>
      <c r="AJ490" s="1">
        <v>1</v>
      </c>
      <c r="AK490" s="1">
        <v>0</v>
      </c>
      <c r="AL490" s="1">
        <v>1</v>
      </c>
      <c r="AM490" s="1">
        <v>1</v>
      </c>
      <c r="AN490" s="1">
        <v>3.4</v>
      </c>
    </row>
    <row r="491" spans="1:40">
      <c r="A491" s="1">
        <v>2121</v>
      </c>
      <c r="C491" s="1">
        <v>1.63</v>
      </c>
      <c r="D491" s="1">
        <v>1.63</v>
      </c>
      <c r="E491" s="1">
        <v>1.63</v>
      </c>
      <c r="F491" s="1">
        <v>1.63</v>
      </c>
      <c r="G491" s="1">
        <v>1.84</v>
      </c>
      <c r="H491" s="1">
        <v>1</v>
      </c>
      <c r="I491" s="1">
        <v>1</v>
      </c>
      <c r="J491" s="1">
        <v>2.02</v>
      </c>
      <c r="K491" s="1">
        <v>2.02</v>
      </c>
      <c r="L491" s="1">
        <v>2.02</v>
      </c>
      <c r="M491" s="1">
        <v>2.02</v>
      </c>
      <c r="N491" s="1">
        <v>1</v>
      </c>
      <c r="O491" s="1">
        <v>1</v>
      </c>
      <c r="P491" s="1">
        <v>1</v>
      </c>
      <c r="Q491" s="1">
        <v>1</v>
      </c>
      <c r="R491" s="1">
        <v>1</v>
      </c>
      <c r="S491" s="1">
        <v>1</v>
      </c>
      <c r="T491" s="1">
        <v>1</v>
      </c>
      <c r="U491" s="1">
        <v>1</v>
      </c>
      <c r="V491" s="1">
        <v>1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21</v>
      </c>
      <c r="AD491" s="1">
        <v>21</v>
      </c>
      <c r="AE491" s="1">
        <v>1.63</v>
      </c>
      <c r="AF491" s="1">
        <v>1</v>
      </c>
      <c r="AG491" s="1">
        <v>2.02</v>
      </c>
      <c r="AH491" s="1">
        <v>1</v>
      </c>
      <c r="AI491" s="1">
        <v>5</v>
      </c>
      <c r="AJ491" s="1">
        <v>1</v>
      </c>
      <c r="AK491" s="1">
        <v>0</v>
      </c>
      <c r="AL491" s="1">
        <v>1</v>
      </c>
      <c r="AM491" s="1">
        <v>1</v>
      </c>
      <c r="AN491" s="1">
        <v>3.52</v>
      </c>
    </row>
    <row r="492" spans="1:40">
      <c r="A492" s="1">
        <v>2122</v>
      </c>
      <c r="C492" s="1">
        <v>1.66</v>
      </c>
      <c r="D492" s="1">
        <v>1.66</v>
      </c>
      <c r="E492" s="1">
        <v>1.66</v>
      </c>
      <c r="F492" s="1">
        <v>1.66</v>
      </c>
      <c r="G492" s="1">
        <v>1.88</v>
      </c>
      <c r="H492" s="1">
        <v>1</v>
      </c>
      <c r="I492" s="1">
        <v>1</v>
      </c>
      <c r="J492" s="1">
        <v>2.04</v>
      </c>
      <c r="K492" s="1">
        <v>2.04</v>
      </c>
      <c r="L492" s="1">
        <v>2.04</v>
      </c>
      <c r="M492" s="1">
        <v>2.04</v>
      </c>
      <c r="N492" s="1">
        <v>1</v>
      </c>
      <c r="O492" s="1">
        <v>1</v>
      </c>
      <c r="P492" s="1">
        <v>1</v>
      </c>
      <c r="Q492" s="1">
        <v>1</v>
      </c>
      <c r="R492" s="1">
        <v>1</v>
      </c>
      <c r="S492" s="1">
        <v>1</v>
      </c>
      <c r="T492" s="1">
        <v>1</v>
      </c>
      <c r="U492" s="1">
        <v>1</v>
      </c>
      <c r="V492" s="1">
        <v>1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22</v>
      </c>
      <c r="AD492" s="1">
        <v>22</v>
      </c>
      <c r="AE492" s="1">
        <v>1.66</v>
      </c>
      <c r="AF492" s="1">
        <v>1</v>
      </c>
      <c r="AG492" s="1">
        <v>2.04</v>
      </c>
      <c r="AH492" s="1">
        <v>1</v>
      </c>
      <c r="AI492" s="1">
        <v>5.2</v>
      </c>
      <c r="AJ492" s="1">
        <v>1</v>
      </c>
      <c r="AK492" s="1">
        <v>0</v>
      </c>
      <c r="AL492" s="1">
        <v>1</v>
      </c>
      <c r="AM492" s="1">
        <v>1</v>
      </c>
      <c r="AN492" s="1">
        <v>3.64</v>
      </c>
    </row>
    <row r="493" spans="1:40">
      <c r="A493" s="1">
        <v>2123</v>
      </c>
      <c r="C493" s="1">
        <v>1.69</v>
      </c>
      <c r="D493" s="1">
        <v>1.69</v>
      </c>
      <c r="E493" s="1">
        <v>1.69</v>
      </c>
      <c r="F493" s="1">
        <v>1.69</v>
      </c>
      <c r="G493" s="1">
        <v>1.92</v>
      </c>
      <c r="H493" s="1">
        <v>1</v>
      </c>
      <c r="I493" s="1">
        <v>1</v>
      </c>
      <c r="J493" s="1">
        <v>2.06</v>
      </c>
      <c r="K493" s="1">
        <v>2.06</v>
      </c>
      <c r="L493" s="1">
        <v>2.06</v>
      </c>
      <c r="M493" s="1">
        <v>2.06</v>
      </c>
      <c r="N493" s="1">
        <v>1</v>
      </c>
      <c r="O493" s="1">
        <v>1</v>
      </c>
      <c r="P493" s="1">
        <v>1</v>
      </c>
      <c r="Q493" s="1">
        <v>1</v>
      </c>
      <c r="R493" s="1">
        <v>1</v>
      </c>
      <c r="S493" s="1">
        <v>1</v>
      </c>
      <c r="T493" s="1">
        <v>1</v>
      </c>
      <c r="U493" s="1">
        <v>1</v>
      </c>
      <c r="V493" s="1">
        <v>1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23</v>
      </c>
      <c r="AD493" s="1">
        <v>23</v>
      </c>
      <c r="AE493" s="1">
        <v>1.69</v>
      </c>
      <c r="AF493" s="1">
        <v>1</v>
      </c>
      <c r="AG493" s="1">
        <v>2.06</v>
      </c>
      <c r="AH493" s="1">
        <v>1</v>
      </c>
      <c r="AI493" s="1">
        <v>5.4</v>
      </c>
      <c r="AJ493" s="1">
        <v>1</v>
      </c>
      <c r="AK493" s="1">
        <v>0</v>
      </c>
      <c r="AL493" s="1">
        <v>1</v>
      </c>
      <c r="AM493" s="1">
        <v>1</v>
      </c>
      <c r="AN493" s="1">
        <v>3.76</v>
      </c>
    </row>
    <row r="494" spans="1:40">
      <c r="A494" s="1">
        <v>2124</v>
      </c>
      <c r="C494" s="1">
        <v>1.72</v>
      </c>
      <c r="D494" s="1">
        <v>1.72</v>
      </c>
      <c r="E494" s="1">
        <v>1.72</v>
      </c>
      <c r="F494" s="1">
        <v>1.72</v>
      </c>
      <c r="G494" s="1">
        <v>1.96</v>
      </c>
      <c r="H494" s="1">
        <v>1</v>
      </c>
      <c r="I494" s="1">
        <v>1</v>
      </c>
      <c r="J494" s="1">
        <v>2.08</v>
      </c>
      <c r="K494" s="1">
        <v>2.08</v>
      </c>
      <c r="L494" s="1">
        <v>2.08</v>
      </c>
      <c r="M494" s="1">
        <v>2.08</v>
      </c>
      <c r="N494" s="1">
        <v>1</v>
      </c>
      <c r="O494" s="1">
        <v>1</v>
      </c>
      <c r="P494" s="1">
        <v>1</v>
      </c>
      <c r="Q494" s="1">
        <v>1</v>
      </c>
      <c r="R494" s="1">
        <v>1</v>
      </c>
      <c r="S494" s="1">
        <v>1</v>
      </c>
      <c r="T494" s="1">
        <v>1</v>
      </c>
      <c r="U494" s="1">
        <v>1</v>
      </c>
      <c r="V494" s="1">
        <v>1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24</v>
      </c>
      <c r="AD494" s="1">
        <v>24</v>
      </c>
      <c r="AE494" s="1">
        <v>1.72</v>
      </c>
      <c r="AF494" s="1">
        <v>1</v>
      </c>
      <c r="AG494" s="1">
        <v>2.08</v>
      </c>
      <c r="AH494" s="1">
        <v>1</v>
      </c>
      <c r="AI494" s="1">
        <v>5.6</v>
      </c>
      <c r="AJ494" s="1">
        <v>1</v>
      </c>
      <c r="AK494" s="1">
        <v>0</v>
      </c>
      <c r="AL494" s="1">
        <v>1</v>
      </c>
      <c r="AM494" s="1">
        <v>1</v>
      </c>
      <c r="AN494" s="1">
        <v>3.88</v>
      </c>
    </row>
    <row r="495" spans="1:40">
      <c r="A495" s="1">
        <v>2125</v>
      </c>
      <c r="C495" s="1">
        <v>1.75</v>
      </c>
      <c r="D495" s="1">
        <v>1.75</v>
      </c>
      <c r="E495" s="1">
        <v>1.75</v>
      </c>
      <c r="F495" s="1">
        <v>1.75</v>
      </c>
      <c r="G495" s="1">
        <v>2</v>
      </c>
      <c r="H495" s="1">
        <v>1</v>
      </c>
      <c r="I495" s="1">
        <v>1</v>
      </c>
      <c r="J495" s="1">
        <v>2.1</v>
      </c>
      <c r="K495" s="1">
        <v>2.1</v>
      </c>
      <c r="L495" s="1">
        <v>2.1</v>
      </c>
      <c r="M495" s="1">
        <v>2.1</v>
      </c>
      <c r="N495" s="1">
        <v>1</v>
      </c>
      <c r="O495" s="1">
        <v>1</v>
      </c>
      <c r="P495" s="1">
        <v>1</v>
      </c>
      <c r="Q495" s="1">
        <v>1</v>
      </c>
      <c r="R495" s="1">
        <v>1</v>
      </c>
      <c r="S495" s="1">
        <v>1</v>
      </c>
      <c r="T495" s="1">
        <v>1</v>
      </c>
      <c r="U495" s="1">
        <v>1</v>
      </c>
      <c r="V495" s="1">
        <v>1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25</v>
      </c>
      <c r="AD495" s="1">
        <v>25</v>
      </c>
      <c r="AE495" s="1">
        <v>1.75</v>
      </c>
      <c r="AF495" s="1">
        <v>1</v>
      </c>
      <c r="AG495" s="1">
        <v>2.1</v>
      </c>
      <c r="AH495" s="1">
        <v>1</v>
      </c>
      <c r="AI495" s="1">
        <v>5.8</v>
      </c>
      <c r="AJ495" s="1">
        <v>1</v>
      </c>
      <c r="AK495" s="1">
        <v>0</v>
      </c>
      <c r="AL495" s="1">
        <v>1</v>
      </c>
      <c r="AM495" s="1">
        <v>1</v>
      </c>
      <c r="AN495" s="1">
        <v>4</v>
      </c>
    </row>
    <row r="496" spans="1:40">
      <c r="A496" s="1">
        <v>2200</v>
      </c>
      <c r="C496" s="1">
        <v>1</v>
      </c>
      <c r="D496" s="1">
        <v>1</v>
      </c>
      <c r="E496" s="1">
        <v>1</v>
      </c>
      <c r="F496" s="1">
        <v>1</v>
      </c>
      <c r="G496" s="1">
        <v>1</v>
      </c>
      <c r="H496" s="1">
        <v>1</v>
      </c>
      <c r="I496" s="1">
        <v>1</v>
      </c>
      <c r="J496" s="1">
        <v>1</v>
      </c>
      <c r="K496" s="1">
        <v>1</v>
      </c>
      <c r="L496" s="1">
        <v>1</v>
      </c>
      <c r="M496" s="1">
        <v>1</v>
      </c>
      <c r="N496" s="1">
        <v>1</v>
      </c>
      <c r="O496" s="1">
        <v>1</v>
      </c>
      <c r="P496" s="1">
        <v>1</v>
      </c>
      <c r="Q496" s="1">
        <v>1</v>
      </c>
      <c r="R496" s="1">
        <v>1</v>
      </c>
      <c r="S496" s="1">
        <v>1</v>
      </c>
      <c r="T496" s="1">
        <v>1</v>
      </c>
      <c r="U496" s="1">
        <v>1</v>
      </c>
      <c r="V496" s="1">
        <v>1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1</v>
      </c>
      <c r="AF496" s="1">
        <v>1</v>
      </c>
      <c r="AG496" s="1">
        <v>1</v>
      </c>
      <c r="AH496" s="1">
        <v>1</v>
      </c>
      <c r="AI496" s="1">
        <v>1</v>
      </c>
      <c r="AJ496" s="1">
        <v>1</v>
      </c>
      <c r="AK496" s="1">
        <v>0</v>
      </c>
      <c r="AL496" s="1">
        <v>1</v>
      </c>
      <c r="AM496" s="1">
        <v>1</v>
      </c>
      <c r="AN496" s="1">
        <v>1</v>
      </c>
    </row>
    <row r="497" spans="1:40">
      <c r="A497" s="1">
        <v>2201</v>
      </c>
      <c r="C497" s="1">
        <v>1.145</v>
      </c>
      <c r="D497" s="1">
        <v>1.145</v>
      </c>
      <c r="E497" s="1">
        <v>1.145</v>
      </c>
      <c r="F497" s="1">
        <v>1.145</v>
      </c>
      <c r="G497" s="1">
        <v>1.1000000000000001</v>
      </c>
      <c r="H497" s="1">
        <v>1</v>
      </c>
      <c r="I497" s="1">
        <v>1</v>
      </c>
      <c r="J497" s="1">
        <v>1.08</v>
      </c>
      <c r="K497" s="1">
        <v>1.08</v>
      </c>
      <c r="L497" s="1">
        <v>1.08</v>
      </c>
      <c r="M497" s="1">
        <v>1.08</v>
      </c>
      <c r="N497" s="1">
        <v>1</v>
      </c>
      <c r="O497" s="1">
        <v>1</v>
      </c>
      <c r="P497" s="1">
        <v>1</v>
      </c>
      <c r="Q497" s="1">
        <v>1</v>
      </c>
      <c r="R497" s="1">
        <v>1</v>
      </c>
      <c r="S497" s="1">
        <v>1</v>
      </c>
      <c r="T497" s="1">
        <v>1</v>
      </c>
      <c r="U497" s="1">
        <v>1</v>
      </c>
      <c r="V497" s="1">
        <v>1.01</v>
      </c>
      <c r="W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1</v>
      </c>
      <c r="AD497" s="1">
        <v>2</v>
      </c>
      <c r="AE497" s="1">
        <v>1.145</v>
      </c>
      <c r="AF497" s="1">
        <v>1</v>
      </c>
      <c r="AG497" s="1">
        <v>1.08</v>
      </c>
      <c r="AH497" s="1">
        <v>1</v>
      </c>
      <c r="AI497" s="1">
        <v>1</v>
      </c>
      <c r="AJ497" s="1">
        <v>1</v>
      </c>
      <c r="AK497" s="1">
        <v>0</v>
      </c>
      <c r="AL497" s="1">
        <v>1</v>
      </c>
      <c r="AM497" s="1">
        <v>1</v>
      </c>
      <c r="AN497" s="1">
        <v>1.3</v>
      </c>
    </row>
    <row r="498" spans="1:40">
      <c r="A498" s="1">
        <v>2202</v>
      </c>
      <c r="C498" s="1">
        <v>1.29</v>
      </c>
      <c r="D498" s="1">
        <v>1.29</v>
      </c>
      <c r="E498" s="1">
        <v>1.29</v>
      </c>
      <c r="F498" s="1">
        <v>1.29</v>
      </c>
      <c r="G498" s="1">
        <v>1.2</v>
      </c>
      <c r="H498" s="1">
        <v>1</v>
      </c>
      <c r="I498" s="1">
        <v>1</v>
      </c>
      <c r="J498" s="1">
        <v>1.1599999999999999</v>
      </c>
      <c r="K498" s="1">
        <v>1.1599999999999999</v>
      </c>
      <c r="L498" s="1">
        <v>1.1599999999999999</v>
      </c>
      <c r="M498" s="1">
        <v>1.1599999999999999</v>
      </c>
      <c r="N498" s="1">
        <v>1</v>
      </c>
      <c r="O498" s="1">
        <v>1</v>
      </c>
      <c r="P498" s="1">
        <v>1</v>
      </c>
      <c r="Q498" s="1">
        <v>1</v>
      </c>
      <c r="R498" s="1">
        <v>1</v>
      </c>
      <c r="S498" s="1">
        <v>1</v>
      </c>
      <c r="T498" s="1">
        <v>1</v>
      </c>
      <c r="U498" s="1">
        <v>1</v>
      </c>
      <c r="V498" s="1">
        <v>1.02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2</v>
      </c>
      <c r="AD498" s="1">
        <v>5</v>
      </c>
      <c r="AE498" s="1">
        <v>1.29</v>
      </c>
      <c r="AF498" s="1">
        <v>1</v>
      </c>
      <c r="AG498" s="1">
        <v>1.1599999999999999</v>
      </c>
      <c r="AH498" s="1">
        <v>1</v>
      </c>
      <c r="AI498" s="1">
        <v>1.5</v>
      </c>
      <c r="AJ498" s="1">
        <v>1</v>
      </c>
      <c r="AK498" s="1">
        <v>0</v>
      </c>
      <c r="AL498" s="1">
        <v>1</v>
      </c>
      <c r="AM498" s="1">
        <v>1</v>
      </c>
      <c r="AN498" s="1">
        <v>1.6</v>
      </c>
    </row>
    <row r="499" spans="1:40">
      <c r="A499" s="1">
        <v>2203</v>
      </c>
      <c r="C499" s="1">
        <v>1.4350000000000001</v>
      </c>
      <c r="D499" s="1">
        <v>1.4350000000000001</v>
      </c>
      <c r="E499" s="1">
        <v>1.4350000000000001</v>
      </c>
      <c r="F499" s="1">
        <v>1.4350000000000001</v>
      </c>
      <c r="G499" s="1">
        <v>1.3</v>
      </c>
      <c r="H499" s="1">
        <v>1</v>
      </c>
      <c r="I499" s="1">
        <v>1</v>
      </c>
      <c r="J499" s="1">
        <v>1.24</v>
      </c>
      <c r="K499" s="1">
        <v>1.24</v>
      </c>
      <c r="L499" s="1">
        <v>1.24</v>
      </c>
      <c r="M499" s="1">
        <v>1.24</v>
      </c>
      <c r="N499" s="1">
        <v>1</v>
      </c>
      <c r="O499" s="1">
        <v>1</v>
      </c>
      <c r="P499" s="1">
        <v>1</v>
      </c>
      <c r="Q499" s="1">
        <v>1</v>
      </c>
      <c r="R499" s="1">
        <v>1</v>
      </c>
      <c r="S499" s="1">
        <v>1</v>
      </c>
      <c r="T499" s="1">
        <v>1</v>
      </c>
      <c r="U499" s="1">
        <v>1</v>
      </c>
      <c r="V499" s="1">
        <v>1.03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3</v>
      </c>
      <c r="AD499" s="1">
        <v>7</v>
      </c>
      <c r="AE499" s="1">
        <v>1.4350000000000001</v>
      </c>
      <c r="AF499" s="1">
        <v>1</v>
      </c>
      <c r="AG499" s="1">
        <v>1.24</v>
      </c>
      <c r="AH499" s="1">
        <v>1</v>
      </c>
      <c r="AI499" s="1">
        <v>2</v>
      </c>
      <c r="AJ499" s="1">
        <v>1</v>
      </c>
      <c r="AK499" s="1">
        <v>0</v>
      </c>
      <c r="AL499" s="1">
        <v>1</v>
      </c>
      <c r="AM499" s="1">
        <v>1</v>
      </c>
      <c r="AN499" s="1">
        <v>1.9</v>
      </c>
    </row>
    <row r="500" spans="1:40">
      <c r="A500" s="1">
        <v>2204</v>
      </c>
      <c r="C500" s="1">
        <v>1.58</v>
      </c>
      <c r="D500" s="1">
        <v>1.58</v>
      </c>
      <c r="E500" s="1">
        <v>1.58</v>
      </c>
      <c r="F500" s="1">
        <v>1.58</v>
      </c>
      <c r="G500" s="1">
        <v>1.4</v>
      </c>
      <c r="H500" s="1">
        <v>1</v>
      </c>
      <c r="I500" s="1">
        <v>1</v>
      </c>
      <c r="J500" s="1">
        <v>1.32</v>
      </c>
      <c r="K500" s="1">
        <v>1.32</v>
      </c>
      <c r="L500" s="1">
        <v>1.32</v>
      </c>
      <c r="M500" s="1">
        <v>1.32</v>
      </c>
      <c r="N500" s="1">
        <v>1</v>
      </c>
      <c r="O500" s="1">
        <v>1</v>
      </c>
      <c r="P500" s="1">
        <v>1</v>
      </c>
      <c r="Q500" s="1">
        <v>1</v>
      </c>
      <c r="R500" s="1">
        <v>1</v>
      </c>
      <c r="S500" s="1">
        <v>1</v>
      </c>
      <c r="T500" s="1">
        <v>1</v>
      </c>
      <c r="U500" s="1">
        <v>1</v>
      </c>
      <c r="V500" s="1">
        <v>1.04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4</v>
      </c>
      <c r="AD500" s="1">
        <v>10</v>
      </c>
      <c r="AE500" s="1">
        <v>1.58</v>
      </c>
      <c r="AF500" s="1">
        <v>1</v>
      </c>
      <c r="AG500" s="1">
        <v>1.32</v>
      </c>
      <c r="AH500" s="1">
        <v>1</v>
      </c>
      <c r="AI500" s="1">
        <v>2.5</v>
      </c>
      <c r="AJ500" s="1">
        <v>1</v>
      </c>
      <c r="AK500" s="1">
        <v>0</v>
      </c>
      <c r="AL500" s="1">
        <v>1</v>
      </c>
      <c r="AM500" s="1">
        <v>1</v>
      </c>
      <c r="AN500" s="1">
        <v>2.2000000000000002</v>
      </c>
    </row>
    <row r="501" spans="1:40">
      <c r="A501" s="1">
        <v>2205</v>
      </c>
      <c r="C501" s="1">
        <v>1.7250000000000001</v>
      </c>
      <c r="D501" s="1">
        <v>1.7250000000000001</v>
      </c>
      <c r="E501" s="1">
        <v>1.7250000000000001</v>
      </c>
      <c r="F501" s="1">
        <v>1.7250000000000001</v>
      </c>
      <c r="G501" s="1">
        <v>1.5</v>
      </c>
      <c r="H501" s="1">
        <v>1</v>
      </c>
      <c r="I501" s="1">
        <v>1</v>
      </c>
      <c r="J501" s="1">
        <v>1.4</v>
      </c>
      <c r="K501" s="1">
        <v>1.4</v>
      </c>
      <c r="L501" s="1">
        <v>1.4</v>
      </c>
      <c r="M501" s="1">
        <v>1.4</v>
      </c>
      <c r="N501" s="1">
        <v>1</v>
      </c>
      <c r="O501" s="1">
        <v>1</v>
      </c>
      <c r="P501" s="1">
        <v>1</v>
      </c>
      <c r="Q501" s="1">
        <v>1</v>
      </c>
      <c r="R501" s="1">
        <v>1</v>
      </c>
      <c r="S501" s="1">
        <v>1</v>
      </c>
      <c r="T501" s="1">
        <v>1</v>
      </c>
      <c r="U501" s="1">
        <v>1</v>
      </c>
      <c r="V501" s="1">
        <v>1.05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5</v>
      </c>
      <c r="AD501" s="1">
        <v>12</v>
      </c>
      <c r="AE501" s="1">
        <v>1.7250000000000001</v>
      </c>
      <c r="AF501" s="1">
        <v>1</v>
      </c>
      <c r="AG501" s="1">
        <v>1.4</v>
      </c>
      <c r="AH501" s="1">
        <v>1</v>
      </c>
      <c r="AI501" s="1">
        <v>3</v>
      </c>
      <c r="AJ501" s="1">
        <v>1</v>
      </c>
      <c r="AK501" s="1">
        <v>0</v>
      </c>
      <c r="AL501" s="1">
        <v>1</v>
      </c>
      <c r="AM501" s="1">
        <v>1</v>
      </c>
      <c r="AN501" s="1">
        <v>2.5</v>
      </c>
    </row>
    <row r="502" spans="1:40">
      <c r="A502" s="1">
        <v>2206</v>
      </c>
      <c r="C502" s="1">
        <v>1.87</v>
      </c>
      <c r="D502" s="1">
        <v>1.87</v>
      </c>
      <c r="E502" s="1">
        <v>1.87</v>
      </c>
      <c r="F502" s="1">
        <v>1.87</v>
      </c>
      <c r="G502" s="1">
        <v>1.6</v>
      </c>
      <c r="H502" s="1">
        <v>1</v>
      </c>
      <c r="I502" s="1">
        <v>1</v>
      </c>
      <c r="J502" s="1">
        <v>1.48</v>
      </c>
      <c r="K502" s="1">
        <v>1.48</v>
      </c>
      <c r="L502" s="1">
        <v>1.48</v>
      </c>
      <c r="M502" s="1">
        <v>1.48</v>
      </c>
      <c r="N502" s="1">
        <v>1</v>
      </c>
      <c r="O502" s="1">
        <v>1</v>
      </c>
      <c r="P502" s="1">
        <v>1</v>
      </c>
      <c r="Q502" s="1">
        <v>1</v>
      </c>
      <c r="R502" s="1">
        <v>1</v>
      </c>
      <c r="S502" s="1">
        <v>1</v>
      </c>
      <c r="T502" s="1">
        <v>1</v>
      </c>
      <c r="U502" s="1">
        <v>1</v>
      </c>
      <c r="V502" s="1">
        <v>1.06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6</v>
      </c>
      <c r="AD502" s="1">
        <v>15</v>
      </c>
      <c r="AE502" s="1">
        <v>1.87</v>
      </c>
      <c r="AF502" s="1">
        <v>1</v>
      </c>
      <c r="AG502" s="1">
        <v>1.48</v>
      </c>
      <c r="AH502" s="1">
        <v>1</v>
      </c>
      <c r="AI502" s="1">
        <v>3.5</v>
      </c>
      <c r="AJ502" s="1">
        <v>1</v>
      </c>
      <c r="AK502" s="1">
        <v>0</v>
      </c>
      <c r="AL502" s="1">
        <v>1</v>
      </c>
      <c r="AM502" s="1">
        <v>1</v>
      </c>
      <c r="AN502" s="1">
        <v>2.8</v>
      </c>
    </row>
    <row r="503" spans="1:40">
      <c r="A503" s="1">
        <v>2207</v>
      </c>
      <c r="C503" s="1">
        <v>2.0150000000000001</v>
      </c>
      <c r="D503" s="1">
        <v>2.0150000000000001</v>
      </c>
      <c r="E503" s="1">
        <v>2.0150000000000001</v>
      </c>
      <c r="F503" s="1">
        <v>2.0150000000000001</v>
      </c>
      <c r="G503" s="1">
        <v>1.7</v>
      </c>
      <c r="H503" s="1">
        <v>1</v>
      </c>
      <c r="I503" s="1">
        <v>1</v>
      </c>
      <c r="J503" s="1">
        <v>1.56</v>
      </c>
      <c r="K503" s="1">
        <v>1.56</v>
      </c>
      <c r="L503" s="1">
        <v>1.56</v>
      </c>
      <c r="M503" s="1">
        <v>1.56</v>
      </c>
      <c r="N503" s="1">
        <v>1</v>
      </c>
      <c r="O503" s="1">
        <v>1</v>
      </c>
      <c r="P503" s="1">
        <v>1</v>
      </c>
      <c r="Q503" s="1">
        <v>1</v>
      </c>
      <c r="R503" s="1">
        <v>1</v>
      </c>
      <c r="S503" s="1">
        <v>1</v>
      </c>
      <c r="T503" s="1">
        <v>1</v>
      </c>
      <c r="U503" s="1">
        <v>1</v>
      </c>
      <c r="V503" s="1">
        <v>1.07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7</v>
      </c>
      <c r="AD503" s="1">
        <v>17</v>
      </c>
      <c r="AE503" s="1">
        <v>2.0150000000000001</v>
      </c>
      <c r="AF503" s="1">
        <v>1</v>
      </c>
      <c r="AG503" s="1">
        <v>1.56</v>
      </c>
      <c r="AH503" s="1">
        <v>1</v>
      </c>
      <c r="AI503" s="1">
        <v>4</v>
      </c>
      <c r="AJ503" s="1">
        <v>1</v>
      </c>
      <c r="AK503" s="1">
        <v>0</v>
      </c>
      <c r="AL503" s="1">
        <v>1</v>
      </c>
      <c r="AM503" s="1">
        <v>1</v>
      </c>
      <c r="AN503" s="1">
        <v>3.1</v>
      </c>
    </row>
    <row r="504" spans="1:40">
      <c r="A504" s="1">
        <v>2208</v>
      </c>
      <c r="C504" s="1">
        <v>2.16</v>
      </c>
      <c r="D504" s="1">
        <v>2.16</v>
      </c>
      <c r="E504" s="1">
        <v>2.16</v>
      </c>
      <c r="F504" s="1">
        <v>2.16</v>
      </c>
      <c r="G504" s="1">
        <v>1.8</v>
      </c>
      <c r="H504" s="1">
        <v>1</v>
      </c>
      <c r="I504" s="1">
        <v>1</v>
      </c>
      <c r="J504" s="1">
        <v>1.64</v>
      </c>
      <c r="K504" s="1">
        <v>1.64</v>
      </c>
      <c r="L504" s="1">
        <v>1.64</v>
      </c>
      <c r="M504" s="1">
        <v>1.64</v>
      </c>
      <c r="N504" s="1">
        <v>1</v>
      </c>
      <c r="O504" s="1">
        <v>1</v>
      </c>
      <c r="P504" s="1">
        <v>1</v>
      </c>
      <c r="Q504" s="1">
        <v>1</v>
      </c>
      <c r="R504" s="1">
        <v>1</v>
      </c>
      <c r="S504" s="1">
        <v>1</v>
      </c>
      <c r="T504" s="1">
        <v>1</v>
      </c>
      <c r="U504" s="1">
        <v>1</v>
      </c>
      <c r="V504" s="1">
        <v>1.08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8</v>
      </c>
      <c r="AD504" s="1">
        <v>20</v>
      </c>
      <c r="AE504" s="1">
        <v>2.16</v>
      </c>
      <c r="AF504" s="1">
        <v>1</v>
      </c>
      <c r="AG504" s="1">
        <v>1.64</v>
      </c>
      <c r="AH504" s="1">
        <v>1</v>
      </c>
      <c r="AI504" s="1">
        <v>4.5</v>
      </c>
      <c r="AJ504" s="1">
        <v>1</v>
      </c>
      <c r="AK504" s="1">
        <v>0</v>
      </c>
      <c r="AL504" s="1">
        <v>1</v>
      </c>
      <c r="AM504" s="1">
        <v>1</v>
      </c>
      <c r="AN504" s="1">
        <v>3.4</v>
      </c>
    </row>
    <row r="505" spans="1:40">
      <c r="A505" s="1">
        <v>2209</v>
      </c>
      <c r="C505" s="1">
        <v>2.3050000000000002</v>
      </c>
      <c r="D505" s="1">
        <v>2.3050000000000002</v>
      </c>
      <c r="E505" s="1">
        <v>2.3050000000000002</v>
      </c>
      <c r="F505" s="1">
        <v>2.3050000000000002</v>
      </c>
      <c r="G505" s="1">
        <v>1.9</v>
      </c>
      <c r="H505" s="1">
        <v>1</v>
      </c>
      <c r="I505" s="1">
        <v>1</v>
      </c>
      <c r="J505" s="1">
        <v>1.72</v>
      </c>
      <c r="K505" s="1">
        <v>1.72</v>
      </c>
      <c r="L505" s="1">
        <v>1.72</v>
      </c>
      <c r="M505" s="1">
        <v>1.72</v>
      </c>
      <c r="N505" s="1">
        <v>1</v>
      </c>
      <c r="O505" s="1">
        <v>1</v>
      </c>
      <c r="P505" s="1">
        <v>1</v>
      </c>
      <c r="Q505" s="1">
        <v>1</v>
      </c>
      <c r="R505" s="1">
        <v>1</v>
      </c>
      <c r="S505" s="1">
        <v>1</v>
      </c>
      <c r="T505" s="1">
        <v>1</v>
      </c>
      <c r="U505" s="1">
        <v>1</v>
      </c>
      <c r="V505" s="1">
        <v>1.0900000000000001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9</v>
      </c>
      <c r="AD505" s="1">
        <v>22</v>
      </c>
      <c r="AE505" s="1">
        <v>2.3050000000000002</v>
      </c>
      <c r="AF505" s="1">
        <v>1</v>
      </c>
      <c r="AG505" s="1">
        <v>1.72</v>
      </c>
      <c r="AH505" s="1">
        <v>1</v>
      </c>
      <c r="AI505" s="1">
        <v>5</v>
      </c>
      <c r="AJ505" s="1">
        <v>1</v>
      </c>
      <c r="AK505" s="1">
        <v>0</v>
      </c>
      <c r="AL505" s="1">
        <v>1</v>
      </c>
      <c r="AM505" s="1">
        <v>1</v>
      </c>
      <c r="AN505" s="1">
        <v>3.7</v>
      </c>
    </row>
    <row r="506" spans="1:40">
      <c r="A506" s="1">
        <v>2210</v>
      </c>
      <c r="C506" s="1">
        <v>2.4500000000000002</v>
      </c>
      <c r="D506" s="1">
        <v>2.4500000000000002</v>
      </c>
      <c r="E506" s="1">
        <v>2.4500000000000002</v>
      </c>
      <c r="F506" s="1">
        <v>2.4500000000000002</v>
      </c>
      <c r="G506" s="1">
        <v>2</v>
      </c>
      <c r="H506" s="1">
        <v>1</v>
      </c>
      <c r="I506" s="1">
        <v>1</v>
      </c>
      <c r="J506" s="1">
        <v>1.8</v>
      </c>
      <c r="K506" s="1">
        <v>1.8</v>
      </c>
      <c r="L506" s="1">
        <v>1.8</v>
      </c>
      <c r="M506" s="1">
        <v>1.8</v>
      </c>
      <c r="N506" s="1">
        <v>1</v>
      </c>
      <c r="O506" s="1">
        <v>1</v>
      </c>
      <c r="P506" s="1">
        <v>1</v>
      </c>
      <c r="Q506" s="1">
        <v>1</v>
      </c>
      <c r="R506" s="1">
        <v>1</v>
      </c>
      <c r="S506" s="1">
        <v>1</v>
      </c>
      <c r="T506" s="1">
        <v>1</v>
      </c>
      <c r="U506" s="1">
        <v>1</v>
      </c>
      <c r="V506" s="1">
        <v>1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10</v>
      </c>
      <c r="AD506" s="1">
        <v>25</v>
      </c>
      <c r="AE506" s="1">
        <v>2.4500000000000002</v>
      </c>
      <c r="AF506" s="1">
        <v>1</v>
      </c>
      <c r="AG506" s="1">
        <v>1.8</v>
      </c>
      <c r="AH506" s="1">
        <v>1</v>
      </c>
      <c r="AI506" s="1">
        <v>6</v>
      </c>
      <c r="AJ506" s="1">
        <v>1</v>
      </c>
      <c r="AK506" s="1">
        <v>0</v>
      </c>
      <c r="AL506" s="1">
        <v>1</v>
      </c>
      <c r="AM506" s="1">
        <v>1</v>
      </c>
      <c r="AN506" s="1">
        <v>4</v>
      </c>
    </row>
    <row r="507" spans="1:40">
      <c r="A507" s="1">
        <v>2400</v>
      </c>
      <c r="C507" s="1">
        <v>1</v>
      </c>
      <c r="D507" s="1">
        <v>1</v>
      </c>
      <c r="E507" s="1">
        <v>1</v>
      </c>
      <c r="F507" s="1">
        <v>1</v>
      </c>
      <c r="G507" s="1">
        <v>1</v>
      </c>
      <c r="H507" s="1">
        <v>1</v>
      </c>
      <c r="I507" s="1">
        <v>1</v>
      </c>
      <c r="J507" s="1">
        <v>1</v>
      </c>
      <c r="K507" s="1">
        <v>1</v>
      </c>
      <c r="L507" s="1">
        <v>1</v>
      </c>
      <c r="M507" s="1">
        <v>1</v>
      </c>
      <c r="N507" s="1">
        <v>1</v>
      </c>
      <c r="O507" s="1">
        <v>1</v>
      </c>
      <c r="P507" s="1">
        <v>1</v>
      </c>
      <c r="Q507" s="1">
        <v>1</v>
      </c>
      <c r="R507" s="1">
        <v>1</v>
      </c>
      <c r="S507" s="1">
        <v>1</v>
      </c>
      <c r="T507" s="1">
        <v>1</v>
      </c>
      <c r="U507" s="1">
        <v>1</v>
      </c>
      <c r="V507" s="1">
        <v>1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0</v>
      </c>
      <c r="AD507" s="1">
        <v>0</v>
      </c>
      <c r="AE507" s="1">
        <v>1</v>
      </c>
      <c r="AF507" s="1">
        <v>1</v>
      </c>
      <c r="AG507" s="1">
        <v>1</v>
      </c>
      <c r="AH507" s="1">
        <v>1</v>
      </c>
      <c r="AI507" s="1">
        <v>1</v>
      </c>
      <c r="AJ507" s="1">
        <v>1</v>
      </c>
      <c r="AK507" s="1">
        <v>0</v>
      </c>
      <c r="AL507" s="1">
        <v>1</v>
      </c>
      <c r="AM507" s="1">
        <v>1</v>
      </c>
      <c r="AN507" s="1">
        <v>1</v>
      </c>
    </row>
    <row r="508" spans="1:40">
      <c r="A508" s="1">
        <v>2401</v>
      </c>
      <c r="C508" s="1">
        <v>1.145</v>
      </c>
      <c r="D508" s="1">
        <v>1.145</v>
      </c>
      <c r="E508" s="1">
        <v>1.145</v>
      </c>
      <c r="F508" s="1">
        <v>1.145</v>
      </c>
      <c r="G508" s="1">
        <v>1.1000000000000001</v>
      </c>
      <c r="H508" s="1">
        <v>1</v>
      </c>
      <c r="I508" s="1">
        <v>1</v>
      </c>
      <c r="J508" s="1">
        <v>1.2</v>
      </c>
      <c r="K508" s="1">
        <v>1.2</v>
      </c>
      <c r="L508" s="1">
        <v>1.2</v>
      </c>
      <c r="M508" s="1">
        <v>1.2</v>
      </c>
      <c r="N508" s="1">
        <v>1</v>
      </c>
      <c r="O508" s="1">
        <v>1</v>
      </c>
      <c r="P508" s="1">
        <v>1</v>
      </c>
      <c r="Q508" s="1">
        <v>1</v>
      </c>
      <c r="R508" s="1">
        <v>1</v>
      </c>
      <c r="S508" s="1">
        <v>1</v>
      </c>
      <c r="T508" s="1">
        <v>1</v>
      </c>
      <c r="U508" s="1">
        <v>1</v>
      </c>
      <c r="V508" s="1">
        <v>1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1</v>
      </c>
      <c r="AD508" s="1">
        <v>2</v>
      </c>
      <c r="AE508" s="1">
        <v>1.145</v>
      </c>
      <c r="AF508" s="1">
        <v>1</v>
      </c>
      <c r="AG508" s="1">
        <v>1.2</v>
      </c>
      <c r="AH508" s="1">
        <v>1</v>
      </c>
      <c r="AI508" s="1">
        <v>1</v>
      </c>
      <c r="AJ508" s="1">
        <v>1</v>
      </c>
      <c r="AK508" s="1">
        <v>0</v>
      </c>
      <c r="AL508" s="1">
        <v>1</v>
      </c>
      <c r="AM508" s="1">
        <v>1</v>
      </c>
      <c r="AN508" s="1">
        <v>1.3</v>
      </c>
    </row>
    <row r="509" spans="1:40">
      <c r="A509" s="1">
        <v>2402</v>
      </c>
      <c r="C509" s="1">
        <v>1.29</v>
      </c>
      <c r="D509" s="1">
        <v>1.29</v>
      </c>
      <c r="E509" s="1">
        <v>1.29</v>
      </c>
      <c r="F509" s="1">
        <v>1.29</v>
      </c>
      <c r="G509" s="1">
        <v>1.2</v>
      </c>
      <c r="H509" s="1">
        <v>1</v>
      </c>
      <c r="I509" s="1">
        <v>1</v>
      </c>
      <c r="J509" s="1">
        <v>1.4</v>
      </c>
      <c r="K509" s="1">
        <v>1.4</v>
      </c>
      <c r="L509" s="1">
        <v>1.4</v>
      </c>
      <c r="M509" s="1">
        <v>1.4</v>
      </c>
      <c r="N509" s="1">
        <v>1</v>
      </c>
      <c r="O509" s="1">
        <v>1</v>
      </c>
      <c r="P509" s="1">
        <v>1</v>
      </c>
      <c r="Q509" s="1">
        <v>1</v>
      </c>
      <c r="R509" s="1">
        <v>1</v>
      </c>
      <c r="S509" s="1">
        <v>1</v>
      </c>
      <c r="T509" s="1">
        <v>1</v>
      </c>
      <c r="U509" s="1">
        <v>1</v>
      </c>
      <c r="V509" s="1">
        <v>1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2</v>
      </c>
      <c r="AD509" s="1">
        <v>5</v>
      </c>
      <c r="AE509" s="1">
        <v>1.29</v>
      </c>
      <c r="AF509" s="1">
        <v>1</v>
      </c>
      <c r="AG509" s="1">
        <v>1.4</v>
      </c>
      <c r="AH509" s="1">
        <v>1</v>
      </c>
      <c r="AI509" s="1">
        <v>1.5</v>
      </c>
      <c r="AJ509" s="1">
        <v>1</v>
      </c>
      <c r="AK509" s="1">
        <v>0</v>
      </c>
      <c r="AL509" s="1">
        <v>1</v>
      </c>
      <c r="AM509" s="1">
        <v>1</v>
      </c>
      <c r="AN509" s="1">
        <v>1.6</v>
      </c>
    </row>
    <row r="510" spans="1:40">
      <c r="A510" s="1">
        <v>2403</v>
      </c>
      <c r="C510" s="1">
        <v>1.4350000000000001</v>
      </c>
      <c r="D510" s="1">
        <v>1.4350000000000001</v>
      </c>
      <c r="E510" s="1">
        <v>1.4350000000000001</v>
      </c>
      <c r="F510" s="1">
        <v>1.4350000000000001</v>
      </c>
      <c r="G510" s="1">
        <v>1.3</v>
      </c>
      <c r="H510" s="1">
        <v>1</v>
      </c>
      <c r="I510" s="1">
        <v>1</v>
      </c>
      <c r="J510" s="1">
        <v>1.6</v>
      </c>
      <c r="K510" s="1">
        <v>1.6</v>
      </c>
      <c r="L510" s="1">
        <v>1.6</v>
      </c>
      <c r="M510" s="1">
        <v>1.6</v>
      </c>
      <c r="N510" s="1">
        <v>1</v>
      </c>
      <c r="O510" s="1">
        <v>1</v>
      </c>
      <c r="P510" s="1">
        <v>1</v>
      </c>
      <c r="Q510" s="1">
        <v>1</v>
      </c>
      <c r="R510" s="1">
        <v>1</v>
      </c>
      <c r="S510" s="1">
        <v>1</v>
      </c>
      <c r="T510" s="1">
        <v>1</v>
      </c>
      <c r="U510" s="1">
        <v>1</v>
      </c>
      <c r="V510" s="1">
        <v>1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3</v>
      </c>
      <c r="AD510" s="1">
        <v>7</v>
      </c>
      <c r="AE510" s="1">
        <v>1.4350000000000001</v>
      </c>
      <c r="AF510" s="1">
        <v>1</v>
      </c>
      <c r="AG510" s="1">
        <v>1.6</v>
      </c>
      <c r="AH510" s="1">
        <v>1</v>
      </c>
      <c r="AI510" s="1">
        <v>2</v>
      </c>
      <c r="AJ510" s="1">
        <v>1</v>
      </c>
      <c r="AK510" s="1">
        <v>0</v>
      </c>
      <c r="AL510" s="1">
        <v>1</v>
      </c>
      <c r="AM510" s="1">
        <v>1</v>
      </c>
      <c r="AN510" s="1">
        <v>1.9</v>
      </c>
    </row>
    <row r="511" spans="1:40">
      <c r="A511" s="1">
        <v>2404</v>
      </c>
      <c r="C511" s="1">
        <v>1.58</v>
      </c>
      <c r="D511" s="1">
        <v>1.58</v>
      </c>
      <c r="E511" s="1">
        <v>1.58</v>
      </c>
      <c r="F511" s="1">
        <v>1.58</v>
      </c>
      <c r="G511" s="1">
        <v>1.4</v>
      </c>
      <c r="H511" s="1">
        <v>1</v>
      </c>
      <c r="I511" s="1">
        <v>1</v>
      </c>
      <c r="J511" s="1">
        <v>1.8</v>
      </c>
      <c r="K511" s="1">
        <v>1.8</v>
      </c>
      <c r="L511" s="1">
        <v>1.8</v>
      </c>
      <c r="M511" s="1">
        <v>1.8</v>
      </c>
      <c r="N511" s="1">
        <v>1</v>
      </c>
      <c r="O511" s="1">
        <v>1</v>
      </c>
      <c r="P511" s="1">
        <v>1</v>
      </c>
      <c r="Q511" s="1">
        <v>1</v>
      </c>
      <c r="R511" s="1">
        <v>1</v>
      </c>
      <c r="S511" s="1">
        <v>1</v>
      </c>
      <c r="T511" s="1">
        <v>1</v>
      </c>
      <c r="U511" s="1">
        <v>1</v>
      </c>
      <c r="V511" s="1">
        <v>1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4</v>
      </c>
      <c r="AD511" s="1">
        <v>10</v>
      </c>
      <c r="AE511" s="1">
        <v>1.58</v>
      </c>
      <c r="AF511" s="1">
        <v>1</v>
      </c>
      <c r="AG511" s="1">
        <v>1.8</v>
      </c>
      <c r="AH511" s="1">
        <v>1</v>
      </c>
      <c r="AI511" s="1">
        <v>2.5</v>
      </c>
      <c r="AJ511" s="1">
        <v>1</v>
      </c>
      <c r="AK511" s="1">
        <v>0</v>
      </c>
      <c r="AL511" s="1">
        <v>1</v>
      </c>
      <c r="AM511" s="1">
        <v>1</v>
      </c>
      <c r="AN511" s="1">
        <v>2.2000000000000002</v>
      </c>
    </row>
    <row r="512" spans="1:40">
      <c r="A512" s="1">
        <v>2405</v>
      </c>
      <c r="C512" s="1">
        <v>1.7250000000000001</v>
      </c>
      <c r="D512" s="1">
        <v>1.7250000000000001</v>
      </c>
      <c r="E512" s="1">
        <v>1.7250000000000001</v>
      </c>
      <c r="F512" s="1">
        <v>1.7250000000000001</v>
      </c>
      <c r="G512" s="1">
        <v>1.5</v>
      </c>
      <c r="H512" s="1">
        <v>1</v>
      </c>
      <c r="I512" s="1">
        <v>1</v>
      </c>
      <c r="J512" s="1">
        <v>2</v>
      </c>
      <c r="K512" s="1">
        <v>2</v>
      </c>
      <c r="L512" s="1">
        <v>2</v>
      </c>
      <c r="M512" s="1">
        <v>2</v>
      </c>
      <c r="N512" s="1">
        <v>1</v>
      </c>
      <c r="O512" s="1">
        <v>1</v>
      </c>
      <c r="P512" s="1">
        <v>1</v>
      </c>
      <c r="Q512" s="1">
        <v>1</v>
      </c>
      <c r="R512" s="1">
        <v>1</v>
      </c>
      <c r="S512" s="1">
        <v>1</v>
      </c>
      <c r="T512" s="1">
        <v>1</v>
      </c>
      <c r="U512" s="1">
        <v>1</v>
      </c>
      <c r="V512" s="1">
        <v>1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5</v>
      </c>
      <c r="AD512" s="1">
        <v>12</v>
      </c>
      <c r="AE512" s="1">
        <v>1.7250000000000001</v>
      </c>
      <c r="AF512" s="1">
        <v>1</v>
      </c>
      <c r="AG512" s="1">
        <v>2</v>
      </c>
      <c r="AH512" s="1">
        <v>1</v>
      </c>
      <c r="AI512" s="1">
        <v>3</v>
      </c>
      <c r="AJ512" s="1">
        <v>1</v>
      </c>
      <c r="AK512" s="1">
        <v>0</v>
      </c>
      <c r="AL512" s="1">
        <v>1</v>
      </c>
      <c r="AM512" s="1">
        <v>1</v>
      </c>
      <c r="AN512" s="1">
        <v>2.5</v>
      </c>
    </row>
    <row r="513" spans="1:40">
      <c r="A513" s="1">
        <v>2406</v>
      </c>
      <c r="C513" s="1">
        <v>1.87</v>
      </c>
      <c r="D513" s="1">
        <v>1.87</v>
      </c>
      <c r="E513" s="1">
        <v>1.87</v>
      </c>
      <c r="F513" s="1">
        <v>1.87</v>
      </c>
      <c r="G513" s="1">
        <v>1.6</v>
      </c>
      <c r="H513" s="1">
        <v>1</v>
      </c>
      <c r="I513" s="1">
        <v>1</v>
      </c>
      <c r="J513" s="1">
        <v>2.2000000000000002</v>
      </c>
      <c r="K513" s="1">
        <v>2.2000000000000002</v>
      </c>
      <c r="L513" s="1">
        <v>2.2000000000000002</v>
      </c>
      <c r="M513" s="1">
        <v>2.2000000000000002</v>
      </c>
      <c r="N513" s="1">
        <v>1</v>
      </c>
      <c r="O513" s="1">
        <v>1</v>
      </c>
      <c r="P513" s="1">
        <v>1</v>
      </c>
      <c r="Q513" s="1">
        <v>1</v>
      </c>
      <c r="R513" s="1">
        <v>1</v>
      </c>
      <c r="S513" s="1">
        <v>1</v>
      </c>
      <c r="T513" s="1">
        <v>1</v>
      </c>
      <c r="U513" s="1">
        <v>1</v>
      </c>
      <c r="V513" s="1">
        <v>1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6</v>
      </c>
      <c r="AD513" s="1">
        <v>15</v>
      </c>
      <c r="AE513" s="1">
        <v>1.87</v>
      </c>
      <c r="AF513" s="1">
        <v>1</v>
      </c>
      <c r="AG513" s="1">
        <v>2.2000000000000002</v>
      </c>
      <c r="AH513" s="1">
        <v>1</v>
      </c>
      <c r="AI513" s="1">
        <v>3.5</v>
      </c>
      <c r="AJ513" s="1">
        <v>1</v>
      </c>
      <c r="AK513" s="1">
        <v>0</v>
      </c>
      <c r="AL513" s="1">
        <v>1</v>
      </c>
      <c r="AM513" s="1">
        <v>1</v>
      </c>
      <c r="AN513" s="1">
        <v>2.8</v>
      </c>
    </row>
    <row r="514" spans="1:40">
      <c r="A514" s="1">
        <v>2407</v>
      </c>
      <c r="C514" s="1">
        <v>2.0150000000000001</v>
      </c>
      <c r="D514" s="1">
        <v>2.0150000000000001</v>
      </c>
      <c r="E514" s="1">
        <v>2.0150000000000001</v>
      </c>
      <c r="F514" s="1">
        <v>2.0150000000000001</v>
      </c>
      <c r="G514" s="1">
        <v>1.7</v>
      </c>
      <c r="H514" s="1">
        <v>1</v>
      </c>
      <c r="I514" s="1">
        <v>1</v>
      </c>
      <c r="J514" s="1">
        <v>2.4</v>
      </c>
      <c r="K514" s="1">
        <v>2.4</v>
      </c>
      <c r="L514" s="1">
        <v>2.4</v>
      </c>
      <c r="M514" s="1">
        <v>2.4</v>
      </c>
      <c r="N514" s="1">
        <v>1</v>
      </c>
      <c r="O514" s="1">
        <v>1</v>
      </c>
      <c r="P514" s="1">
        <v>1</v>
      </c>
      <c r="Q514" s="1">
        <v>1</v>
      </c>
      <c r="R514" s="1">
        <v>1</v>
      </c>
      <c r="S514" s="1">
        <v>1</v>
      </c>
      <c r="T514" s="1">
        <v>1</v>
      </c>
      <c r="U514" s="1">
        <v>1</v>
      </c>
      <c r="V514" s="1">
        <v>1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7</v>
      </c>
      <c r="AD514" s="1">
        <v>17</v>
      </c>
      <c r="AE514" s="1">
        <v>2.0150000000000001</v>
      </c>
      <c r="AF514" s="1">
        <v>1</v>
      </c>
      <c r="AG514" s="1">
        <v>2.4</v>
      </c>
      <c r="AH514" s="1">
        <v>1</v>
      </c>
      <c r="AI514" s="1">
        <v>4</v>
      </c>
      <c r="AJ514" s="1">
        <v>1</v>
      </c>
      <c r="AK514" s="1">
        <v>0</v>
      </c>
      <c r="AL514" s="1">
        <v>1</v>
      </c>
      <c r="AM514" s="1">
        <v>1</v>
      </c>
      <c r="AN514" s="1">
        <v>3.1</v>
      </c>
    </row>
    <row r="515" spans="1:40">
      <c r="A515" s="1">
        <v>2408</v>
      </c>
      <c r="C515" s="1">
        <v>2.16</v>
      </c>
      <c r="D515" s="1">
        <v>2.16</v>
      </c>
      <c r="E515" s="1">
        <v>2.16</v>
      </c>
      <c r="F515" s="1">
        <v>2.16</v>
      </c>
      <c r="G515" s="1">
        <v>1.8</v>
      </c>
      <c r="H515" s="1">
        <v>1</v>
      </c>
      <c r="I515" s="1">
        <v>1</v>
      </c>
      <c r="J515" s="1">
        <v>2.6</v>
      </c>
      <c r="K515" s="1">
        <v>2.6</v>
      </c>
      <c r="L515" s="1">
        <v>2.6</v>
      </c>
      <c r="M515" s="1">
        <v>2.6</v>
      </c>
      <c r="N515" s="1">
        <v>1</v>
      </c>
      <c r="O515" s="1">
        <v>1</v>
      </c>
      <c r="P515" s="1">
        <v>1</v>
      </c>
      <c r="Q515" s="1">
        <v>1</v>
      </c>
      <c r="R515" s="1">
        <v>1</v>
      </c>
      <c r="S515" s="1">
        <v>1</v>
      </c>
      <c r="T515" s="1">
        <v>1</v>
      </c>
      <c r="U515" s="1">
        <v>1</v>
      </c>
      <c r="V515" s="1">
        <v>1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8</v>
      </c>
      <c r="AD515" s="1">
        <v>20</v>
      </c>
      <c r="AE515" s="1">
        <v>2.16</v>
      </c>
      <c r="AF515" s="1">
        <v>1</v>
      </c>
      <c r="AG515" s="1">
        <v>2.6</v>
      </c>
      <c r="AH515" s="1">
        <v>1</v>
      </c>
      <c r="AI515" s="1">
        <v>4.5</v>
      </c>
      <c r="AJ515" s="1">
        <v>1</v>
      </c>
      <c r="AK515" s="1">
        <v>0</v>
      </c>
      <c r="AL515" s="1">
        <v>1</v>
      </c>
      <c r="AM515" s="1">
        <v>1</v>
      </c>
      <c r="AN515" s="1">
        <v>3.4</v>
      </c>
    </row>
    <row r="516" spans="1:40">
      <c r="A516" s="1">
        <v>2409</v>
      </c>
      <c r="C516" s="1">
        <v>2.3050000000000002</v>
      </c>
      <c r="D516" s="1">
        <v>2.3050000000000002</v>
      </c>
      <c r="E516" s="1">
        <v>2.3050000000000002</v>
      </c>
      <c r="F516" s="1">
        <v>2.3050000000000002</v>
      </c>
      <c r="G516" s="1">
        <v>1.9</v>
      </c>
      <c r="H516" s="1">
        <v>1</v>
      </c>
      <c r="I516" s="1">
        <v>1</v>
      </c>
      <c r="J516" s="1">
        <v>2.8</v>
      </c>
      <c r="K516" s="1">
        <v>2.8</v>
      </c>
      <c r="L516" s="1">
        <v>2.8</v>
      </c>
      <c r="M516" s="1">
        <v>2.8</v>
      </c>
      <c r="N516" s="1">
        <v>1</v>
      </c>
      <c r="O516" s="1">
        <v>1</v>
      </c>
      <c r="P516" s="1">
        <v>1</v>
      </c>
      <c r="Q516" s="1">
        <v>1</v>
      </c>
      <c r="R516" s="1">
        <v>1</v>
      </c>
      <c r="S516" s="1">
        <v>1</v>
      </c>
      <c r="T516" s="1">
        <v>1</v>
      </c>
      <c r="U516" s="1">
        <v>1</v>
      </c>
      <c r="V516" s="1">
        <v>1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9</v>
      </c>
      <c r="AD516" s="1">
        <v>22</v>
      </c>
      <c r="AE516" s="1">
        <v>2.3050000000000002</v>
      </c>
      <c r="AF516" s="1">
        <v>1</v>
      </c>
      <c r="AG516" s="1">
        <v>2.8</v>
      </c>
      <c r="AH516" s="1">
        <v>1</v>
      </c>
      <c r="AI516" s="1">
        <v>5</v>
      </c>
      <c r="AJ516" s="1">
        <v>1</v>
      </c>
      <c r="AK516" s="1">
        <v>0</v>
      </c>
      <c r="AL516" s="1">
        <v>1</v>
      </c>
      <c r="AM516" s="1">
        <v>1</v>
      </c>
      <c r="AN516" s="1">
        <v>3.7</v>
      </c>
    </row>
    <row r="517" spans="1:40">
      <c r="A517" s="1">
        <v>2410</v>
      </c>
      <c r="C517" s="1">
        <v>2.4500000000000002</v>
      </c>
      <c r="D517" s="1">
        <v>2.4500000000000002</v>
      </c>
      <c r="E517" s="1">
        <v>2.4500000000000002</v>
      </c>
      <c r="F517" s="1">
        <v>2.4500000000000002</v>
      </c>
      <c r="G517" s="1">
        <v>2</v>
      </c>
      <c r="H517" s="1">
        <v>1</v>
      </c>
      <c r="I517" s="1">
        <v>1</v>
      </c>
      <c r="J517" s="1">
        <v>3</v>
      </c>
      <c r="K517" s="1">
        <v>3</v>
      </c>
      <c r="L517" s="1">
        <v>3</v>
      </c>
      <c r="M517" s="1">
        <v>3</v>
      </c>
      <c r="N517" s="1">
        <v>1</v>
      </c>
      <c r="O517" s="1">
        <v>1</v>
      </c>
      <c r="P517" s="1">
        <v>1</v>
      </c>
      <c r="Q517" s="1">
        <v>1</v>
      </c>
      <c r="R517" s="1">
        <v>1</v>
      </c>
      <c r="S517" s="1">
        <v>1</v>
      </c>
      <c r="T517" s="1">
        <v>1</v>
      </c>
      <c r="U517" s="1">
        <v>1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10</v>
      </c>
      <c r="AD517" s="1">
        <v>25</v>
      </c>
      <c r="AE517" s="1">
        <v>2.4500000000000002</v>
      </c>
      <c r="AF517" s="1">
        <v>1</v>
      </c>
      <c r="AG517" s="1">
        <v>3</v>
      </c>
      <c r="AH517" s="1">
        <v>1</v>
      </c>
      <c r="AI517" s="1">
        <v>6</v>
      </c>
      <c r="AJ517" s="1">
        <v>1</v>
      </c>
      <c r="AK517" s="1">
        <v>0</v>
      </c>
      <c r="AL517" s="1">
        <v>1</v>
      </c>
      <c r="AM517" s="1">
        <v>1</v>
      </c>
      <c r="AN517" s="1">
        <v>4</v>
      </c>
    </row>
    <row r="518" spans="1:40">
      <c r="A518" s="1">
        <v>2500</v>
      </c>
      <c r="C518" s="1">
        <v>1</v>
      </c>
      <c r="D518" s="1">
        <v>1</v>
      </c>
      <c r="E518" s="1">
        <v>1</v>
      </c>
      <c r="F518" s="1">
        <v>1</v>
      </c>
      <c r="G518" s="1">
        <v>1</v>
      </c>
      <c r="H518" s="1">
        <v>1</v>
      </c>
      <c r="I518" s="1">
        <v>1</v>
      </c>
      <c r="J518" s="1">
        <v>1</v>
      </c>
      <c r="K518" s="1">
        <v>1</v>
      </c>
      <c r="L518" s="1">
        <v>1</v>
      </c>
      <c r="M518" s="1">
        <v>1</v>
      </c>
      <c r="N518" s="1">
        <v>1</v>
      </c>
      <c r="O518" s="1">
        <v>1</v>
      </c>
      <c r="P518" s="1">
        <v>1</v>
      </c>
      <c r="Q518" s="1">
        <v>1</v>
      </c>
      <c r="R518" s="1">
        <v>1</v>
      </c>
      <c r="S518" s="1">
        <v>1</v>
      </c>
      <c r="T518" s="1">
        <v>1</v>
      </c>
      <c r="U518" s="1">
        <v>1</v>
      </c>
      <c r="V518" s="1">
        <v>1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D518" s="1">
        <v>0</v>
      </c>
      <c r="AE518" s="1">
        <v>1</v>
      </c>
      <c r="AF518" s="1">
        <v>1</v>
      </c>
      <c r="AG518" s="1">
        <v>1</v>
      </c>
      <c r="AH518" s="1">
        <v>1</v>
      </c>
      <c r="AI518" s="1">
        <v>1</v>
      </c>
      <c r="AJ518" s="1">
        <v>1</v>
      </c>
      <c r="AK518" s="1">
        <v>0</v>
      </c>
      <c r="AL518" s="1">
        <v>1</v>
      </c>
      <c r="AM518" s="1">
        <v>1</v>
      </c>
      <c r="AN518" s="1">
        <v>1</v>
      </c>
    </row>
    <row r="519" spans="1:40">
      <c r="A519" s="1">
        <v>2501</v>
      </c>
      <c r="C519" s="1">
        <v>1.0755999999999999</v>
      </c>
      <c r="D519" s="1">
        <v>1.0755999999999999</v>
      </c>
      <c r="E519" s="1">
        <v>1.0755999999999999</v>
      </c>
      <c r="F519" s="1">
        <v>1.0755999999999999</v>
      </c>
      <c r="G519" s="1">
        <v>1.0880000000000001</v>
      </c>
      <c r="H519" s="1">
        <v>1</v>
      </c>
      <c r="I519" s="1">
        <v>1</v>
      </c>
      <c r="J519" s="1">
        <v>1.1499999999999999</v>
      </c>
      <c r="K519" s="1">
        <v>1.1499999999999999</v>
      </c>
      <c r="L519" s="1">
        <v>1.1499999999999999</v>
      </c>
      <c r="M519" s="1">
        <v>1.1499999999999999</v>
      </c>
      <c r="N519" s="1">
        <v>1</v>
      </c>
      <c r="O519" s="1">
        <v>1</v>
      </c>
      <c r="P519" s="1">
        <v>1</v>
      </c>
      <c r="Q519" s="1">
        <v>1</v>
      </c>
      <c r="R519" s="1">
        <v>1</v>
      </c>
      <c r="S519" s="1">
        <v>1</v>
      </c>
      <c r="T519" s="1">
        <v>1</v>
      </c>
      <c r="U519" s="1">
        <v>1</v>
      </c>
      <c r="V519" s="1">
        <v>1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1</v>
      </c>
      <c r="AD519" s="1">
        <v>2</v>
      </c>
      <c r="AE519" s="1">
        <v>1.0755999999999999</v>
      </c>
      <c r="AF519" s="1">
        <v>1</v>
      </c>
      <c r="AG519" s="1">
        <v>1.1499999999999999</v>
      </c>
      <c r="AH519" s="1">
        <v>1</v>
      </c>
      <c r="AI519" s="1">
        <v>1</v>
      </c>
      <c r="AJ519" s="1">
        <v>1</v>
      </c>
      <c r="AK519" s="1">
        <v>0</v>
      </c>
      <c r="AL519" s="1">
        <v>1</v>
      </c>
      <c r="AM519" s="1">
        <v>1</v>
      </c>
      <c r="AN519" s="1">
        <v>1.3</v>
      </c>
    </row>
    <row r="520" spans="1:40">
      <c r="A520" s="1">
        <v>2502</v>
      </c>
      <c r="C520" s="1">
        <v>1.1512</v>
      </c>
      <c r="D520" s="1">
        <v>1.1512</v>
      </c>
      <c r="E520" s="1">
        <v>1.1512</v>
      </c>
      <c r="F520" s="1">
        <v>1.1512</v>
      </c>
      <c r="G520" s="1">
        <v>1.1759999999999999</v>
      </c>
      <c r="H520" s="1">
        <v>1</v>
      </c>
      <c r="I520" s="1">
        <v>1</v>
      </c>
      <c r="J520" s="1">
        <v>1.3</v>
      </c>
      <c r="K520" s="1">
        <v>1.3</v>
      </c>
      <c r="L520" s="1">
        <v>1.3</v>
      </c>
      <c r="M520" s="1">
        <v>1.3</v>
      </c>
      <c r="N520" s="1">
        <v>1</v>
      </c>
      <c r="O520" s="1">
        <v>1</v>
      </c>
      <c r="P520" s="1">
        <v>1</v>
      </c>
      <c r="Q520" s="1">
        <v>1</v>
      </c>
      <c r="R520" s="1">
        <v>1</v>
      </c>
      <c r="S520" s="1">
        <v>1</v>
      </c>
      <c r="T520" s="1">
        <v>1</v>
      </c>
      <c r="U520" s="1">
        <v>1</v>
      </c>
      <c r="V520" s="1">
        <v>1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2</v>
      </c>
      <c r="AD520" s="1">
        <v>5</v>
      </c>
      <c r="AE520" s="1">
        <v>1.1512</v>
      </c>
      <c r="AF520" s="1">
        <v>1</v>
      </c>
      <c r="AG520" s="1">
        <v>1.3</v>
      </c>
      <c r="AH520" s="1">
        <v>1</v>
      </c>
      <c r="AI520" s="1">
        <v>1.5</v>
      </c>
      <c r="AJ520" s="1">
        <v>1</v>
      </c>
      <c r="AK520" s="1">
        <v>0</v>
      </c>
      <c r="AL520" s="1">
        <v>1</v>
      </c>
      <c r="AM520" s="1">
        <v>1</v>
      </c>
      <c r="AN520" s="1">
        <v>1.6</v>
      </c>
    </row>
    <row r="521" spans="1:40">
      <c r="A521" s="1">
        <v>2503</v>
      </c>
      <c r="C521" s="1">
        <v>1.2267999999999999</v>
      </c>
      <c r="D521" s="1">
        <v>1.2267999999999999</v>
      </c>
      <c r="E521" s="1">
        <v>1.2267999999999999</v>
      </c>
      <c r="F521" s="1">
        <v>1.2267999999999999</v>
      </c>
      <c r="G521" s="1">
        <v>1.264</v>
      </c>
      <c r="H521" s="1">
        <v>1</v>
      </c>
      <c r="I521" s="1">
        <v>1</v>
      </c>
      <c r="J521" s="1">
        <v>1.45</v>
      </c>
      <c r="K521" s="1">
        <v>1.45</v>
      </c>
      <c r="L521" s="1">
        <v>1.45</v>
      </c>
      <c r="M521" s="1">
        <v>1.45</v>
      </c>
      <c r="N521" s="1">
        <v>1</v>
      </c>
      <c r="O521" s="1">
        <v>1</v>
      </c>
      <c r="P521" s="1">
        <v>1</v>
      </c>
      <c r="Q521" s="1">
        <v>1</v>
      </c>
      <c r="R521" s="1">
        <v>1</v>
      </c>
      <c r="S521" s="1">
        <v>1</v>
      </c>
      <c r="T521" s="1">
        <v>1</v>
      </c>
      <c r="U521" s="1">
        <v>1</v>
      </c>
      <c r="V521" s="1">
        <v>1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3</v>
      </c>
      <c r="AD521" s="1">
        <v>7</v>
      </c>
      <c r="AE521" s="1">
        <v>1.2267999999999999</v>
      </c>
      <c r="AF521" s="1">
        <v>1</v>
      </c>
      <c r="AG521" s="1">
        <v>1.45</v>
      </c>
      <c r="AH521" s="1">
        <v>1</v>
      </c>
      <c r="AI521" s="1">
        <v>2</v>
      </c>
      <c r="AJ521" s="1">
        <v>1</v>
      </c>
      <c r="AK521" s="1">
        <v>0</v>
      </c>
      <c r="AL521" s="1">
        <v>1</v>
      </c>
      <c r="AM521" s="1">
        <v>1</v>
      </c>
      <c r="AN521" s="1">
        <v>1.9</v>
      </c>
    </row>
    <row r="522" spans="1:40">
      <c r="A522" s="1">
        <v>2504</v>
      </c>
      <c r="C522" s="1">
        <v>1.3024</v>
      </c>
      <c r="D522" s="1">
        <v>1.3024</v>
      </c>
      <c r="E522" s="1">
        <v>1.3024</v>
      </c>
      <c r="F522" s="1">
        <v>1.3024</v>
      </c>
      <c r="G522" s="1">
        <v>1.3520000000000001</v>
      </c>
      <c r="H522" s="1">
        <v>1</v>
      </c>
      <c r="I522" s="1">
        <v>1</v>
      </c>
      <c r="J522" s="1">
        <v>1.5</v>
      </c>
      <c r="K522" s="1">
        <v>1.5</v>
      </c>
      <c r="L522" s="1">
        <v>1.5</v>
      </c>
      <c r="M522" s="1">
        <v>1.5</v>
      </c>
      <c r="N522" s="1">
        <v>1</v>
      </c>
      <c r="O522" s="1">
        <v>1</v>
      </c>
      <c r="P522" s="1">
        <v>1</v>
      </c>
      <c r="Q522" s="1">
        <v>1</v>
      </c>
      <c r="R522" s="1">
        <v>1</v>
      </c>
      <c r="S522" s="1">
        <v>1</v>
      </c>
      <c r="T522" s="1">
        <v>1</v>
      </c>
      <c r="U522" s="1">
        <v>1</v>
      </c>
      <c r="V522" s="1">
        <v>1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4</v>
      </c>
      <c r="AD522" s="1">
        <v>10</v>
      </c>
      <c r="AE522" s="1">
        <v>1.3024</v>
      </c>
      <c r="AF522" s="1">
        <v>1</v>
      </c>
      <c r="AG522" s="1">
        <v>1.5</v>
      </c>
      <c r="AH522" s="1">
        <v>1</v>
      </c>
      <c r="AI522" s="1">
        <v>2.5</v>
      </c>
      <c r="AJ522" s="1">
        <v>1</v>
      </c>
      <c r="AK522" s="1">
        <v>0</v>
      </c>
      <c r="AL522" s="1">
        <v>1</v>
      </c>
      <c r="AM522" s="1">
        <v>1</v>
      </c>
      <c r="AN522" s="1">
        <v>2.2000000000000002</v>
      </c>
    </row>
    <row r="523" spans="1:40">
      <c r="A523" s="1">
        <v>2505</v>
      </c>
      <c r="C523" s="1">
        <v>1.3779999999999999</v>
      </c>
      <c r="D523" s="1">
        <v>1.3779999999999999</v>
      </c>
      <c r="E523" s="1">
        <v>1.3779999999999999</v>
      </c>
      <c r="F523" s="1">
        <v>1.3779999999999999</v>
      </c>
      <c r="G523" s="1">
        <v>1.44</v>
      </c>
      <c r="H523" s="1">
        <v>1</v>
      </c>
      <c r="I523" s="1">
        <v>1</v>
      </c>
      <c r="J523" s="1">
        <v>1.55</v>
      </c>
      <c r="K523" s="1">
        <v>1.55</v>
      </c>
      <c r="L523" s="1">
        <v>1.55</v>
      </c>
      <c r="M523" s="1">
        <v>1.55</v>
      </c>
      <c r="N523" s="1">
        <v>1</v>
      </c>
      <c r="O523" s="1">
        <v>1</v>
      </c>
      <c r="P523" s="1">
        <v>1</v>
      </c>
      <c r="Q523" s="1">
        <v>1</v>
      </c>
      <c r="R523" s="1">
        <v>1</v>
      </c>
      <c r="S523" s="1">
        <v>1</v>
      </c>
      <c r="T523" s="1">
        <v>1</v>
      </c>
      <c r="U523" s="1">
        <v>1</v>
      </c>
      <c r="V523" s="1">
        <v>1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5</v>
      </c>
      <c r="AD523" s="1">
        <v>12</v>
      </c>
      <c r="AE523" s="1">
        <v>1.3779999999999999</v>
      </c>
      <c r="AF523" s="1">
        <v>1</v>
      </c>
      <c r="AG523" s="1">
        <v>1.55</v>
      </c>
      <c r="AH523" s="1">
        <v>1</v>
      </c>
      <c r="AI523" s="1">
        <v>3</v>
      </c>
      <c r="AJ523" s="1">
        <v>1</v>
      </c>
      <c r="AK523" s="1">
        <v>0</v>
      </c>
      <c r="AL523" s="1">
        <v>1</v>
      </c>
      <c r="AM523" s="1">
        <v>1</v>
      </c>
      <c r="AN523" s="1">
        <v>2.5</v>
      </c>
    </row>
    <row r="524" spans="1:40">
      <c r="A524" s="1">
        <v>2506</v>
      </c>
      <c r="C524" s="1">
        <v>1.4536</v>
      </c>
      <c r="D524" s="1">
        <v>1.4536</v>
      </c>
      <c r="E524" s="1">
        <v>1.4536</v>
      </c>
      <c r="F524" s="1">
        <v>1.4536</v>
      </c>
      <c r="G524" s="1">
        <v>1.528</v>
      </c>
      <c r="H524" s="1">
        <v>1</v>
      </c>
      <c r="I524" s="1">
        <v>1</v>
      </c>
      <c r="J524" s="1">
        <v>1.6</v>
      </c>
      <c r="K524" s="1">
        <v>1.6</v>
      </c>
      <c r="L524" s="1">
        <v>1.6</v>
      </c>
      <c r="M524" s="1">
        <v>1.6</v>
      </c>
      <c r="N524" s="1">
        <v>1</v>
      </c>
      <c r="O524" s="1">
        <v>1</v>
      </c>
      <c r="P524" s="1">
        <v>1</v>
      </c>
      <c r="Q524" s="1">
        <v>1</v>
      </c>
      <c r="R524" s="1">
        <v>1</v>
      </c>
      <c r="S524" s="1">
        <v>1</v>
      </c>
      <c r="T524" s="1">
        <v>1</v>
      </c>
      <c r="U524" s="1">
        <v>1</v>
      </c>
      <c r="V524" s="1">
        <v>1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6</v>
      </c>
      <c r="AD524" s="1">
        <v>15</v>
      </c>
      <c r="AE524" s="1">
        <v>1.4536</v>
      </c>
      <c r="AF524" s="1">
        <v>1</v>
      </c>
      <c r="AG524" s="1">
        <v>1.6</v>
      </c>
      <c r="AH524" s="1">
        <v>1</v>
      </c>
      <c r="AI524" s="1">
        <v>3.5</v>
      </c>
      <c r="AJ524" s="1">
        <v>1</v>
      </c>
      <c r="AK524" s="1">
        <v>0</v>
      </c>
      <c r="AL524" s="1">
        <v>1</v>
      </c>
      <c r="AM524" s="1">
        <v>1</v>
      </c>
      <c r="AN524" s="1">
        <v>2.8</v>
      </c>
    </row>
    <row r="525" spans="1:40">
      <c r="A525" s="1">
        <v>2507</v>
      </c>
      <c r="C525" s="1">
        <v>1.5291999999999999</v>
      </c>
      <c r="D525" s="1">
        <v>1.5291999999999999</v>
      </c>
      <c r="E525" s="1">
        <v>1.5291999999999999</v>
      </c>
      <c r="F525" s="1">
        <v>1.5291999999999999</v>
      </c>
      <c r="G525" s="1">
        <v>1.6160000000000001</v>
      </c>
      <c r="H525" s="1">
        <v>1</v>
      </c>
      <c r="I525" s="1">
        <v>1</v>
      </c>
      <c r="J525" s="1">
        <v>1.63</v>
      </c>
      <c r="K525" s="1">
        <v>1.63</v>
      </c>
      <c r="L525" s="1">
        <v>1.63</v>
      </c>
      <c r="M525" s="1">
        <v>1.63</v>
      </c>
      <c r="N525" s="1">
        <v>1</v>
      </c>
      <c r="O525" s="1">
        <v>1</v>
      </c>
      <c r="P525" s="1">
        <v>1</v>
      </c>
      <c r="Q525" s="1">
        <v>1</v>
      </c>
      <c r="R525" s="1">
        <v>1</v>
      </c>
      <c r="S525" s="1">
        <v>1</v>
      </c>
      <c r="T525" s="1">
        <v>1</v>
      </c>
      <c r="U525" s="1">
        <v>1</v>
      </c>
      <c r="V525" s="1">
        <v>1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7</v>
      </c>
      <c r="AD525" s="1">
        <v>17</v>
      </c>
      <c r="AE525" s="1">
        <v>1.5291999999999999</v>
      </c>
      <c r="AF525" s="1">
        <v>1</v>
      </c>
      <c r="AG525" s="1">
        <v>1.63</v>
      </c>
      <c r="AH525" s="1">
        <v>1</v>
      </c>
      <c r="AI525" s="1">
        <v>4</v>
      </c>
      <c r="AJ525" s="1">
        <v>1</v>
      </c>
      <c r="AK525" s="1">
        <v>0</v>
      </c>
      <c r="AL525" s="1">
        <v>1</v>
      </c>
      <c r="AM525" s="1">
        <v>1</v>
      </c>
      <c r="AN525" s="1">
        <v>3.1</v>
      </c>
    </row>
    <row r="526" spans="1:40">
      <c r="A526" s="1">
        <v>2508</v>
      </c>
      <c r="C526" s="1">
        <v>1.6048</v>
      </c>
      <c r="D526" s="1">
        <v>1.6048</v>
      </c>
      <c r="E526" s="1">
        <v>1.6048</v>
      </c>
      <c r="F526" s="1">
        <v>1.6048</v>
      </c>
      <c r="G526" s="1">
        <v>1.704</v>
      </c>
      <c r="H526" s="1">
        <v>1</v>
      </c>
      <c r="I526" s="1">
        <v>1</v>
      </c>
      <c r="J526" s="1">
        <v>1.66</v>
      </c>
      <c r="K526" s="1">
        <v>1.66</v>
      </c>
      <c r="L526" s="1">
        <v>1.66</v>
      </c>
      <c r="M526" s="1">
        <v>1.66</v>
      </c>
      <c r="N526" s="1">
        <v>1</v>
      </c>
      <c r="O526" s="1">
        <v>1</v>
      </c>
      <c r="P526" s="1">
        <v>1</v>
      </c>
      <c r="Q526" s="1">
        <v>1</v>
      </c>
      <c r="R526" s="1">
        <v>1</v>
      </c>
      <c r="S526" s="1">
        <v>1</v>
      </c>
      <c r="T526" s="1">
        <v>1</v>
      </c>
      <c r="U526" s="1">
        <v>1</v>
      </c>
      <c r="V526" s="1">
        <v>1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B526" s="1">
        <v>0</v>
      </c>
      <c r="AC526" s="1">
        <v>8</v>
      </c>
      <c r="AD526" s="1">
        <v>20</v>
      </c>
      <c r="AE526" s="1">
        <v>1.6048</v>
      </c>
      <c r="AF526" s="1">
        <v>1</v>
      </c>
      <c r="AG526" s="1">
        <v>1.66</v>
      </c>
      <c r="AH526" s="1">
        <v>1</v>
      </c>
      <c r="AI526" s="1">
        <v>4.5</v>
      </c>
      <c r="AJ526" s="1">
        <v>1</v>
      </c>
      <c r="AK526" s="1">
        <v>0</v>
      </c>
      <c r="AL526" s="1">
        <v>1</v>
      </c>
      <c r="AM526" s="1">
        <v>1</v>
      </c>
      <c r="AN526" s="1">
        <v>3.4</v>
      </c>
    </row>
    <row r="527" spans="1:40">
      <c r="A527" s="1">
        <v>2509</v>
      </c>
      <c r="C527" s="1">
        <v>1.6803999999999999</v>
      </c>
      <c r="D527" s="1">
        <v>1.6803999999999999</v>
      </c>
      <c r="E527" s="1">
        <v>1.6803999999999999</v>
      </c>
      <c r="F527" s="1">
        <v>1.6803999999999999</v>
      </c>
      <c r="G527" s="1">
        <v>1.792</v>
      </c>
      <c r="H527" s="1">
        <v>1</v>
      </c>
      <c r="I527" s="1">
        <v>1</v>
      </c>
      <c r="J527" s="1">
        <v>1.69</v>
      </c>
      <c r="K527" s="1">
        <v>1.69</v>
      </c>
      <c r="L527" s="1">
        <v>1.69</v>
      </c>
      <c r="M527" s="1">
        <v>1.69</v>
      </c>
      <c r="N527" s="1">
        <v>1</v>
      </c>
      <c r="O527" s="1">
        <v>1</v>
      </c>
      <c r="P527" s="1">
        <v>1</v>
      </c>
      <c r="Q527" s="1">
        <v>1</v>
      </c>
      <c r="R527" s="1">
        <v>1</v>
      </c>
      <c r="S527" s="1">
        <v>1</v>
      </c>
      <c r="T527" s="1">
        <v>1</v>
      </c>
      <c r="U527" s="1">
        <v>1</v>
      </c>
      <c r="V527" s="1">
        <v>1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9</v>
      </c>
      <c r="AD527" s="1">
        <v>22</v>
      </c>
      <c r="AE527" s="1">
        <v>1.6803999999999999</v>
      </c>
      <c r="AF527" s="1">
        <v>1</v>
      </c>
      <c r="AG527" s="1">
        <v>1.69</v>
      </c>
      <c r="AH527" s="1">
        <v>1</v>
      </c>
      <c r="AI527" s="1">
        <v>5</v>
      </c>
      <c r="AJ527" s="1">
        <v>1</v>
      </c>
      <c r="AK527" s="1">
        <v>0</v>
      </c>
      <c r="AL527" s="1">
        <v>1</v>
      </c>
      <c r="AM527" s="1">
        <v>1</v>
      </c>
      <c r="AN527" s="1">
        <v>3.7</v>
      </c>
    </row>
    <row r="528" spans="1:40">
      <c r="A528" s="1">
        <v>2510</v>
      </c>
      <c r="C528" s="1">
        <v>1.75</v>
      </c>
      <c r="D528" s="1">
        <v>1.75</v>
      </c>
      <c r="E528" s="1">
        <v>1.75</v>
      </c>
      <c r="F528" s="1">
        <v>1.75</v>
      </c>
      <c r="G528" s="1">
        <v>2</v>
      </c>
      <c r="H528" s="1">
        <v>1</v>
      </c>
      <c r="I528" s="1">
        <v>1</v>
      </c>
      <c r="J528" s="1">
        <v>1.73</v>
      </c>
      <c r="K528" s="1">
        <v>1.73</v>
      </c>
      <c r="L528" s="1">
        <v>1.73</v>
      </c>
      <c r="M528" s="1">
        <v>1.73</v>
      </c>
      <c r="N528" s="1">
        <v>1</v>
      </c>
      <c r="O528" s="1">
        <v>1</v>
      </c>
      <c r="P528" s="1">
        <v>1</v>
      </c>
      <c r="Q528" s="1">
        <v>1</v>
      </c>
      <c r="R528" s="1">
        <v>1</v>
      </c>
      <c r="S528" s="1">
        <v>1</v>
      </c>
      <c r="T528" s="1">
        <v>1</v>
      </c>
      <c r="U528" s="1">
        <v>1</v>
      </c>
      <c r="V528" s="1">
        <v>1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B528" s="1">
        <v>0</v>
      </c>
      <c r="AC528" s="1">
        <v>10</v>
      </c>
      <c r="AD528" s="1">
        <v>25</v>
      </c>
      <c r="AE528" s="1">
        <v>1.75</v>
      </c>
      <c r="AF528" s="1">
        <v>1</v>
      </c>
      <c r="AG528" s="1">
        <v>1.73</v>
      </c>
      <c r="AH528" s="1">
        <v>1</v>
      </c>
      <c r="AI528" s="1">
        <v>6</v>
      </c>
      <c r="AJ528" s="1">
        <v>1</v>
      </c>
      <c r="AK528" s="1">
        <v>0</v>
      </c>
      <c r="AL528" s="1">
        <v>1</v>
      </c>
      <c r="AM528" s="1">
        <v>1</v>
      </c>
      <c r="AN528" s="1">
        <v>4</v>
      </c>
    </row>
    <row r="529" spans="1:40">
      <c r="A529" s="1">
        <v>2600</v>
      </c>
      <c r="C529" s="1">
        <v>1</v>
      </c>
      <c r="D529" s="1">
        <v>1</v>
      </c>
      <c r="E529" s="1">
        <v>1</v>
      </c>
      <c r="F529" s="1">
        <v>1</v>
      </c>
      <c r="G529" s="1">
        <v>1</v>
      </c>
      <c r="H529" s="1">
        <v>1</v>
      </c>
      <c r="I529" s="1">
        <v>1</v>
      </c>
      <c r="J529" s="1">
        <v>1</v>
      </c>
      <c r="K529" s="1">
        <v>1</v>
      </c>
      <c r="L529" s="1">
        <v>1</v>
      </c>
      <c r="M529" s="1">
        <v>1</v>
      </c>
      <c r="N529" s="1">
        <v>1</v>
      </c>
      <c r="O529" s="1">
        <v>1</v>
      </c>
      <c r="P529" s="1">
        <v>1</v>
      </c>
      <c r="Q529" s="1">
        <v>1</v>
      </c>
      <c r="R529" s="1">
        <v>1</v>
      </c>
      <c r="S529" s="1">
        <v>1</v>
      </c>
      <c r="T529" s="1">
        <v>1</v>
      </c>
      <c r="U529" s="1">
        <v>1</v>
      </c>
      <c r="V529" s="1">
        <v>1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1</v>
      </c>
      <c r="AF529" s="1">
        <v>1</v>
      </c>
      <c r="AG529" s="1">
        <v>1</v>
      </c>
      <c r="AH529" s="1">
        <v>1</v>
      </c>
      <c r="AI529" s="1">
        <v>1</v>
      </c>
      <c r="AJ529" s="1">
        <v>1</v>
      </c>
      <c r="AK529" s="1">
        <v>0</v>
      </c>
      <c r="AL529" s="1">
        <v>1</v>
      </c>
      <c r="AM529" s="1">
        <v>1</v>
      </c>
      <c r="AN529" s="1">
        <v>1</v>
      </c>
    </row>
    <row r="530" spans="1:40">
      <c r="A530" s="1">
        <v>2601</v>
      </c>
      <c r="C530" s="1">
        <v>1.075</v>
      </c>
      <c r="D530" s="1">
        <v>1.075</v>
      </c>
      <c r="E530" s="1">
        <v>1.075</v>
      </c>
      <c r="F530" s="1">
        <v>1.075</v>
      </c>
      <c r="G530" s="1">
        <v>1.1000000000000001</v>
      </c>
      <c r="H530" s="1">
        <v>1</v>
      </c>
      <c r="I530" s="1">
        <v>1</v>
      </c>
      <c r="J530" s="1">
        <v>1.1499999999999999</v>
      </c>
      <c r="K530" s="1">
        <v>1.1499999999999999</v>
      </c>
      <c r="L530" s="1">
        <v>1.1499999999999999</v>
      </c>
      <c r="M530" s="1">
        <v>1.1499999999999999</v>
      </c>
      <c r="N530" s="1">
        <v>1</v>
      </c>
      <c r="O530" s="1">
        <v>1</v>
      </c>
      <c r="P530" s="1">
        <v>1</v>
      </c>
      <c r="Q530" s="1">
        <v>1</v>
      </c>
      <c r="R530" s="1">
        <v>1</v>
      </c>
      <c r="S530" s="1">
        <v>1</v>
      </c>
      <c r="T530" s="1">
        <v>1</v>
      </c>
      <c r="U530" s="1">
        <v>1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1</v>
      </c>
      <c r="AD530" s="1">
        <v>2</v>
      </c>
      <c r="AE530" s="1">
        <v>1.075</v>
      </c>
      <c r="AF530" s="1">
        <v>1</v>
      </c>
      <c r="AG530" s="1">
        <v>1.1499999999999999</v>
      </c>
      <c r="AH530" s="1">
        <v>1</v>
      </c>
      <c r="AI530" s="1">
        <v>1</v>
      </c>
      <c r="AJ530" s="1">
        <v>1</v>
      </c>
      <c r="AK530" s="1">
        <v>0</v>
      </c>
      <c r="AL530" s="1">
        <v>1</v>
      </c>
      <c r="AM530" s="1">
        <v>1</v>
      </c>
      <c r="AN530" s="1">
        <v>1.3</v>
      </c>
    </row>
    <row r="531" spans="1:40">
      <c r="A531" s="1">
        <v>2602</v>
      </c>
      <c r="C531" s="1">
        <v>1.1499999999999999</v>
      </c>
      <c r="D531" s="1">
        <v>1.1499999999999999</v>
      </c>
      <c r="E531" s="1">
        <v>1.1499999999999999</v>
      </c>
      <c r="F531" s="1">
        <v>1.1499999999999999</v>
      </c>
      <c r="G531" s="1">
        <v>1.2</v>
      </c>
      <c r="H531" s="1">
        <v>1</v>
      </c>
      <c r="I531" s="1">
        <v>1</v>
      </c>
      <c r="J531" s="1">
        <v>1.3</v>
      </c>
      <c r="K531" s="1">
        <v>1.3</v>
      </c>
      <c r="L531" s="1">
        <v>1.3</v>
      </c>
      <c r="M531" s="1">
        <v>1.3</v>
      </c>
      <c r="N531" s="1">
        <v>1</v>
      </c>
      <c r="O531" s="1">
        <v>1</v>
      </c>
      <c r="P531" s="1">
        <v>1</v>
      </c>
      <c r="Q531" s="1">
        <v>1</v>
      </c>
      <c r="R531" s="1">
        <v>1</v>
      </c>
      <c r="S531" s="1">
        <v>1</v>
      </c>
      <c r="T531" s="1">
        <v>1</v>
      </c>
      <c r="U531" s="1">
        <v>1</v>
      </c>
      <c r="V531" s="1">
        <v>1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2</v>
      </c>
      <c r="AD531" s="1">
        <v>5</v>
      </c>
      <c r="AE531" s="1">
        <v>1.1499999999999999</v>
      </c>
      <c r="AF531" s="1">
        <v>1</v>
      </c>
      <c r="AG531" s="1">
        <v>1.3</v>
      </c>
      <c r="AH531" s="1">
        <v>1</v>
      </c>
      <c r="AI531" s="1">
        <v>1.5</v>
      </c>
      <c r="AJ531" s="1">
        <v>1</v>
      </c>
      <c r="AK531" s="1">
        <v>0</v>
      </c>
      <c r="AL531" s="1">
        <v>1</v>
      </c>
      <c r="AM531" s="1">
        <v>1</v>
      </c>
      <c r="AN531" s="1">
        <v>1.6</v>
      </c>
    </row>
    <row r="532" spans="1:40">
      <c r="A532" s="1">
        <v>2603</v>
      </c>
      <c r="C532" s="1">
        <v>1.2250000000000001</v>
      </c>
      <c r="D532" s="1">
        <v>1.2250000000000001</v>
      </c>
      <c r="E532" s="1">
        <v>1.2250000000000001</v>
      </c>
      <c r="F532" s="1">
        <v>1.2250000000000001</v>
      </c>
      <c r="G532" s="1">
        <v>1.3</v>
      </c>
      <c r="H532" s="1">
        <v>1</v>
      </c>
      <c r="I532" s="1">
        <v>1</v>
      </c>
      <c r="J532" s="1">
        <v>1.45</v>
      </c>
      <c r="K532" s="1">
        <v>1.45</v>
      </c>
      <c r="L532" s="1">
        <v>1.45</v>
      </c>
      <c r="M532" s="1">
        <v>1.45</v>
      </c>
      <c r="N532" s="1">
        <v>1</v>
      </c>
      <c r="O532" s="1">
        <v>1</v>
      </c>
      <c r="P532" s="1">
        <v>1</v>
      </c>
      <c r="Q532" s="1">
        <v>1</v>
      </c>
      <c r="R532" s="1">
        <v>1</v>
      </c>
      <c r="S532" s="1">
        <v>1</v>
      </c>
      <c r="T532" s="1">
        <v>1</v>
      </c>
      <c r="U532" s="1">
        <v>1</v>
      </c>
      <c r="V532" s="1">
        <v>1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3</v>
      </c>
      <c r="AD532" s="1">
        <v>7</v>
      </c>
      <c r="AE532" s="1">
        <v>1.2250000000000001</v>
      </c>
      <c r="AF532" s="1">
        <v>1</v>
      </c>
      <c r="AG532" s="1">
        <v>1.45</v>
      </c>
      <c r="AH532" s="1">
        <v>1</v>
      </c>
      <c r="AI532" s="1">
        <v>2</v>
      </c>
      <c r="AJ532" s="1">
        <v>1</v>
      </c>
      <c r="AK532" s="1">
        <v>0</v>
      </c>
      <c r="AL532" s="1">
        <v>1</v>
      </c>
      <c r="AM532" s="1">
        <v>1</v>
      </c>
      <c r="AN532" s="1">
        <v>1.9</v>
      </c>
    </row>
    <row r="533" spans="1:40">
      <c r="A533" s="1">
        <v>2604</v>
      </c>
      <c r="C533" s="1">
        <v>1.3</v>
      </c>
      <c r="D533" s="1">
        <v>1.3</v>
      </c>
      <c r="E533" s="1">
        <v>1.3</v>
      </c>
      <c r="F533" s="1">
        <v>1.3</v>
      </c>
      <c r="G533" s="1">
        <v>1.4</v>
      </c>
      <c r="H533" s="1">
        <v>1</v>
      </c>
      <c r="I533" s="1">
        <v>1</v>
      </c>
      <c r="J533" s="1">
        <v>1.6</v>
      </c>
      <c r="K533" s="1">
        <v>1.6</v>
      </c>
      <c r="L533" s="1">
        <v>1.6</v>
      </c>
      <c r="M533" s="1">
        <v>1.6</v>
      </c>
      <c r="N533" s="1">
        <v>1</v>
      </c>
      <c r="O533" s="1">
        <v>1</v>
      </c>
      <c r="P533" s="1">
        <v>1</v>
      </c>
      <c r="Q533" s="1">
        <v>1</v>
      </c>
      <c r="R533" s="1">
        <v>1</v>
      </c>
      <c r="S533" s="1">
        <v>1</v>
      </c>
      <c r="T533" s="1">
        <v>1</v>
      </c>
      <c r="U533" s="1">
        <v>1</v>
      </c>
      <c r="V533" s="1">
        <v>1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4</v>
      </c>
      <c r="AD533" s="1">
        <v>10</v>
      </c>
      <c r="AE533" s="1">
        <v>1.3</v>
      </c>
      <c r="AF533" s="1">
        <v>1</v>
      </c>
      <c r="AG533" s="1">
        <v>1.6</v>
      </c>
      <c r="AH533" s="1">
        <v>1</v>
      </c>
      <c r="AI533" s="1">
        <v>2.5</v>
      </c>
      <c r="AJ533" s="1">
        <v>1</v>
      </c>
      <c r="AK533" s="1">
        <v>0</v>
      </c>
      <c r="AL533" s="1">
        <v>1</v>
      </c>
      <c r="AM533" s="1">
        <v>1</v>
      </c>
      <c r="AN533" s="1">
        <v>2.2000000000000002</v>
      </c>
    </row>
    <row r="534" spans="1:40">
      <c r="A534" s="1">
        <v>2605</v>
      </c>
      <c r="C534" s="1">
        <v>1.375</v>
      </c>
      <c r="D534" s="1">
        <v>1.375</v>
      </c>
      <c r="E534" s="1">
        <v>1.375</v>
      </c>
      <c r="F534" s="1">
        <v>1.375</v>
      </c>
      <c r="G534" s="1">
        <v>1.5</v>
      </c>
      <c r="H534" s="1">
        <v>1</v>
      </c>
      <c r="I534" s="1">
        <v>1</v>
      </c>
      <c r="J534" s="1">
        <v>1.75</v>
      </c>
      <c r="K534" s="1">
        <v>1.75</v>
      </c>
      <c r="L534" s="1">
        <v>1.75</v>
      </c>
      <c r="M534" s="1">
        <v>1.75</v>
      </c>
      <c r="N534" s="1">
        <v>1</v>
      </c>
      <c r="O534" s="1">
        <v>1</v>
      </c>
      <c r="P534" s="1">
        <v>1</v>
      </c>
      <c r="Q534" s="1">
        <v>1</v>
      </c>
      <c r="R534" s="1">
        <v>1</v>
      </c>
      <c r="S534" s="1">
        <v>1</v>
      </c>
      <c r="T534" s="1">
        <v>1</v>
      </c>
      <c r="U534" s="1">
        <v>1</v>
      </c>
      <c r="V534" s="1">
        <v>1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5</v>
      </c>
      <c r="AD534" s="1">
        <v>12</v>
      </c>
      <c r="AE534" s="1">
        <v>1.375</v>
      </c>
      <c r="AF534" s="1">
        <v>1</v>
      </c>
      <c r="AG534" s="1">
        <v>1.75</v>
      </c>
      <c r="AH534" s="1">
        <v>1</v>
      </c>
      <c r="AI534" s="1">
        <v>3</v>
      </c>
      <c r="AJ534" s="1">
        <v>1</v>
      </c>
      <c r="AK534" s="1">
        <v>0</v>
      </c>
      <c r="AL534" s="1">
        <v>1</v>
      </c>
      <c r="AM534" s="1">
        <v>1</v>
      </c>
      <c r="AN534" s="1">
        <v>2.5</v>
      </c>
    </row>
    <row r="535" spans="1:40">
      <c r="A535" s="1">
        <v>2606</v>
      </c>
      <c r="C535" s="1">
        <v>1.45</v>
      </c>
      <c r="D535" s="1">
        <v>1.45</v>
      </c>
      <c r="E535" s="1">
        <v>1.45</v>
      </c>
      <c r="F535" s="1">
        <v>1.45</v>
      </c>
      <c r="G535" s="1">
        <v>1.6</v>
      </c>
      <c r="H535" s="1">
        <v>1</v>
      </c>
      <c r="I535" s="1">
        <v>1</v>
      </c>
      <c r="J535" s="1">
        <v>1.9</v>
      </c>
      <c r="K535" s="1">
        <v>1.9</v>
      </c>
      <c r="L535" s="1">
        <v>1.9</v>
      </c>
      <c r="M535" s="1">
        <v>1.9</v>
      </c>
      <c r="N535" s="1">
        <v>1</v>
      </c>
      <c r="O535" s="1">
        <v>1</v>
      </c>
      <c r="P535" s="1">
        <v>1</v>
      </c>
      <c r="Q535" s="1">
        <v>1</v>
      </c>
      <c r="R535" s="1">
        <v>1</v>
      </c>
      <c r="S535" s="1">
        <v>1</v>
      </c>
      <c r="T535" s="1">
        <v>1</v>
      </c>
      <c r="U535" s="1">
        <v>1</v>
      </c>
      <c r="V535" s="1">
        <v>1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6</v>
      </c>
      <c r="AD535" s="1">
        <v>15</v>
      </c>
      <c r="AE535" s="1">
        <v>1.45</v>
      </c>
      <c r="AF535" s="1">
        <v>1</v>
      </c>
      <c r="AG535" s="1">
        <v>1.9</v>
      </c>
      <c r="AH535" s="1">
        <v>1</v>
      </c>
      <c r="AI535" s="1">
        <v>3.5</v>
      </c>
      <c r="AJ535" s="1">
        <v>1</v>
      </c>
      <c r="AK535" s="1">
        <v>0</v>
      </c>
      <c r="AL535" s="1">
        <v>1</v>
      </c>
      <c r="AM535" s="1">
        <v>1</v>
      </c>
      <c r="AN535" s="1">
        <v>2.8</v>
      </c>
    </row>
    <row r="536" spans="1:40">
      <c r="A536" s="1">
        <v>2607</v>
      </c>
      <c r="C536" s="1">
        <v>1.5249999999999999</v>
      </c>
      <c r="D536" s="1">
        <v>1.5249999999999999</v>
      </c>
      <c r="E536" s="1">
        <v>1.5249999999999999</v>
      </c>
      <c r="F536" s="1">
        <v>1.5249999999999999</v>
      </c>
      <c r="G536" s="1">
        <v>1.7</v>
      </c>
      <c r="H536" s="1">
        <v>1</v>
      </c>
      <c r="I536" s="1">
        <v>1</v>
      </c>
      <c r="J536" s="1">
        <v>2.0499999999999998</v>
      </c>
      <c r="K536" s="1">
        <v>2.0499999999999998</v>
      </c>
      <c r="L536" s="1">
        <v>2.0499999999999998</v>
      </c>
      <c r="M536" s="1">
        <v>2.0499999999999998</v>
      </c>
      <c r="N536" s="1">
        <v>1</v>
      </c>
      <c r="O536" s="1">
        <v>1</v>
      </c>
      <c r="P536" s="1">
        <v>1</v>
      </c>
      <c r="Q536" s="1">
        <v>1</v>
      </c>
      <c r="R536" s="1">
        <v>1</v>
      </c>
      <c r="S536" s="1">
        <v>1</v>
      </c>
      <c r="T536" s="1">
        <v>1</v>
      </c>
      <c r="U536" s="1">
        <v>1</v>
      </c>
      <c r="V536" s="1">
        <v>1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7</v>
      </c>
      <c r="AD536" s="1">
        <v>17</v>
      </c>
      <c r="AE536" s="1">
        <v>1.5249999999999999</v>
      </c>
      <c r="AF536" s="1">
        <v>1</v>
      </c>
      <c r="AG536" s="1">
        <v>2.0499999999999998</v>
      </c>
      <c r="AH536" s="1">
        <v>1</v>
      </c>
      <c r="AI536" s="1">
        <v>4</v>
      </c>
      <c r="AJ536" s="1">
        <v>1</v>
      </c>
      <c r="AK536" s="1">
        <v>0</v>
      </c>
      <c r="AL536" s="1">
        <v>1</v>
      </c>
      <c r="AM536" s="1">
        <v>1</v>
      </c>
      <c r="AN536" s="1">
        <v>3.1</v>
      </c>
    </row>
    <row r="537" spans="1:40">
      <c r="A537" s="1">
        <v>2608</v>
      </c>
      <c r="C537" s="1">
        <v>1.6</v>
      </c>
      <c r="D537" s="1">
        <v>1.6</v>
      </c>
      <c r="E537" s="1">
        <v>1.6</v>
      </c>
      <c r="F537" s="1">
        <v>1.6</v>
      </c>
      <c r="G537" s="1">
        <v>1.8</v>
      </c>
      <c r="H537" s="1">
        <v>1</v>
      </c>
      <c r="I537" s="1">
        <v>1</v>
      </c>
      <c r="J537" s="1">
        <v>2.2000000000000002</v>
      </c>
      <c r="K537" s="1">
        <v>2.2000000000000002</v>
      </c>
      <c r="L537" s="1">
        <v>2.2000000000000002</v>
      </c>
      <c r="M537" s="1">
        <v>2.2000000000000002</v>
      </c>
      <c r="N537" s="1">
        <v>1</v>
      </c>
      <c r="O537" s="1">
        <v>1</v>
      </c>
      <c r="P537" s="1">
        <v>1</v>
      </c>
      <c r="Q537" s="1">
        <v>1</v>
      </c>
      <c r="R537" s="1">
        <v>1</v>
      </c>
      <c r="S537" s="1">
        <v>1</v>
      </c>
      <c r="T537" s="1"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8</v>
      </c>
      <c r="AD537" s="1">
        <v>20</v>
      </c>
      <c r="AE537" s="1">
        <v>1.6</v>
      </c>
      <c r="AF537" s="1">
        <v>1</v>
      </c>
      <c r="AG537" s="1">
        <v>2.2000000000000002</v>
      </c>
      <c r="AH537" s="1">
        <v>1</v>
      </c>
      <c r="AI537" s="1">
        <v>4.5</v>
      </c>
      <c r="AJ537" s="1">
        <v>1</v>
      </c>
      <c r="AK537" s="1">
        <v>0</v>
      </c>
      <c r="AL537" s="1">
        <v>1</v>
      </c>
      <c r="AM537" s="1">
        <v>1</v>
      </c>
      <c r="AN537" s="1">
        <v>3.4</v>
      </c>
    </row>
    <row r="538" spans="1:40">
      <c r="A538" s="1">
        <v>2609</v>
      </c>
      <c r="C538" s="1">
        <v>1.675</v>
      </c>
      <c r="D538" s="1">
        <v>1.675</v>
      </c>
      <c r="E538" s="1">
        <v>1.675</v>
      </c>
      <c r="F538" s="1">
        <v>1.675</v>
      </c>
      <c r="G538" s="1">
        <v>1.9</v>
      </c>
      <c r="H538" s="1">
        <v>1</v>
      </c>
      <c r="I538" s="1">
        <v>1</v>
      </c>
      <c r="J538" s="1">
        <v>2.35</v>
      </c>
      <c r="K538" s="1">
        <v>2.35</v>
      </c>
      <c r="L538" s="1">
        <v>2.35</v>
      </c>
      <c r="M538" s="1">
        <v>2.35</v>
      </c>
      <c r="N538" s="1">
        <v>1</v>
      </c>
      <c r="O538" s="1">
        <v>1</v>
      </c>
      <c r="P538" s="1">
        <v>1</v>
      </c>
      <c r="Q538" s="1">
        <v>1</v>
      </c>
      <c r="R538" s="1">
        <v>1</v>
      </c>
      <c r="S538" s="1">
        <v>1</v>
      </c>
      <c r="T538" s="1">
        <v>1</v>
      </c>
      <c r="U538" s="1">
        <v>1</v>
      </c>
      <c r="V538" s="1">
        <v>1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9</v>
      </c>
      <c r="AD538" s="1">
        <v>22</v>
      </c>
      <c r="AE538" s="1">
        <v>1.675</v>
      </c>
      <c r="AF538" s="1">
        <v>1</v>
      </c>
      <c r="AG538" s="1">
        <v>2.35</v>
      </c>
      <c r="AH538" s="1">
        <v>1</v>
      </c>
      <c r="AI538" s="1">
        <v>5</v>
      </c>
      <c r="AJ538" s="1">
        <v>1</v>
      </c>
      <c r="AK538" s="1">
        <v>0</v>
      </c>
      <c r="AL538" s="1">
        <v>1</v>
      </c>
      <c r="AM538" s="1">
        <v>1</v>
      </c>
      <c r="AN538" s="1">
        <v>3.7</v>
      </c>
    </row>
    <row r="539" spans="1:40">
      <c r="A539" s="1">
        <v>2610</v>
      </c>
      <c r="C539" s="1">
        <v>1.75</v>
      </c>
      <c r="D539" s="1">
        <v>1.75</v>
      </c>
      <c r="E539" s="1">
        <v>1.75</v>
      </c>
      <c r="F539" s="1">
        <v>1.75</v>
      </c>
      <c r="G539" s="1">
        <v>2</v>
      </c>
      <c r="H539" s="1">
        <v>1</v>
      </c>
      <c r="I539" s="1">
        <v>1</v>
      </c>
      <c r="J539" s="1">
        <v>2.5</v>
      </c>
      <c r="K539" s="1">
        <v>2.5</v>
      </c>
      <c r="L539" s="1">
        <v>2.5</v>
      </c>
      <c r="M539" s="1">
        <v>2.5</v>
      </c>
      <c r="N539" s="1">
        <v>1</v>
      </c>
      <c r="O539" s="1">
        <v>1</v>
      </c>
      <c r="P539" s="1">
        <v>1</v>
      </c>
      <c r="Q539" s="1">
        <v>1</v>
      </c>
      <c r="R539" s="1">
        <v>1</v>
      </c>
      <c r="S539" s="1">
        <v>1</v>
      </c>
      <c r="T539" s="1">
        <v>1</v>
      </c>
      <c r="U539" s="1">
        <v>1</v>
      </c>
      <c r="V539" s="1">
        <v>1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10</v>
      </c>
      <c r="AD539" s="1">
        <v>25</v>
      </c>
      <c r="AE539" s="1">
        <v>1.75</v>
      </c>
      <c r="AF539" s="1">
        <v>1</v>
      </c>
      <c r="AG539" s="1">
        <v>2.5</v>
      </c>
      <c r="AH539" s="1">
        <v>1</v>
      </c>
      <c r="AI539" s="1">
        <v>6</v>
      </c>
      <c r="AJ539" s="1">
        <v>1</v>
      </c>
      <c r="AK539" s="1">
        <v>0</v>
      </c>
      <c r="AL539" s="1">
        <v>1</v>
      </c>
      <c r="AM539" s="1">
        <v>1</v>
      </c>
      <c r="AN539" s="1">
        <v>4</v>
      </c>
    </row>
    <row r="540" spans="1:40">
      <c r="A540" s="1">
        <v>2700</v>
      </c>
      <c r="C540" s="1">
        <v>1</v>
      </c>
      <c r="D540" s="1">
        <v>1</v>
      </c>
      <c r="E540" s="1">
        <v>1</v>
      </c>
      <c r="F540" s="1">
        <v>1</v>
      </c>
      <c r="G540" s="1">
        <v>1</v>
      </c>
      <c r="H540" s="1">
        <v>1</v>
      </c>
      <c r="I540" s="1">
        <v>1</v>
      </c>
      <c r="J540" s="1">
        <v>1</v>
      </c>
      <c r="K540" s="1">
        <v>1</v>
      </c>
      <c r="L540" s="1">
        <v>1</v>
      </c>
      <c r="M540" s="1">
        <v>1</v>
      </c>
      <c r="N540" s="1">
        <v>1</v>
      </c>
      <c r="O540" s="1">
        <v>1</v>
      </c>
      <c r="P540" s="1">
        <v>1</v>
      </c>
      <c r="Q540" s="1">
        <v>1</v>
      </c>
      <c r="R540" s="1">
        <v>1</v>
      </c>
      <c r="S540" s="1">
        <v>1</v>
      </c>
      <c r="T540" s="1"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1</v>
      </c>
      <c r="AF540" s="1">
        <v>1</v>
      </c>
      <c r="AG540" s="1">
        <v>1</v>
      </c>
      <c r="AH540" s="1">
        <v>1</v>
      </c>
      <c r="AI540" s="1">
        <v>1</v>
      </c>
      <c r="AJ540" s="1">
        <v>1</v>
      </c>
      <c r="AK540" s="1">
        <v>0</v>
      </c>
      <c r="AL540" s="1">
        <v>1</v>
      </c>
      <c r="AM540" s="1">
        <v>1</v>
      </c>
      <c r="AN540" s="1">
        <v>1</v>
      </c>
    </row>
    <row r="541" spans="1:40">
      <c r="A541" s="1">
        <v>2701</v>
      </c>
      <c r="C541" s="1">
        <v>1.075</v>
      </c>
      <c r="D541" s="1">
        <v>1.075</v>
      </c>
      <c r="E541" s="1">
        <v>1.075</v>
      </c>
      <c r="F541" s="1">
        <v>1.075</v>
      </c>
      <c r="G541" s="1">
        <v>1.1000000000000001</v>
      </c>
      <c r="H541" s="1">
        <v>1</v>
      </c>
      <c r="I541" s="1">
        <v>1</v>
      </c>
      <c r="J541" s="1">
        <v>1.05</v>
      </c>
      <c r="K541" s="1">
        <v>1.05</v>
      </c>
      <c r="L541" s="1">
        <v>1.05</v>
      </c>
      <c r="M541" s="1">
        <v>1.05</v>
      </c>
      <c r="N541" s="1">
        <v>1</v>
      </c>
      <c r="O541" s="1">
        <v>1</v>
      </c>
      <c r="P541" s="1">
        <v>1</v>
      </c>
      <c r="Q541" s="1">
        <v>1</v>
      </c>
      <c r="R541" s="1">
        <v>1</v>
      </c>
      <c r="S541" s="1">
        <v>1</v>
      </c>
      <c r="T541" s="1">
        <v>1</v>
      </c>
      <c r="U541" s="1">
        <v>1</v>
      </c>
      <c r="V541" s="1">
        <v>1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1</v>
      </c>
      <c r="AD541" s="1">
        <v>2</v>
      </c>
      <c r="AE541" s="1">
        <v>1.075</v>
      </c>
      <c r="AF541" s="1">
        <v>1</v>
      </c>
      <c r="AG541" s="1">
        <v>1.05</v>
      </c>
      <c r="AH541" s="1">
        <v>1</v>
      </c>
      <c r="AI541" s="1">
        <v>1</v>
      </c>
      <c r="AJ541" s="1">
        <v>1</v>
      </c>
      <c r="AK541" s="1">
        <v>0</v>
      </c>
      <c r="AL541" s="1">
        <v>1</v>
      </c>
      <c r="AM541" s="1">
        <v>1</v>
      </c>
      <c r="AN541" s="1">
        <v>1.3</v>
      </c>
    </row>
    <row r="542" spans="1:40">
      <c r="A542" s="1">
        <v>2702</v>
      </c>
      <c r="C542" s="1">
        <v>1.1499999999999999</v>
      </c>
      <c r="D542" s="1">
        <v>1.1499999999999999</v>
      </c>
      <c r="E542" s="1">
        <v>1.1499999999999999</v>
      </c>
      <c r="F542" s="1">
        <v>1.1499999999999999</v>
      </c>
      <c r="G542" s="1">
        <v>1.2</v>
      </c>
      <c r="H542" s="1">
        <v>1</v>
      </c>
      <c r="I542" s="1">
        <v>1</v>
      </c>
      <c r="J542" s="1">
        <v>1.1000000000000001</v>
      </c>
      <c r="K542" s="1">
        <v>1.1000000000000001</v>
      </c>
      <c r="L542" s="1">
        <v>1.1000000000000001</v>
      </c>
      <c r="M542" s="1">
        <v>1.1000000000000001</v>
      </c>
      <c r="N542" s="1">
        <v>1</v>
      </c>
      <c r="O542" s="1">
        <v>1</v>
      </c>
      <c r="P542" s="1">
        <v>1</v>
      </c>
      <c r="Q542" s="1">
        <v>1</v>
      </c>
      <c r="R542" s="1">
        <v>1</v>
      </c>
      <c r="S542" s="1">
        <v>1</v>
      </c>
      <c r="T542" s="1">
        <v>1</v>
      </c>
      <c r="U542" s="1">
        <v>1</v>
      </c>
      <c r="V542" s="1">
        <v>1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2</v>
      </c>
      <c r="AD542" s="1">
        <v>5</v>
      </c>
      <c r="AE542" s="1">
        <v>1.1499999999999999</v>
      </c>
      <c r="AF542" s="1">
        <v>1</v>
      </c>
      <c r="AG542" s="1">
        <v>1.1000000000000001</v>
      </c>
      <c r="AH542" s="1">
        <v>1</v>
      </c>
      <c r="AI542" s="1">
        <v>1.5</v>
      </c>
      <c r="AJ542" s="1">
        <v>1</v>
      </c>
      <c r="AK542" s="1">
        <v>0</v>
      </c>
      <c r="AL542" s="1">
        <v>1</v>
      </c>
      <c r="AM542" s="1">
        <v>1</v>
      </c>
      <c r="AN542" s="1">
        <v>1.6</v>
      </c>
    </row>
    <row r="543" spans="1:40">
      <c r="A543" s="1">
        <v>2703</v>
      </c>
      <c r="C543" s="1">
        <v>1.2250000000000001</v>
      </c>
      <c r="D543" s="1">
        <v>1.2250000000000001</v>
      </c>
      <c r="E543" s="1">
        <v>1.2250000000000001</v>
      </c>
      <c r="F543" s="1">
        <v>1.2250000000000001</v>
      </c>
      <c r="G543" s="1">
        <v>1.3</v>
      </c>
      <c r="H543" s="1">
        <v>1</v>
      </c>
      <c r="I543" s="1">
        <v>1</v>
      </c>
      <c r="J543" s="1">
        <v>1.1499999999999999</v>
      </c>
      <c r="K543" s="1">
        <v>1.1499999999999999</v>
      </c>
      <c r="L543" s="1">
        <v>1.1499999999999999</v>
      </c>
      <c r="M543" s="1">
        <v>1.1499999999999999</v>
      </c>
      <c r="N543" s="1">
        <v>1</v>
      </c>
      <c r="O543" s="1">
        <v>1</v>
      </c>
      <c r="P543" s="1">
        <v>1</v>
      </c>
      <c r="Q543" s="1">
        <v>1</v>
      </c>
      <c r="R543" s="1">
        <v>1</v>
      </c>
      <c r="S543" s="1">
        <v>1</v>
      </c>
      <c r="T543" s="1">
        <v>1</v>
      </c>
      <c r="U543" s="1">
        <v>1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v>3</v>
      </c>
      <c r="AD543" s="1">
        <v>7</v>
      </c>
      <c r="AE543" s="1">
        <v>1.2250000000000001</v>
      </c>
      <c r="AF543" s="1">
        <v>1</v>
      </c>
      <c r="AG543" s="1">
        <v>1.1499999999999999</v>
      </c>
      <c r="AH543" s="1">
        <v>1</v>
      </c>
      <c r="AI543" s="1">
        <v>2</v>
      </c>
      <c r="AJ543" s="1">
        <v>1</v>
      </c>
      <c r="AK543" s="1">
        <v>0</v>
      </c>
      <c r="AL543" s="1">
        <v>1</v>
      </c>
      <c r="AM543" s="1">
        <v>1</v>
      </c>
      <c r="AN543" s="1">
        <v>1.9</v>
      </c>
    </row>
    <row r="544" spans="1:40">
      <c r="A544" s="1">
        <v>2704</v>
      </c>
      <c r="C544" s="1">
        <v>1.3</v>
      </c>
      <c r="D544" s="1">
        <v>1.3</v>
      </c>
      <c r="E544" s="1">
        <v>1.3</v>
      </c>
      <c r="F544" s="1">
        <v>1.3</v>
      </c>
      <c r="G544" s="1">
        <v>1.4</v>
      </c>
      <c r="H544" s="1">
        <v>1</v>
      </c>
      <c r="I544" s="1">
        <v>1</v>
      </c>
      <c r="J544" s="1">
        <v>1.2</v>
      </c>
      <c r="K544" s="1">
        <v>1.2</v>
      </c>
      <c r="L544" s="1">
        <v>1.2</v>
      </c>
      <c r="M544" s="1">
        <v>1.2</v>
      </c>
      <c r="N544" s="1">
        <v>1</v>
      </c>
      <c r="O544" s="1">
        <v>1</v>
      </c>
      <c r="P544" s="1">
        <v>1</v>
      </c>
      <c r="Q544" s="1">
        <v>1</v>
      </c>
      <c r="R544" s="1">
        <v>1</v>
      </c>
      <c r="S544" s="1">
        <v>1</v>
      </c>
      <c r="T544" s="1">
        <v>1</v>
      </c>
      <c r="U544" s="1">
        <v>1</v>
      </c>
      <c r="V544" s="1">
        <v>1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4</v>
      </c>
      <c r="AD544" s="1">
        <v>10</v>
      </c>
      <c r="AE544" s="1">
        <v>1.3</v>
      </c>
      <c r="AF544" s="1">
        <v>1</v>
      </c>
      <c r="AG544" s="1">
        <v>1.2</v>
      </c>
      <c r="AH544" s="1">
        <v>1</v>
      </c>
      <c r="AI544" s="1">
        <v>2.5</v>
      </c>
      <c r="AJ544" s="1">
        <v>1</v>
      </c>
      <c r="AK544" s="1">
        <v>0</v>
      </c>
      <c r="AL544" s="1">
        <v>1</v>
      </c>
      <c r="AM544" s="1">
        <v>1</v>
      </c>
      <c r="AN544" s="1">
        <v>2.2000000000000002</v>
      </c>
    </row>
    <row r="545" spans="1:40">
      <c r="A545" s="1">
        <v>2705</v>
      </c>
      <c r="C545" s="1">
        <v>1.375</v>
      </c>
      <c r="D545" s="1">
        <v>1.375</v>
      </c>
      <c r="E545" s="1">
        <v>1.375</v>
      </c>
      <c r="F545" s="1">
        <v>1.375</v>
      </c>
      <c r="G545" s="1">
        <v>1.5</v>
      </c>
      <c r="H545" s="1">
        <v>1</v>
      </c>
      <c r="I545" s="1">
        <v>1</v>
      </c>
      <c r="J545" s="1">
        <v>1.24</v>
      </c>
      <c r="K545" s="1">
        <v>1.24</v>
      </c>
      <c r="L545" s="1">
        <v>1.24</v>
      </c>
      <c r="M545" s="1">
        <v>1.24</v>
      </c>
      <c r="N545" s="1">
        <v>1</v>
      </c>
      <c r="O545" s="1">
        <v>1</v>
      </c>
      <c r="P545" s="1">
        <v>1</v>
      </c>
      <c r="Q545" s="1">
        <v>1</v>
      </c>
      <c r="R545" s="1">
        <v>1</v>
      </c>
      <c r="S545" s="1">
        <v>1</v>
      </c>
      <c r="T545" s="1">
        <v>1</v>
      </c>
      <c r="U545" s="1">
        <v>1</v>
      </c>
      <c r="V545" s="1">
        <v>1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5</v>
      </c>
      <c r="AD545" s="1">
        <v>12</v>
      </c>
      <c r="AE545" s="1">
        <v>1.375</v>
      </c>
      <c r="AF545" s="1">
        <v>1</v>
      </c>
      <c r="AG545" s="1">
        <v>1.24</v>
      </c>
      <c r="AH545" s="1">
        <v>1</v>
      </c>
      <c r="AI545" s="1">
        <v>3</v>
      </c>
      <c r="AJ545" s="1">
        <v>1</v>
      </c>
      <c r="AK545" s="1">
        <v>0</v>
      </c>
      <c r="AL545" s="1">
        <v>1</v>
      </c>
      <c r="AM545" s="1">
        <v>1</v>
      </c>
      <c r="AN545" s="1">
        <v>2.5</v>
      </c>
    </row>
    <row r="546" spans="1:40">
      <c r="A546" s="1">
        <v>2706</v>
      </c>
      <c r="C546" s="1">
        <v>1.45</v>
      </c>
      <c r="D546" s="1">
        <v>1.45</v>
      </c>
      <c r="E546" s="1">
        <v>1.45</v>
      </c>
      <c r="F546" s="1">
        <v>1.45</v>
      </c>
      <c r="G546" s="1">
        <v>1.6</v>
      </c>
      <c r="H546" s="1">
        <v>1</v>
      </c>
      <c r="I546" s="1">
        <v>1</v>
      </c>
      <c r="J546" s="1">
        <v>1.28</v>
      </c>
      <c r="K546" s="1">
        <v>1.28</v>
      </c>
      <c r="L546" s="1">
        <v>1.28</v>
      </c>
      <c r="M546" s="1">
        <v>1.28</v>
      </c>
      <c r="N546" s="1">
        <v>1</v>
      </c>
      <c r="O546" s="1">
        <v>1</v>
      </c>
      <c r="P546" s="1">
        <v>1</v>
      </c>
      <c r="Q546" s="1">
        <v>1</v>
      </c>
      <c r="R546" s="1">
        <v>1</v>
      </c>
      <c r="S546" s="1">
        <v>1</v>
      </c>
      <c r="T546" s="1">
        <v>1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6</v>
      </c>
      <c r="AD546" s="1">
        <v>15</v>
      </c>
      <c r="AE546" s="1">
        <v>1.45</v>
      </c>
      <c r="AF546" s="1">
        <v>1</v>
      </c>
      <c r="AG546" s="1">
        <v>1.28</v>
      </c>
      <c r="AH546" s="1">
        <v>1</v>
      </c>
      <c r="AI546" s="1">
        <v>3.5</v>
      </c>
      <c r="AJ546" s="1">
        <v>1</v>
      </c>
      <c r="AK546" s="1">
        <v>0</v>
      </c>
      <c r="AL546" s="1">
        <v>1</v>
      </c>
      <c r="AM546" s="1">
        <v>1</v>
      </c>
      <c r="AN546" s="1">
        <v>2.8</v>
      </c>
    </row>
    <row r="547" spans="1:40">
      <c r="A547" s="1">
        <v>2707</v>
      </c>
      <c r="C547" s="1">
        <v>1.5249999999999999</v>
      </c>
      <c r="D547" s="1">
        <v>1.5249999999999999</v>
      </c>
      <c r="E547" s="1">
        <v>1.5249999999999999</v>
      </c>
      <c r="F547" s="1">
        <v>1.5249999999999999</v>
      </c>
      <c r="G547" s="1">
        <v>1.7</v>
      </c>
      <c r="H547" s="1">
        <v>1</v>
      </c>
      <c r="I547" s="1">
        <v>1</v>
      </c>
      <c r="J547" s="1">
        <v>1.31</v>
      </c>
      <c r="K547" s="1">
        <v>1.31</v>
      </c>
      <c r="L547" s="1">
        <v>1.31</v>
      </c>
      <c r="M547" s="1">
        <v>1.31</v>
      </c>
      <c r="N547" s="1">
        <v>1</v>
      </c>
      <c r="O547" s="1">
        <v>1</v>
      </c>
      <c r="P547" s="1">
        <v>1</v>
      </c>
      <c r="Q547" s="1">
        <v>1</v>
      </c>
      <c r="R547" s="1">
        <v>1</v>
      </c>
      <c r="S547" s="1">
        <v>1</v>
      </c>
      <c r="T547" s="1">
        <v>1</v>
      </c>
      <c r="U547" s="1">
        <v>1</v>
      </c>
      <c r="V547" s="1">
        <v>1</v>
      </c>
      <c r="W547" s="1">
        <v>0</v>
      </c>
      <c r="X547" s="1">
        <v>0</v>
      </c>
      <c r="Y547" s="1">
        <v>0</v>
      </c>
      <c r="Z547" s="1">
        <v>0</v>
      </c>
      <c r="AA547" s="1">
        <v>0</v>
      </c>
      <c r="AB547" s="1">
        <v>0</v>
      </c>
      <c r="AC547" s="1">
        <v>7</v>
      </c>
      <c r="AD547" s="1">
        <v>17</v>
      </c>
      <c r="AE547" s="1">
        <v>1.5249999999999999</v>
      </c>
      <c r="AF547" s="1">
        <v>1</v>
      </c>
      <c r="AG547" s="1">
        <v>1.31</v>
      </c>
      <c r="AH547" s="1">
        <v>1</v>
      </c>
      <c r="AI547" s="1">
        <v>4</v>
      </c>
      <c r="AJ547" s="1">
        <v>1</v>
      </c>
      <c r="AK547" s="1">
        <v>0</v>
      </c>
      <c r="AL547" s="1">
        <v>1</v>
      </c>
      <c r="AM547" s="1">
        <v>1</v>
      </c>
      <c r="AN547" s="1">
        <v>3.1</v>
      </c>
    </row>
    <row r="548" spans="1:40">
      <c r="A548" s="1">
        <v>2708</v>
      </c>
      <c r="C548" s="1">
        <v>1.6</v>
      </c>
      <c r="D548" s="1">
        <v>1.6</v>
      </c>
      <c r="E548" s="1">
        <v>1.6</v>
      </c>
      <c r="F548" s="1">
        <v>1.6</v>
      </c>
      <c r="G548" s="1">
        <v>1.8</v>
      </c>
      <c r="H548" s="1">
        <v>1</v>
      </c>
      <c r="I548" s="1">
        <v>1</v>
      </c>
      <c r="J548" s="1">
        <v>1.34</v>
      </c>
      <c r="K548" s="1">
        <v>1.34</v>
      </c>
      <c r="L548" s="1">
        <v>1.34</v>
      </c>
      <c r="M548" s="1">
        <v>1.34</v>
      </c>
      <c r="N548" s="1">
        <v>1</v>
      </c>
      <c r="O548" s="1">
        <v>1</v>
      </c>
      <c r="P548" s="1">
        <v>1</v>
      </c>
      <c r="Q548" s="1">
        <v>1</v>
      </c>
      <c r="R548" s="1">
        <v>1</v>
      </c>
      <c r="S548" s="1">
        <v>1</v>
      </c>
      <c r="T548" s="1">
        <v>1</v>
      </c>
      <c r="U548" s="1">
        <v>1</v>
      </c>
      <c r="V548" s="1">
        <v>1</v>
      </c>
      <c r="W548" s="1">
        <v>0</v>
      </c>
      <c r="X548" s="1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v>8</v>
      </c>
      <c r="AD548" s="1">
        <v>20</v>
      </c>
      <c r="AE548" s="1">
        <v>1.6</v>
      </c>
      <c r="AF548" s="1">
        <v>1</v>
      </c>
      <c r="AG548" s="1">
        <v>1.34</v>
      </c>
      <c r="AH548" s="1">
        <v>1</v>
      </c>
      <c r="AI548" s="1">
        <v>4.5</v>
      </c>
      <c r="AJ548" s="1">
        <v>1</v>
      </c>
      <c r="AK548" s="1">
        <v>0</v>
      </c>
      <c r="AL548" s="1">
        <v>1</v>
      </c>
      <c r="AM548" s="1">
        <v>1</v>
      </c>
      <c r="AN548" s="1">
        <v>3.4</v>
      </c>
    </row>
    <row r="549" spans="1:40">
      <c r="A549" s="1">
        <v>2709</v>
      </c>
      <c r="C549" s="1">
        <v>1.675</v>
      </c>
      <c r="D549" s="1">
        <v>1.675</v>
      </c>
      <c r="E549" s="1">
        <v>1.675</v>
      </c>
      <c r="F549" s="1">
        <v>1.675</v>
      </c>
      <c r="G549" s="1">
        <v>1.9</v>
      </c>
      <c r="H549" s="1">
        <v>1</v>
      </c>
      <c r="I549" s="1">
        <v>1</v>
      </c>
      <c r="J549" s="1">
        <v>1.37</v>
      </c>
      <c r="K549" s="1">
        <v>1.37</v>
      </c>
      <c r="L549" s="1">
        <v>1.37</v>
      </c>
      <c r="M549" s="1">
        <v>1.37</v>
      </c>
      <c r="N549" s="1">
        <v>1</v>
      </c>
      <c r="O549" s="1">
        <v>1</v>
      </c>
      <c r="P549" s="1">
        <v>1</v>
      </c>
      <c r="Q549" s="1">
        <v>1</v>
      </c>
      <c r="R549" s="1">
        <v>1</v>
      </c>
      <c r="S549" s="1">
        <v>1</v>
      </c>
      <c r="T549" s="1">
        <v>1</v>
      </c>
      <c r="U549" s="1">
        <v>1</v>
      </c>
      <c r="V549" s="1">
        <v>1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9</v>
      </c>
      <c r="AD549" s="1">
        <v>22</v>
      </c>
      <c r="AE549" s="1">
        <v>1.675</v>
      </c>
      <c r="AF549" s="1">
        <v>1</v>
      </c>
      <c r="AG549" s="1">
        <v>1.37</v>
      </c>
      <c r="AH549" s="1">
        <v>1</v>
      </c>
      <c r="AI549" s="1">
        <v>5</v>
      </c>
      <c r="AJ549" s="1">
        <v>1</v>
      </c>
      <c r="AK549" s="1">
        <v>0</v>
      </c>
      <c r="AL549" s="1">
        <v>1</v>
      </c>
      <c r="AM549" s="1">
        <v>1</v>
      </c>
      <c r="AN549" s="1">
        <v>3.7</v>
      </c>
    </row>
    <row r="550" spans="1:40">
      <c r="A550" s="1">
        <v>2710</v>
      </c>
      <c r="C550" s="1">
        <v>1.75</v>
      </c>
      <c r="D550" s="1">
        <v>1.75</v>
      </c>
      <c r="E550" s="1">
        <v>1.75</v>
      </c>
      <c r="F550" s="1">
        <v>1.75</v>
      </c>
      <c r="G550" s="1">
        <v>2</v>
      </c>
      <c r="H550" s="1">
        <v>1</v>
      </c>
      <c r="I550" s="1">
        <v>1</v>
      </c>
      <c r="J550" s="1">
        <v>1.4</v>
      </c>
      <c r="K550" s="1">
        <v>1.4</v>
      </c>
      <c r="L550" s="1">
        <v>1.4</v>
      </c>
      <c r="M550" s="1">
        <v>1.4</v>
      </c>
      <c r="N550" s="1">
        <v>1</v>
      </c>
      <c r="O550" s="1">
        <v>1</v>
      </c>
      <c r="P550" s="1">
        <v>1</v>
      </c>
      <c r="Q550" s="1">
        <v>1</v>
      </c>
      <c r="R550" s="1">
        <v>1</v>
      </c>
      <c r="S550" s="1">
        <v>1</v>
      </c>
      <c r="T550" s="1">
        <v>1</v>
      </c>
      <c r="U550" s="1">
        <v>1</v>
      </c>
      <c r="V550" s="1">
        <v>1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10</v>
      </c>
      <c r="AD550" s="1">
        <v>25</v>
      </c>
      <c r="AE550" s="1">
        <v>1.75</v>
      </c>
      <c r="AF550" s="1">
        <v>1</v>
      </c>
      <c r="AG550" s="1">
        <v>1.4</v>
      </c>
      <c r="AH550" s="1">
        <v>1</v>
      </c>
      <c r="AI550" s="1">
        <v>6</v>
      </c>
      <c r="AJ550" s="1">
        <v>1</v>
      </c>
      <c r="AK550" s="1">
        <v>0</v>
      </c>
      <c r="AL550" s="1">
        <v>1</v>
      </c>
      <c r="AM550" s="1">
        <v>1</v>
      </c>
      <c r="AN550" s="1">
        <v>4</v>
      </c>
    </row>
    <row r="551" spans="1:40">
      <c r="A551" s="1">
        <v>2800</v>
      </c>
      <c r="C551" s="1">
        <v>1</v>
      </c>
      <c r="D551" s="1">
        <v>1</v>
      </c>
      <c r="E551" s="1">
        <v>1</v>
      </c>
      <c r="F551" s="1">
        <v>1</v>
      </c>
      <c r="G551" s="1">
        <v>1</v>
      </c>
      <c r="H551" s="1">
        <v>1</v>
      </c>
      <c r="I551" s="1">
        <v>1</v>
      </c>
      <c r="J551" s="1">
        <v>1</v>
      </c>
      <c r="K551" s="1">
        <v>1</v>
      </c>
      <c r="L551" s="1">
        <v>1</v>
      </c>
      <c r="M551" s="1">
        <v>1</v>
      </c>
      <c r="N551" s="1">
        <v>1</v>
      </c>
      <c r="O551" s="1">
        <v>1</v>
      </c>
      <c r="P551" s="1">
        <v>1</v>
      </c>
      <c r="Q551" s="1">
        <v>1</v>
      </c>
      <c r="R551" s="1">
        <v>1</v>
      </c>
      <c r="S551" s="1">
        <v>1</v>
      </c>
      <c r="T551" s="1">
        <v>1</v>
      </c>
      <c r="U551" s="1">
        <v>1</v>
      </c>
      <c r="V551" s="1">
        <v>1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1</v>
      </c>
      <c r="AF551" s="1">
        <v>1</v>
      </c>
      <c r="AG551" s="1">
        <v>1</v>
      </c>
      <c r="AH551" s="1">
        <v>1</v>
      </c>
      <c r="AI551" s="1">
        <v>1</v>
      </c>
      <c r="AJ551" s="1">
        <v>1</v>
      </c>
      <c r="AK551" s="1">
        <v>0</v>
      </c>
      <c r="AL551" s="1">
        <v>1</v>
      </c>
      <c r="AM551" s="1">
        <v>1</v>
      </c>
      <c r="AN551" s="1">
        <v>1</v>
      </c>
    </row>
    <row r="552" spans="1:40">
      <c r="A552" s="1">
        <v>2801</v>
      </c>
      <c r="C552" s="1">
        <v>1.075</v>
      </c>
      <c r="D552" s="1">
        <v>1.075</v>
      </c>
      <c r="E552" s="1">
        <v>1.075</v>
      </c>
      <c r="F552" s="1">
        <v>1.075</v>
      </c>
      <c r="G552" s="1">
        <v>1.1000000000000001</v>
      </c>
      <c r="H552" s="1">
        <v>1</v>
      </c>
      <c r="I552" s="1">
        <v>1</v>
      </c>
      <c r="J552" s="1">
        <v>1.05</v>
      </c>
      <c r="K552" s="1">
        <v>1.05</v>
      </c>
      <c r="L552" s="1">
        <v>1.05</v>
      </c>
      <c r="M552" s="1">
        <v>1.05</v>
      </c>
      <c r="N552" s="1">
        <v>1</v>
      </c>
      <c r="O552" s="1">
        <v>1</v>
      </c>
      <c r="P552" s="1">
        <v>1</v>
      </c>
      <c r="Q552" s="1">
        <v>1</v>
      </c>
      <c r="R552" s="1">
        <v>1</v>
      </c>
      <c r="S552" s="1">
        <v>1</v>
      </c>
      <c r="T552" s="1">
        <v>1</v>
      </c>
      <c r="U552" s="1">
        <v>1</v>
      </c>
      <c r="V552" s="1">
        <v>1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1</v>
      </c>
      <c r="AD552" s="1">
        <v>2</v>
      </c>
      <c r="AE552" s="1">
        <v>1.075</v>
      </c>
      <c r="AF552" s="1">
        <v>1</v>
      </c>
      <c r="AG552" s="1">
        <v>1.05</v>
      </c>
      <c r="AH552" s="1">
        <v>1</v>
      </c>
      <c r="AI552" s="1">
        <v>1</v>
      </c>
      <c r="AJ552" s="1">
        <v>1</v>
      </c>
      <c r="AK552" s="1">
        <v>0</v>
      </c>
      <c r="AL552" s="1">
        <v>1</v>
      </c>
      <c r="AM552" s="1">
        <v>1</v>
      </c>
      <c r="AN552" s="1">
        <v>1.3</v>
      </c>
    </row>
    <row r="553" spans="1:40">
      <c r="A553" s="1">
        <v>2802</v>
      </c>
      <c r="C553" s="1">
        <v>1.1499999999999999</v>
      </c>
      <c r="D553" s="1">
        <v>1.1499999999999999</v>
      </c>
      <c r="E553" s="1">
        <v>1.1499999999999999</v>
      </c>
      <c r="F553" s="1">
        <v>1.1499999999999999</v>
      </c>
      <c r="G553" s="1">
        <v>1.2</v>
      </c>
      <c r="H553" s="1">
        <v>1</v>
      </c>
      <c r="I553" s="1">
        <v>1</v>
      </c>
      <c r="J553" s="1">
        <v>1.1000000000000001</v>
      </c>
      <c r="K553" s="1">
        <v>1.1000000000000001</v>
      </c>
      <c r="L553" s="1">
        <v>1.1000000000000001</v>
      </c>
      <c r="M553" s="1">
        <v>1.1000000000000001</v>
      </c>
      <c r="N553" s="1">
        <v>1</v>
      </c>
      <c r="O553" s="1">
        <v>1</v>
      </c>
      <c r="P553" s="1">
        <v>1</v>
      </c>
      <c r="Q553" s="1">
        <v>1</v>
      </c>
      <c r="R553" s="1">
        <v>1</v>
      </c>
      <c r="S553" s="1">
        <v>1</v>
      </c>
      <c r="T553" s="1">
        <v>1</v>
      </c>
      <c r="U553" s="1">
        <v>1</v>
      </c>
      <c r="V553" s="1">
        <v>1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2</v>
      </c>
      <c r="AD553" s="1">
        <v>5</v>
      </c>
      <c r="AE553" s="1">
        <v>1.1499999999999999</v>
      </c>
      <c r="AF553" s="1">
        <v>1</v>
      </c>
      <c r="AG553" s="1">
        <v>1.1000000000000001</v>
      </c>
      <c r="AH553" s="1">
        <v>1</v>
      </c>
      <c r="AI553" s="1">
        <v>1.5</v>
      </c>
      <c r="AJ553" s="1">
        <v>1</v>
      </c>
      <c r="AK553" s="1">
        <v>0</v>
      </c>
      <c r="AL553" s="1">
        <v>1</v>
      </c>
      <c r="AM553" s="1">
        <v>1</v>
      </c>
      <c r="AN553" s="1">
        <v>1.6</v>
      </c>
    </row>
    <row r="554" spans="1:40">
      <c r="A554" s="1">
        <v>2803</v>
      </c>
      <c r="C554" s="1">
        <v>1.2250000000000001</v>
      </c>
      <c r="D554" s="1">
        <v>1.2250000000000001</v>
      </c>
      <c r="E554" s="1">
        <v>1.2250000000000001</v>
      </c>
      <c r="F554" s="1">
        <v>1.2250000000000001</v>
      </c>
      <c r="G554" s="1">
        <v>1.3</v>
      </c>
      <c r="H554" s="1">
        <v>1</v>
      </c>
      <c r="I554" s="1">
        <v>1</v>
      </c>
      <c r="J554" s="1">
        <v>1.1499999999999999</v>
      </c>
      <c r="K554" s="1">
        <v>1.1499999999999999</v>
      </c>
      <c r="L554" s="1">
        <v>1.1499999999999999</v>
      </c>
      <c r="M554" s="1">
        <v>1.1499999999999999</v>
      </c>
      <c r="N554" s="1">
        <v>1</v>
      </c>
      <c r="O554" s="1">
        <v>1</v>
      </c>
      <c r="P554" s="1">
        <v>1</v>
      </c>
      <c r="Q554" s="1">
        <v>1</v>
      </c>
      <c r="R554" s="1">
        <v>1</v>
      </c>
      <c r="S554" s="1">
        <v>1</v>
      </c>
      <c r="T554" s="1">
        <v>1</v>
      </c>
      <c r="U554" s="1">
        <v>1</v>
      </c>
      <c r="V554" s="1">
        <v>1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3</v>
      </c>
      <c r="AD554" s="1">
        <v>7</v>
      </c>
      <c r="AE554" s="1">
        <v>1.2250000000000001</v>
      </c>
      <c r="AF554" s="1">
        <v>1</v>
      </c>
      <c r="AG554" s="1">
        <v>1.1499999999999999</v>
      </c>
      <c r="AH554" s="1">
        <v>1</v>
      </c>
      <c r="AI554" s="1">
        <v>2</v>
      </c>
      <c r="AJ554" s="1">
        <v>1</v>
      </c>
      <c r="AK554" s="1">
        <v>0</v>
      </c>
      <c r="AL554" s="1">
        <v>1</v>
      </c>
      <c r="AM554" s="1">
        <v>1</v>
      </c>
      <c r="AN554" s="1">
        <v>1.9</v>
      </c>
    </row>
    <row r="555" spans="1:40">
      <c r="A555" s="1">
        <v>2804</v>
      </c>
      <c r="C555" s="1">
        <v>1.3</v>
      </c>
      <c r="D555" s="1">
        <v>1.3</v>
      </c>
      <c r="E555" s="1">
        <v>1.3</v>
      </c>
      <c r="F555" s="1">
        <v>1.3</v>
      </c>
      <c r="G555" s="1">
        <v>1.4</v>
      </c>
      <c r="H555" s="1">
        <v>1</v>
      </c>
      <c r="I555" s="1">
        <v>1</v>
      </c>
      <c r="J555" s="1">
        <v>1.2</v>
      </c>
      <c r="K555" s="1">
        <v>1.2</v>
      </c>
      <c r="L555" s="1">
        <v>1.2</v>
      </c>
      <c r="M555" s="1">
        <v>1.2</v>
      </c>
      <c r="N555" s="1">
        <v>1</v>
      </c>
      <c r="O555" s="1">
        <v>1</v>
      </c>
      <c r="P555" s="1">
        <v>1</v>
      </c>
      <c r="Q555" s="1">
        <v>1</v>
      </c>
      <c r="R555" s="1">
        <v>1</v>
      </c>
      <c r="S555" s="1">
        <v>1</v>
      </c>
      <c r="T555" s="1">
        <v>1</v>
      </c>
      <c r="U555" s="1">
        <v>1</v>
      </c>
      <c r="V555" s="1">
        <v>1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4</v>
      </c>
      <c r="AD555" s="1">
        <v>10</v>
      </c>
      <c r="AE555" s="1">
        <v>1.3</v>
      </c>
      <c r="AF555" s="1">
        <v>1</v>
      </c>
      <c r="AG555" s="1">
        <v>1.2</v>
      </c>
      <c r="AH555" s="1">
        <v>1</v>
      </c>
      <c r="AI555" s="1">
        <v>2.5</v>
      </c>
      <c r="AJ555" s="1">
        <v>1</v>
      </c>
      <c r="AK555" s="1">
        <v>0</v>
      </c>
      <c r="AL555" s="1">
        <v>1</v>
      </c>
      <c r="AM555" s="1">
        <v>1</v>
      </c>
      <c r="AN555" s="1">
        <v>2.2000000000000002</v>
      </c>
    </row>
    <row r="556" spans="1:40">
      <c r="A556" s="1">
        <v>2805</v>
      </c>
      <c r="C556" s="1">
        <v>1.375</v>
      </c>
      <c r="D556" s="1">
        <v>1.375</v>
      </c>
      <c r="E556" s="1">
        <v>1.375</v>
      </c>
      <c r="F556" s="1">
        <v>1.375</v>
      </c>
      <c r="G556" s="1">
        <v>1.5</v>
      </c>
      <c r="H556" s="1">
        <v>1</v>
      </c>
      <c r="I556" s="1">
        <v>1</v>
      </c>
      <c r="J556" s="1">
        <v>1.27</v>
      </c>
      <c r="K556" s="1">
        <v>1.27</v>
      </c>
      <c r="L556" s="1">
        <v>1.27</v>
      </c>
      <c r="M556" s="1">
        <v>1.27</v>
      </c>
      <c r="N556" s="1">
        <v>1</v>
      </c>
      <c r="O556" s="1">
        <v>1</v>
      </c>
      <c r="P556" s="1">
        <v>1</v>
      </c>
      <c r="Q556" s="1">
        <v>1</v>
      </c>
      <c r="R556" s="1">
        <v>1</v>
      </c>
      <c r="S556" s="1">
        <v>1</v>
      </c>
      <c r="T556" s="1">
        <v>1</v>
      </c>
      <c r="U556" s="1">
        <v>1</v>
      </c>
      <c r="V556" s="1">
        <v>1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5</v>
      </c>
      <c r="AD556" s="1">
        <v>12</v>
      </c>
      <c r="AE556" s="1">
        <v>1.375</v>
      </c>
      <c r="AF556" s="1">
        <v>1</v>
      </c>
      <c r="AG556" s="1">
        <v>1.27</v>
      </c>
      <c r="AH556" s="1">
        <v>1</v>
      </c>
      <c r="AI556" s="1">
        <v>3</v>
      </c>
      <c r="AJ556" s="1">
        <v>1</v>
      </c>
      <c r="AK556" s="1">
        <v>0</v>
      </c>
      <c r="AL556" s="1">
        <v>1</v>
      </c>
      <c r="AM556" s="1">
        <v>1</v>
      </c>
      <c r="AN556" s="1">
        <v>2.5</v>
      </c>
    </row>
    <row r="557" spans="1:40">
      <c r="A557" s="1">
        <v>2806</v>
      </c>
      <c r="C557" s="1">
        <v>1.45</v>
      </c>
      <c r="D557" s="1">
        <v>1.45</v>
      </c>
      <c r="E557" s="1">
        <v>1.45</v>
      </c>
      <c r="F557" s="1">
        <v>1.45</v>
      </c>
      <c r="G557" s="1">
        <v>1.6</v>
      </c>
      <c r="H557" s="1">
        <v>1</v>
      </c>
      <c r="I557" s="1">
        <v>1</v>
      </c>
      <c r="J557" s="1">
        <v>1.34</v>
      </c>
      <c r="K557" s="1">
        <v>1.34</v>
      </c>
      <c r="L557" s="1">
        <v>1.34</v>
      </c>
      <c r="M557" s="1">
        <v>1.34</v>
      </c>
      <c r="N557" s="1">
        <v>1</v>
      </c>
      <c r="O557" s="1">
        <v>1</v>
      </c>
      <c r="P557" s="1">
        <v>1</v>
      </c>
      <c r="Q557" s="1">
        <v>1</v>
      </c>
      <c r="R557" s="1">
        <v>1</v>
      </c>
      <c r="S557" s="1">
        <v>1</v>
      </c>
      <c r="T557" s="1">
        <v>1</v>
      </c>
      <c r="U557" s="1">
        <v>1</v>
      </c>
      <c r="V557" s="1">
        <v>1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6</v>
      </c>
      <c r="AD557" s="1">
        <v>15</v>
      </c>
      <c r="AE557" s="1">
        <v>1.45</v>
      </c>
      <c r="AF557" s="1">
        <v>1</v>
      </c>
      <c r="AG557" s="1">
        <v>1.34</v>
      </c>
      <c r="AH557" s="1">
        <v>1</v>
      </c>
      <c r="AI557" s="1">
        <v>3.5</v>
      </c>
      <c r="AJ557" s="1">
        <v>1</v>
      </c>
      <c r="AK557" s="1">
        <v>0</v>
      </c>
      <c r="AL557" s="1">
        <v>1</v>
      </c>
      <c r="AM557" s="1">
        <v>1</v>
      </c>
      <c r="AN557" s="1">
        <v>2.8</v>
      </c>
    </row>
    <row r="558" spans="1:40">
      <c r="A558" s="1">
        <v>2807</v>
      </c>
      <c r="C558" s="1">
        <v>1.5249999999999999</v>
      </c>
      <c r="D558" s="1">
        <v>1.5249999999999999</v>
      </c>
      <c r="E558" s="1">
        <v>1.5249999999999999</v>
      </c>
      <c r="F558" s="1">
        <v>1.5249999999999999</v>
      </c>
      <c r="G558" s="1">
        <v>1.7</v>
      </c>
      <c r="H558" s="1">
        <v>1</v>
      </c>
      <c r="I558" s="1">
        <v>1</v>
      </c>
      <c r="J558" s="1">
        <v>1.41</v>
      </c>
      <c r="K558" s="1">
        <v>1.41</v>
      </c>
      <c r="L558" s="1">
        <v>1.41</v>
      </c>
      <c r="M558" s="1">
        <v>1.41</v>
      </c>
      <c r="N558" s="1">
        <v>1</v>
      </c>
      <c r="O558" s="1">
        <v>1</v>
      </c>
      <c r="P558" s="1">
        <v>1</v>
      </c>
      <c r="Q558" s="1">
        <v>1</v>
      </c>
      <c r="R558" s="1">
        <v>1</v>
      </c>
      <c r="S558" s="1">
        <v>1</v>
      </c>
      <c r="T558" s="1">
        <v>1</v>
      </c>
      <c r="U558" s="1">
        <v>1</v>
      </c>
      <c r="V558" s="1">
        <v>1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7</v>
      </c>
      <c r="AD558" s="1">
        <v>17</v>
      </c>
      <c r="AE558" s="1">
        <v>1.5249999999999999</v>
      </c>
      <c r="AF558" s="1">
        <v>1</v>
      </c>
      <c r="AG558" s="1">
        <v>1.41</v>
      </c>
      <c r="AH558" s="1">
        <v>1</v>
      </c>
      <c r="AI558" s="1">
        <v>4</v>
      </c>
      <c r="AJ558" s="1">
        <v>1</v>
      </c>
      <c r="AK558" s="1">
        <v>0</v>
      </c>
      <c r="AL558" s="1">
        <v>1</v>
      </c>
      <c r="AM558" s="1">
        <v>1</v>
      </c>
      <c r="AN558" s="1">
        <v>3.1</v>
      </c>
    </row>
    <row r="559" spans="1:40">
      <c r="A559" s="1">
        <v>2808</v>
      </c>
      <c r="C559" s="1">
        <v>1.6</v>
      </c>
      <c r="D559" s="1">
        <v>1.6</v>
      </c>
      <c r="E559" s="1">
        <v>1.6</v>
      </c>
      <c r="F559" s="1">
        <v>1.6</v>
      </c>
      <c r="G559" s="1">
        <v>1.8</v>
      </c>
      <c r="H559" s="1">
        <v>1</v>
      </c>
      <c r="I559" s="1">
        <v>1</v>
      </c>
      <c r="J559" s="1">
        <v>1.48</v>
      </c>
      <c r="K559" s="1">
        <v>1.48</v>
      </c>
      <c r="L559" s="1">
        <v>1.48</v>
      </c>
      <c r="M559" s="1">
        <v>1.48</v>
      </c>
      <c r="N559" s="1">
        <v>1</v>
      </c>
      <c r="O559" s="1">
        <v>1</v>
      </c>
      <c r="P559" s="1">
        <v>1</v>
      </c>
      <c r="Q559" s="1">
        <v>1</v>
      </c>
      <c r="R559" s="1">
        <v>1</v>
      </c>
      <c r="S559" s="1">
        <v>1</v>
      </c>
      <c r="T559" s="1">
        <v>1</v>
      </c>
      <c r="U559" s="1">
        <v>1</v>
      </c>
      <c r="V559" s="1">
        <v>1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8</v>
      </c>
      <c r="AD559" s="1">
        <v>20</v>
      </c>
      <c r="AE559" s="1">
        <v>1.6</v>
      </c>
      <c r="AF559" s="1">
        <v>1</v>
      </c>
      <c r="AG559" s="1">
        <v>1.48</v>
      </c>
      <c r="AH559" s="1">
        <v>1</v>
      </c>
      <c r="AI559" s="1">
        <v>4.5</v>
      </c>
      <c r="AJ559" s="1">
        <v>1</v>
      </c>
      <c r="AK559" s="1">
        <v>0</v>
      </c>
      <c r="AL559" s="1">
        <v>1</v>
      </c>
      <c r="AM559" s="1">
        <v>1</v>
      </c>
      <c r="AN559" s="1">
        <v>3.4</v>
      </c>
    </row>
    <row r="560" spans="1:40">
      <c r="A560" s="1">
        <v>2809</v>
      </c>
      <c r="C560" s="1">
        <v>1.675</v>
      </c>
      <c r="D560" s="1">
        <v>1.675</v>
      </c>
      <c r="E560" s="1">
        <v>1.675</v>
      </c>
      <c r="F560" s="1">
        <v>1.675</v>
      </c>
      <c r="G560" s="1">
        <v>1.9</v>
      </c>
      <c r="H560" s="1">
        <v>1</v>
      </c>
      <c r="I560" s="1">
        <v>1</v>
      </c>
      <c r="J560" s="1">
        <v>1.52</v>
      </c>
      <c r="K560" s="1">
        <v>1.52</v>
      </c>
      <c r="L560" s="1">
        <v>1.52</v>
      </c>
      <c r="M560" s="1">
        <v>1.52</v>
      </c>
      <c r="N560" s="1">
        <v>1</v>
      </c>
      <c r="O560" s="1">
        <v>1</v>
      </c>
      <c r="P560" s="1">
        <v>1</v>
      </c>
      <c r="Q560" s="1">
        <v>1</v>
      </c>
      <c r="R560" s="1">
        <v>1</v>
      </c>
      <c r="S560" s="1">
        <v>1</v>
      </c>
      <c r="T560" s="1">
        <v>1</v>
      </c>
      <c r="U560" s="1">
        <v>1</v>
      </c>
      <c r="V560" s="1">
        <v>1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9</v>
      </c>
      <c r="AD560" s="1">
        <v>22</v>
      </c>
      <c r="AE560" s="1">
        <v>1.675</v>
      </c>
      <c r="AF560" s="1">
        <v>1</v>
      </c>
      <c r="AG560" s="1">
        <v>1.52</v>
      </c>
      <c r="AH560" s="1">
        <v>1</v>
      </c>
      <c r="AI560" s="1">
        <v>5</v>
      </c>
      <c r="AJ560" s="1">
        <v>1</v>
      </c>
      <c r="AK560" s="1">
        <v>0</v>
      </c>
      <c r="AL560" s="1">
        <v>1</v>
      </c>
      <c r="AM560" s="1">
        <v>1</v>
      </c>
      <c r="AN560" s="1">
        <v>3.7</v>
      </c>
    </row>
    <row r="561" spans="1:40">
      <c r="A561" s="1">
        <v>2810</v>
      </c>
      <c r="C561" s="1">
        <v>1.75</v>
      </c>
      <c r="D561" s="1">
        <v>1.75</v>
      </c>
      <c r="E561" s="1">
        <v>1.75</v>
      </c>
      <c r="F561" s="1">
        <v>1.75</v>
      </c>
      <c r="G561" s="1">
        <v>2</v>
      </c>
      <c r="H561" s="1">
        <v>1</v>
      </c>
      <c r="I561" s="1">
        <v>1</v>
      </c>
      <c r="J561" s="1">
        <v>1.6</v>
      </c>
      <c r="K561" s="1">
        <v>1.6</v>
      </c>
      <c r="L561" s="1">
        <v>1.6</v>
      </c>
      <c r="M561" s="1">
        <v>1.6</v>
      </c>
      <c r="N561" s="1">
        <v>1</v>
      </c>
      <c r="O561" s="1">
        <v>1</v>
      </c>
      <c r="P561" s="1">
        <v>1</v>
      </c>
      <c r="Q561" s="1">
        <v>1</v>
      </c>
      <c r="R561" s="1">
        <v>1</v>
      </c>
      <c r="S561" s="1">
        <v>1</v>
      </c>
      <c r="T561" s="1">
        <v>1</v>
      </c>
      <c r="U561" s="1">
        <v>1</v>
      </c>
      <c r="V561" s="1">
        <v>1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10</v>
      </c>
      <c r="AD561" s="1">
        <v>25</v>
      </c>
      <c r="AE561" s="1">
        <v>1.75</v>
      </c>
      <c r="AF561" s="1">
        <v>1</v>
      </c>
      <c r="AG561" s="1">
        <v>1.6</v>
      </c>
      <c r="AH561" s="1">
        <v>1</v>
      </c>
      <c r="AI561" s="1">
        <v>6</v>
      </c>
      <c r="AJ561" s="1">
        <v>1</v>
      </c>
      <c r="AK561" s="1">
        <v>0</v>
      </c>
      <c r="AL561" s="1">
        <v>1</v>
      </c>
      <c r="AM561" s="1">
        <v>1</v>
      </c>
      <c r="AN561" s="1">
        <v>4</v>
      </c>
    </row>
    <row r="562" spans="1:40">
      <c r="A562" s="1">
        <v>3000</v>
      </c>
      <c r="C562" s="1">
        <v>1</v>
      </c>
      <c r="D562" s="1">
        <v>1</v>
      </c>
      <c r="E562" s="1">
        <v>1</v>
      </c>
      <c r="F562" s="1">
        <v>1</v>
      </c>
      <c r="G562" s="1">
        <v>1</v>
      </c>
      <c r="H562" s="1">
        <v>1</v>
      </c>
      <c r="I562" s="1">
        <v>1</v>
      </c>
      <c r="J562" s="1">
        <v>1</v>
      </c>
      <c r="K562" s="1">
        <v>1</v>
      </c>
      <c r="L562" s="1">
        <v>1</v>
      </c>
      <c r="M562" s="1">
        <v>1</v>
      </c>
      <c r="N562" s="1">
        <v>1</v>
      </c>
      <c r="O562" s="1">
        <v>1</v>
      </c>
      <c r="P562" s="1">
        <v>1</v>
      </c>
      <c r="Q562" s="1">
        <v>1</v>
      </c>
      <c r="R562" s="1">
        <v>1</v>
      </c>
      <c r="S562" s="1">
        <v>1</v>
      </c>
      <c r="T562" s="1">
        <v>1</v>
      </c>
      <c r="U562" s="1">
        <v>1</v>
      </c>
      <c r="V562" s="1">
        <v>1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1</v>
      </c>
      <c r="AF562" s="1">
        <v>1</v>
      </c>
      <c r="AG562" s="1">
        <v>1</v>
      </c>
      <c r="AH562" s="1">
        <v>1</v>
      </c>
      <c r="AI562" s="1">
        <v>1</v>
      </c>
      <c r="AJ562" s="1">
        <v>1</v>
      </c>
      <c r="AK562" s="1">
        <v>0</v>
      </c>
      <c r="AL562" s="1">
        <v>1</v>
      </c>
      <c r="AM562" s="1">
        <v>1</v>
      </c>
      <c r="AN562" s="1">
        <v>1</v>
      </c>
    </row>
    <row r="563" spans="1:40">
      <c r="A563" s="1">
        <v>3100</v>
      </c>
      <c r="C563" s="1">
        <v>0.9</v>
      </c>
      <c r="D563" s="1">
        <v>0.9</v>
      </c>
      <c r="E563" s="1">
        <v>0.9</v>
      </c>
      <c r="F563" s="1">
        <v>0.9</v>
      </c>
      <c r="G563" s="1">
        <v>1</v>
      </c>
      <c r="H563" s="1">
        <v>1</v>
      </c>
      <c r="I563" s="1">
        <v>1</v>
      </c>
      <c r="J563" s="1">
        <v>0</v>
      </c>
      <c r="K563" s="1">
        <v>0</v>
      </c>
      <c r="L563" s="1">
        <v>0</v>
      </c>
      <c r="M563" s="1">
        <v>0</v>
      </c>
      <c r="N563" s="1">
        <v>1</v>
      </c>
      <c r="O563" s="1">
        <v>1</v>
      </c>
      <c r="P563" s="1">
        <v>1</v>
      </c>
      <c r="Q563" s="1">
        <v>1</v>
      </c>
      <c r="R563" s="1">
        <v>1</v>
      </c>
      <c r="S563" s="1">
        <v>1</v>
      </c>
      <c r="T563" s="1">
        <v>1</v>
      </c>
      <c r="U563" s="1">
        <v>1</v>
      </c>
      <c r="V563" s="1">
        <v>1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0.9</v>
      </c>
      <c r="AF563" s="1">
        <v>1</v>
      </c>
      <c r="AG563" s="1">
        <v>0</v>
      </c>
      <c r="AH563" s="1">
        <v>1</v>
      </c>
      <c r="AI563" s="1">
        <v>1</v>
      </c>
      <c r="AJ563" s="1">
        <v>1</v>
      </c>
      <c r="AK563" s="1">
        <v>0</v>
      </c>
      <c r="AL563" s="1">
        <v>1</v>
      </c>
      <c r="AM563" s="1">
        <v>1</v>
      </c>
      <c r="AN563" s="1">
        <v>1</v>
      </c>
    </row>
    <row r="564" spans="1:40">
      <c r="A564" s="1">
        <v>3101</v>
      </c>
      <c r="C564" s="1">
        <v>1.024</v>
      </c>
      <c r="D564" s="1">
        <v>1.024</v>
      </c>
      <c r="E564" s="1">
        <v>1.024</v>
      </c>
      <c r="F564" s="1">
        <v>1.024</v>
      </c>
      <c r="G564" s="1">
        <v>1.04</v>
      </c>
      <c r="H564" s="1">
        <v>1</v>
      </c>
      <c r="I564" s="1">
        <v>1</v>
      </c>
      <c r="J564" s="1">
        <v>0</v>
      </c>
      <c r="K564" s="1">
        <v>0</v>
      </c>
      <c r="L564" s="1">
        <v>0</v>
      </c>
      <c r="M564" s="1">
        <v>0</v>
      </c>
      <c r="N564" s="1">
        <v>1</v>
      </c>
      <c r="O564" s="1">
        <v>1</v>
      </c>
      <c r="P564" s="1">
        <v>1</v>
      </c>
      <c r="Q564" s="1">
        <v>1</v>
      </c>
      <c r="R564" s="1">
        <v>1</v>
      </c>
      <c r="S564" s="1">
        <v>1</v>
      </c>
      <c r="T564" s="1">
        <v>1</v>
      </c>
      <c r="U564" s="1">
        <v>1</v>
      </c>
      <c r="V564" s="1">
        <v>1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1</v>
      </c>
      <c r="AD564" s="1">
        <v>1</v>
      </c>
      <c r="AE564" s="1">
        <v>1.024</v>
      </c>
      <c r="AF564" s="1">
        <v>1</v>
      </c>
      <c r="AG564" s="1">
        <v>0</v>
      </c>
      <c r="AH564" s="1">
        <v>1</v>
      </c>
      <c r="AI564" s="1">
        <v>1.2</v>
      </c>
      <c r="AJ564" s="1">
        <v>1</v>
      </c>
      <c r="AK564" s="1">
        <v>0</v>
      </c>
      <c r="AL564" s="1">
        <v>1</v>
      </c>
      <c r="AM564" s="1">
        <v>1</v>
      </c>
      <c r="AN564" s="1">
        <v>1.1200000000000001</v>
      </c>
    </row>
    <row r="565" spans="1:40">
      <c r="A565" s="1">
        <v>3102</v>
      </c>
      <c r="C565" s="1">
        <v>1.1479999999999999</v>
      </c>
      <c r="D565" s="1">
        <v>1.1479999999999999</v>
      </c>
      <c r="E565" s="1">
        <v>1.1479999999999999</v>
      </c>
      <c r="F565" s="1">
        <v>1.1479999999999999</v>
      </c>
      <c r="G565" s="1">
        <v>1.08</v>
      </c>
      <c r="H565" s="1">
        <v>1</v>
      </c>
      <c r="I565" s="1">
        <v>1</v>
      </c>
      <c r="J565" s="1">
        <v>0</v>
      </c>
      <c r="K565" s="1">
        <v>0</v>
      </c>
      <c r="L565" s="1">
        <v>0</v>
      </c>
      <c r="M565" s="1">
        <v>0</v>
      </c>
      <c r="N565" s="1">
        <v>1</v>
      </c>
      <c r="O565" s="1">
        <v>1</v>
      </c>
      <c r="P565" s="1">
        <v>1</v>
      </c>
      <c r="Q565" s="1">
        <v>1</v>
      </c>
      <c r="R565" s="1">
        <v>1</v>
      </c>
      <c r="S565" s="1">
        <v>1</v>
      </c>
      <c r="T565" s="1">
        <v>1</v>
      </c>
      <c r="U565" s="1">
        <v>1</v>
      </c>
      <c r="V565" s="1">
        <v>1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2</v>
      </c>
      <c r="AD565" s="1">
        <v>2</v>
      </c>
      <c r="AE565" s="1">
        <v>1.1479999999999999</v>
      </c>
      <c r="AF565" s="1">
        <v>1</v>
      </c>
      <c r="AG565" s="1">
        <v>0</v>
      </c>
      <c r="AH565" s="1">
        <v>1</v>
      </c>
      <c r="AI565" s="1">
        <v>1.4</v>
      </c>
      <c r="AJ565" s="1">
        <v>1</v>
      </c>
      <c r="AK565" s="1">
        <v>0</v>
      </c>
      <c r="AL565" s="1">
        <v>1</v>
      </c>
      <c r="AM565" s="1">
        <v>1</v>
      </c>
      <c r="AN565" s="1">
        <v>1.24</v>
      </c>
    </row>
    <row r="566" spans="1:40">
      <c r="A566" s="1">
        <v>3103</v>
      </c>
      <c r="C566" s="1">
        <v>1.272</v>
      </c>
      <c r="D566" s="1">
        <v>1.272</v>
      </c>
      <c r="E566" s="1">
        <v>1.272</v>
      </c>
      <c r="F566" s="1">
        <v>1.272</v>
      </c>
      <c r="G566" s="1">
        <v>1.1200000000000001</v>
      </c>
      <c r="H566" s="1">
        <v>1</v>
      </c>
      <c r="I566" s="1">
        <v>1</v>
      </c>
      <c r="J566" s="1">
        <v>0</v>
      </c>
      <c r="K566" s="1">
        <v>0</v>
      </c>
      <c r="L566" s="1">
        <v>0</v>
      </c>
      <c r="M566" s="1">
        <v>0</v>
      </c>
      <c r="N566" s="1">
        <v>1</v>
      </c>
      <c r="O566" s="1">
        <v>1</v>
      </c>
      <c r="P566" s="1">
        <v>1</v>
      </c>
      <c r="Q566" s="1">
        <v>1</v>
      </c>
      <c r="R566" s="1">
        <v>1</v>
      </c>
      <c r="S566" s="1">
        <v>1</v>
      </c>
      <c r="T566" s="1">
        <v>1</v>
      </c>
      <c r="U566" s="1">
        <v>1</v>
      </c>
      <c r="V566" s="1">
        <v>1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3</v>
      </c>
      <c r="AD566" s="1">
        <v>3</v>
      </c>
      <c r="AE566" s="1">
        <v>1.272</v>
      </c>
      <c r="AF566" s="1">
        <v>1</v>
      </c>
      <c r="AG566" s="1">
        <v>0</v>
      </c>
      <c r="AH566" s="1">
        <v>1</v>
      </c>
      <c r="AI566" s="1">
        <v>1.6</v>
      </c>
      <c r="AJ566" s="1">
        <v>1</v>
      </c>
      <c r="AK566" s="1">
        <v>0</v>
      </c>
      <c r="AL566" s="1">
        <v>1</v>
      </c>
      <c r="AM566" s="1">
        <v>1</v>
      </c>
      <c r="AN566" s="1">
        <v>1.36</v>
      </c>
    </row>
    <row r="567" spans="1:40">
      <c r="A567" s="1">
        <v>3104</v>
      </c>
      <c r="C567" s="1">
        <v>1.3959999999999999</v>
      </c>
      <c r="D567" s="1">
        <v>1.3959999999999999</v>
      </c>
      <c r="E567" s="1">
        <v>1.3959999999999999</v>
      </c>
      <c r="F567" s="1">
        <v>1.3959999999999999</v>
      </c>
      <c r="G567" s="1">
        <v>1.1599999999999999</v>
      </c>
      <c r="H567" s="1">
        <v>1</v>
      </c>
      <c r="I567" s="1">
        <v>1</v>
      </c>
      <c r="J567" s="1">
        <v>0</v>
      </c>
      <c r="K567" s="1">
        <v>0</v>
      </c>
      <c r="L567" s="1">
        <v>0</v>
      </c>
      <c r="M567" s="1">
        <v>0</v>
      </c>
      <c r="N567" s="1">
        <v>1</v>
      </c>
      <c r="O567" s="1">
        <v>1</v>
      </c>
      <c r="P567" s="1">
        <v>1</v>
      </c>
      <c r="Q567" s="1">
        <v>1</v>
      </c>
      <c r="R567" s="1">
        <v>1</v>
      </c>
      <c r="S567" s="1">
        <v>1</v>
      </c>
      <c r="T567" s="1">
        <v>1</v>
      </c>
      <c r="U567" s="1">
        <v>1</v>
      </c>
      <c r="V567" s="1">
        <v>1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4</v>
      </c>
      <c r="AD567" s="1">
        <v>4</v>
      </c>
      <c r="AE567" s="1">
        <v>1.3959999999999999</v>
      </c>
      <c r="AF567" s="1">
        <v>1</v>
      </c>
      <c r="AG567" s="1">
        <v>0</v>
      </c>
      <c r="AH567" s="1">
        <v>1</v>
      </c>
      <c r="AI567" s="1">
        <v>1.8</v>
      </c>
      <c r="AJ567" s="1">
        <v>1</v>
      </c>
      <c r="AK567" s="1">
        <v>0</v>
      </c>
      <c r="AL567" s="1">
        <v>1</v>
      </c>
      <c r="AM567" s="1">
        <v>1</v>
      </c>
      <c r="AN567" s="1">
        <v>1.48</v>
      </c>
    </row>
    <row r="568" spans="1:40">
      <c r="A568" s="1">
        <v>3105</v>
      </c>
      <c r="C568" s="1">
        <v>1.52</v>
      </c>
      <c r="D568" s="1">
        <v>1.52</v>
      </c>
      <c r="E568" s="1">
        <v>1.52</v>
      </c>
      <c r="F568" s="1">
        <v>1.52</v>
      </c>
      <c r="G568" s="1">
        <v>1.2</v>
      </c>
      <c r="H568" s="1">
        <v>1</v>
      </c>
      <c r="I568" s="1">
        <v>1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1</v>
      </c>
      <c r="P568" s="1">
        <v>1</v>
      </c>
      <c r="Q568" s="1">
        <v>1</v>
      </c>
      <c r="R568" s="1">
        <v>1</v>
      </c>
      <c r="S568" s="1">
        <v>1</v>
      </c>
      <c r="T568" s="1">
        <v>1</v>
      </c>
      <c r="U568" s="1">
        <v>1</v>
      </c>
      <c r="V568" s="1">
        <v>1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B568" s="1">
        <v>0</v>
      </c>
      <c r="AC568" s="1">
        <v>5</v>
      </c>
      <c r="AD568" s="1">
        <v>5</v>
      </c>
      <c r="AE568" s="1">
        <v>1.52</v>
      </c>
      <c r="AF568" s="1">
        <v>1</v>
      </c>
      <c r="AG568" s="1">
        <v>0</v>
      </c>
      <c r="AH568" s="1">
        <v>1</v>
      </c>
      <c r="AI568" s="1">
        <v>2</v>
      </c>
      <c r="AJ568" s="1">
        <v>1</v>
      </c>
      <c r="AK568" s="1">
        <v>0</v>
      </c>
      <c r="AL568" s="1">
        <v>1</v>
      </c>
      <c r="AM568" s="1">
        <v>1</v>
      </c>
      <c r="AN568" s="1">
        <v>1.6</v>
      </c>
    </row>
    <row r="569" spans="1:40">
      <c r="A569" s="1">
        <v>3106</v>
      </c>
      <c r="C569" s="1">
        <v>1.6439999999999999</v>
      </c>
      <c r="D569" s="1">
        <v>1.6439999999999999</v>
      </c>
      <c r="E569" s="1">
        <v>1.6439999999999999</v>
      </c>
      <c r="F569" s="1">
        <v>1.6439999999999999</v>
      </c>
      <c r="G569" s="1">
        <v>1.24</v>
      </c>
      <c r="H569" s="1">
        <v>1</v>
      </c>
      <c r="I569" s="1">
        <v>1</v>
      </c>
      <c r="J569" s="1">
        <v>0</v>
      </c>
      <c r="K569" s="1">
        <v>0</v>
      </c>
      <c r="L569" s="1">
        <v>0</v>
      </c>
      <c r="M569" s="1">
        <v>0</v>
      </c>
      <c r="N569" s="1">
        <v>1</v>
      </c>
      <c r="O569" s="1">
        <v>1</v>
      </c>
      <c r="P569" s="1">
        <v>1</v>
      </c>
      <c r="Q569" s="1">
        <v>1</v>
      </c>
      <c r="R569" s="1">
        <v>1</v>
      </c>
      <c r="S569" s="1">
        <v>1</v>
      </c>
      <c r="T569" s="1">
        <v>1</v>
      </c>
      <c r="U569" s="1">
        <v>1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6</v>
      </c>
      <c r="AD569" s="1">
        <v>6</v>
      </c>
      <c r="AE569" s="1">
        <v>1.6439999999999999</v>
      </c>
      <c r="AF569" s="1">
        <v>1</v>
      </c>
      <c r="AG569" s="1">
        <v>0</v>
      </c>
      <c r="AH569" s="1">
        <v>1</v>
      </c>
      <c r="AI569" s="1">
        <v>2.2000000000000002</v>
      </c>
      <c r="AJ569" s="1">
        <v>1</v>
      </c>
      <c r="AK569" s="1">
        <v>0</v>
      </c>
      <c r="AL569" s="1">
        <v>1</v>
      </c>
      <c r="AM569" s="1">
        <v>1</v>
      </c>
      <c r="AN569" s="1">
        <v>1.72</v>
      </c>
    </row>
    <row r="570" spans="1:40">
      <c r="A570" s="1">
        <v>3107</v>
      </c>
      <c r="C570" s="1">
        <v>1.768</v>
      </c>
      <c r="D570" s="1">
        <v>1.768</v>
      </c>
      <c r="E570" s="1">
        <v>1.768</v>
      </c>
      <c r="F570" s="1">
        <v>1.768</v>
      </c>
      <c r="G570" s="1">
        <v>1.28</v>
      </c>
      <c r="H570" s="1">
        <v>1</v>
      </c>
      <c r="I570" s="1">
        <v>1</v>
      </c>
      <c r="J570" s="1">
        <v>0</v>
      </c>
      <c r="K570" s="1">
        <v>0</v>
      </c>
      <c r="L570" s="1">
        <v>0</v>
      </c>
      <c r="M570" s="1">
        <v>0</v>
      </c>
      <c r="N570" s="1">
        <v>1</v>
      </c>
      <c r="O570" s="1">
        <v>1</v>
      </c>
      <c r="P570" s="1">
        <v>1</v>
      </c>
      <c r="Q570" s="1">
        <v>1</v>
      </c>
      <c r="R570" s="1">
        <v>1</v>
      </c>
      <c r="S570" s="1">
        <v>1</v>
      </c>
      <c r="T570" s="1">
        <v>1</v>
      </c>
      <c r="U570" s="1">
        <v>1</v>
      </c>
      <c r="V570" s="1">
        <v>1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7</v>
      </c>
      <c r="AD570" s="1">
        <v>7</v>
      </c>
      <c r="AE570" s="1">
        <v>1.768</v>
      </c>
      <c r="AF570" s="1">
        <v>1</v>
      </c>
      <c r="AG570" s="1">
        <v>0</v>
      </c>
      <c r="AH570" s="1">
        <v>1</v>
      </c>
      <c r="AI570" s="1">
        <v>2.4</v>
      </c>
      <c r="AJ570" s="1">
        <v>1</v>
      </c>
      <c r="AK570" s="1">
        <v>0</v>
      </c>
      <c r="AL570" s="1">
        <v>1</v>
      </c>
      <c r="AM570" s="1">
        <v>1</v>
      </c>
      <c r="AN570" s="1">
        <v>1.84</v>
      </c>
    </row>
    <row r="571" spans="1:40">
      <c r="A571" s="1">
        <v>3108</v>
      </c>
      <c r="C571" s="1">
        <v>1.8919999999999999</v>
      </c>
      <c r="D571" s="1">
        <v>1.8919999999999999</v>
      </c>
      <c r="E571" s="1">
        <v>1.8919999999999999</v>
      </c>
      <c r="F571" s="1">
        <v>1.8919999999999999</v>
      </c>
      <c r="G571" s="1">
        <v>1.32</v>
      </c>
      <c r="H571" s="1">
        <v>1</v>
      </c>
      <c r="I571" s="1">
        <v>1</v>
      </c>
      <c r="J571" s="1">
        <v>0</v>
      </c>
      <c r="K571" s="1">
        <v>0</v>
      </c>
      <c r="L571" s="1">
        <v>0</v>
      </c>
      <c r="M571" s="1">
        <v>0</v>
      </c>
      <c r="N571" s="1">
        <v>1</v>
      </c>
      <c r="O571" s="1">
        <v>1</v>
      </c>
      <c r="P571" s="1">
        <v>1</v>
      </c>
      <c r="Q571" s="1">
        <v>1</v>
      </c>
      <c r="R571" s="1">
        <v>1</v>
      </c>
      <c r="S571" s="1">
        <v>1</v>
      </c>
      <c r="T571" s="1">
        <v>1</v>
      </c>
      <c r="U571" s="1">
        <v>1</v>
      </c>
      <c r="V571" s="1">
        <v>1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8</v>
      </c>
      <c r="AD571" s="1">
        <v>8</v>
      </c>
      <c r="AE571" s="1">
        <v>1.8919999999999999</v>
      </c>
      <c r="AF571" s="1">
        <v>1</v>
      </c>
      <c r="AG571" s="1">
        <v>0</v>
      </c>
      <c r="AH571" s="1">
        <v>1</v>
      </c>
      <c r="AI571" s="1">
        <v>2.6</v>
      </c>
      <c r="AJ571" s="1">
        <v>1</v>
      </c>
      <c r="AK571" s="1">
        <v>0</v>
      </c>
      <c r="AL571" s="1">
        <v>1</v>
      </c>
      <c r="AM571" s="1">
        <v>1</v>
      </c>
      <c r="AN571" s="1">
        <v>1.96</v>
      </c>
    </row>
    <row r="572" spans="1:40">
      <c r="A572" s="1">
        <v>3109</v>
      </c>
      <c r="C572" s="1">
        <v>2.016</v>
      </c>
      <c r="D572" s="1">
        <v>2.016</v>
      </c>
      <c r="E572" s="1">
        <v>2.016</v>
      </c>
      <c r="F572" s="1">
        <v>2.016</v>
      </c>
      <c r="G572" s="1">
        <v>1.36</v>
      </c>
      <c r="H572" s="1">
        <v>1</v>
      </c>
      <c r="I572" s="1">
        <v>1</v>
      </c>
      <c r="J572" s="1">
        <v>0</v>
      </c>
      <c r="K572" s="1">
        <v>0</v>
      </c>
      <c r="L572" s="1">
        <v>0</v>
      </c>
      <c r="M572" s="1">
        <v>0</v>
      </c>
      <c r="N572" s="1">
        <v>1</v>
      </c>
      <c r="O572" s="1">
        <v>1</v>
      </c>
      <c r="P572" s="1">
        <v>1</v>
      </c>
      <c r="Q572" s="1">
        <v>1</v>
      </c>
      <c r="R572" s="1">
        <v>1</v>
      </c>
      <c r="S572" s="1">
        <v>1</v>
      </c>
      <c r="T572" s="1">
        <v>1</v>
      </c>
      <c r="U572" s="1">
        <v>1</v>
      </c>
      <c r="V572" s="1">
        <v>1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9</v>
      </c>
      <c r="AD572" s="1">
        <v>9</v>
      </c>
      <c r="AE572" s="1">
        <v>2.016</v>
      </c>
      <c r="AF572" s="1">
        <v>1</v>
      </c>
      <c r="AG572" s="1">
        <v>0</v>
      </c>
      <c r="AH572" s="1">
        <v>1</v>
      </c>
      <c r="AI572" s="1">
        <v>2.8</v>
      </c>
      <c r="AJ572" s="1">
        <v>1</v>
      </c>
      <c r="AK572" s="1">
        <v>0</v>
      </c>
      <c r="AL572" s="1">
        <v>1</v>
      </c>
      <c r="AM572" s="1">
        <v>1</v>
      </c>
      <c r="AN572" s="1">
        <v>2.08</v>
      </c>
    </row>
    <row r="573" spans="1:40">
      <c r="A573" s="1">
        <v>3110</v>
      </c>
      <c r="C573" s="1">
        <v>2.14</v>
      </c>
      <c r="D573" s="1">
        <v>2.14</v>
      </c>
      <c r="E573" s="1">
        <v>2.14</v>
      </c>
      <c r="F573" s="1">
        <v>2.14</v>
      </c>
      <c r="G573" s="1">
        <v>1.4</v>
      </c>
      <c r="H573" s="1">
        <v>1</v>
      </c>
      <c r="I573" s="1">
        <v>1</v>
      </c>
      <c r="J573" s="1">
        <v>0</v>
      </c>
      <c r="K573" s="1">
        <v>0</v>
      </c>
      <c r="L573" s="1">
        <v>0</v>
      </c>
      <c r="M573" s="1">
        <v>0</v>
      </c>
      <c r="N573" s="1">
        <v>1</v>
      </c>
      <c r="O573" s="1">
        <v>1</v>
      </c>
      <c r="P573" s="1">
        <v>1</v>
      </c>
      <c r="Q573" s="1">
        <v>1</v>
      </c>
      <c r="R573" s="1">
        <v>1</v>
      </c>
      <c r="S573" s="1">
        <v>1</v>
      </c>
      <c r="T573" s="1">
        <v>1</v>
      </c>
      <c r="U573" s="1">
        <v>1</v>
      </c>
      <c r="V573" s="1">
        <v>1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10</v>
      </c>
      <c r="AD573" s="1">
        <v>10</v>
      </c>
      <c r="AE573" s="1">
        <v>2.14</v>
      </c>
      <c r="AF573" s="1">
        <v>1</v>
      </c>
      <c r="AG573" s="1">
        <v>0</v>
      </c>
      <c r="AH573" s="1">
        <v>1</v>
      </c>
      <c r="AI573" s="1">
        <v>3</v>
      </c>
      <c r="AJ573" s="1">
        <v>1</v>
      </c>
      <c r="AK573" s="1">
        <v>0</v>
      </c>
      <c r="AL573" s="1">
        <v>1</v>
      </c>
      <c r="AM573" s="1">
        <v>1</v>
      </c>
      <c r="AN573" s="1">
        <v>2.2000000000000002</v>
      </c>
    </row>
    <row r="574" spans="1:40">
      <c r="A574" s="1">
        <v>3111</v>
      </c>
      <c r="C574" s="1">
        <v>2.2639999999999998</v>
      </c>
      <c r="D574" s="1">
        <v>2.2639999999999998</v>
      </c>
      <c r="E574" s="1">
        <v>2.2639999999999998</v>
      </c>
      <c r="F574" s="1">
        <v>2.2639999999999998</v>
      </c>
      <c r="G574" s="1">
        <v>1.44</v>
      </c>
      <c r="H574" s="1">
        <v>1</v>
      </c>
      <c r="I574" s="1">
        <v>1</v>
      </c>
      <c r="J574" s="1">
        <v>0</v>
      </c>
      <c r="K574" s="1">
        <v>0</v>
      </c>
      <c r="L574" s="1">
        <v>0</v>
      </c>
      <c r="M574" s="1">
        <v>0</v>
      </c>
      <c r="N574" s="1">
        <v>1</v>
      </c>
      <c r="O574" s="1">
        <v>1</v>
      </c>
      <c r="P574" s="1">
        <v>1</v>
      </c>
      <c r="Q574" s="1">
        <v>1</v>
      </c>
      <c r="R574" s="1">
        <v>1</v>
      </c>
      <c r="S574" s="1">
        <v>1</v>
      </c>
      <c r="T574" s="1">
        <v>1</v>
      </c>
      <c r="U574" s="1">
        <v>1</v>
      </c>
      <c r="V574" s="1">
        <v>1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11</v>
      </c>
      <c r="AD574" s="1">
        <v>11</v>
      </c>
      <c r="AE574" s="1">
        <v>2.2639999999999998</v>
      </c>
      <c r="AF574" s="1">
        <v>1</v>
      </c>
      <c r="AG574" s="1">
        <v>0</v>
      </c>
      <c r="AH574" s="1">
        <v>1</v>
      </c>
      <c r="AI574" s="1">
        <v>3.2</v>
      </c>
      <c r="AJ574" s="1">
        <v>1</v>
      </c>
      <c r="AK574" s="1">
        <v>0</v>
      </c>
      <c r="AL574" s="1">
        <v>1</v>
      </c>
      <c r="AM574" s="1">
        <v>1</v>
      </c>
      <c r="AN574" s="1">
        <v>2.3199999999999998</v>
      </c>
    </row>
    <row r="575" spans="1:40">
      <c r="A575" s="1">
        <v>3112</v>
      </c>
      <c r="C575" s="1">
        <v>2.3879999999999999</v>
      </c>
      <c r="D575" s="1">
        <v>2.3879999999999999</v>
      </c>
      <c r="E575" s="1">
        <v>2.3879999999999999</v>
      </c>
      <c r="F575" s="1">
        <v>2.3879999999999999</v>
      </c>
      <c r="G575" s="1">
        <v>1.48</v>
      </c>
      <c r="H575" s="1">
        <v>1</v>
      </c>
      <c r="I575" s="1">
        <v>1</v>
      </c>
      <c r="J575" s="1">
        <v>0</v>
      </c>
      <c r="K575" s="1">
        <v>0</v>
      </c>
      <c r="L575" s="1">
        <v>0</v>
      </c>
      <c r="M575" s="1">
        <v>0</v>
      </c>
      <c r="N575" s="1">
        <v>1</v>
      </c>
      <c r="O575" s="1">
        <v>1</v>
      </c>
      <c r="P575" s="1">
        <v>1</v>
      </c>
      <c r="Q575" s="1">
        <v>1</v>
      </c>
      <c r="R575" s="1">
        <v>1</v>
      </c>
      <c r="S575" s="1">
        <v>1</v>
      </c>
      <c r="T575" s="1">
        <v>1</v>
      </c>
      <c r="U575" s="1">
        <v>1</v>
      </c>
      <c r="V575" s="1">
        <v>1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12</v>
      </c>
      <c r="AD575" s="1">
        <v>12</v>
      </c>
      <c r="AE575" s="1">
        <v>2.3879999999999999</v>
      </c>
      <c r="AF575" s="1">
        <v>1</v>
      </c>
      <c r="AG575" s="1">
        <v>0</v>
      </c>
      <c r="AH575" s="1">
        <v>1</v>
      </c>
      <c r="AI575" s="1">
        <v>3.4</v>
      </c>
      <c r="AJ575" s="1">
        <v>1</v>
      </c>
      <c r="AK575" s="1">
        <v>0</v>
      </c>
      <c r="AL575" s="1">
        <v>1</v>
      </c>
      <c r="AM575" s="1">
        <v>1</v>
      </c>
      <c r="AN575" s="1">
        <v>2.44</v>
      </c>
    </row>
    <row r="576" spans="1:40">
      <c r="A576" s="1">
        <v>3113</v>
      </c>
      <c r="C576" s="1">
        <v>2.512</v>
      </c>
      <c r="D576" s="1">
        <v>2.512</v>
      </c>
      <c r="E576" s="1">
        <v>2.512</v>
      </c>
      <c r="F576" s="1">
        <v>2.512</v>
      </c>
      <c r="G576" s="1">
        <v>1.52</v>
      </c>
      <c r="H576" s="1">
        <v>1</v>
      </c>
      <c r="I576" s="1">
        <v>1</v>
      </c>
      <c r="J576" s="1">
        <v>0</v>
      </c>
      <c r="K576" s="1">
        <v>0</v>
      </c>
      <c r="L576" s="1">
        <v>0</v>
      </c>
      <c r="M576" s="1">
        <v>0</v>
      </c>
      <c r="N576" s="1">
        <v>1</v>
      </c>
      <c r="O576" s="1">
        <v>1</v>
      </c>
      <c r="P576" s="1">
        <v>1</v>
      </c>
      <c r="Q576" s="1">
        <v>1</v>
      </c>
      <c r="R576" s="1">
        <v>1</v>
      </c>
      <c r="S576" s="1">
        <v>1</v>
      </c>
      <c r="T576" s="1">
        <v>1</v>
      </c>
      <c r="U576" s="1">
        <v>1</v>
      </c>
      <c r="V576" s="1">
        <v>1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13</v>
      </c>
      <c r="AD576" s="1">
        <v>13</v>
      </c>
      <c r="AE576" s="1">
        <v>2.512</v>
      </c>
      <c r="AF576" s="1">
        <v>1</v>
      </c>
      <c r="AG576" s="1">
        <v>0</v>
      </c>
      <c r="AH576" s="1">
        <v>1</v>
      </c>
      <c r="AI576" s="1">
        <v>3.6</v>
      </c>
      <c r="AJ576" s="1">
        <v>1</v>
      </c>
      <c r="AK576" s="1">
        <v>0</v>
      </c>
      <c r="AL576" s="1">
        <v>1</v>
      </c>
      <c r="AM576" s="1">
        <v>1</v>
      </c>
      <c r="AN576" s="1">
        <v>2.56</v>
      </c>
    </row>
    <row r="577" spans="1:40">
      <c r="A577" s="1">
        <v>3114</v>
      </c>
      <c r="C577" s="1">
        <v>2.6360000000000001</v>
      </c>
      <c r="D577" s="1">
        <v>2.6360000000000001</v>
      </c>
      <c r="E577" s="1">
        <v>2.6360000000000001</v>
      </c>
      <c r="F577" s="1">
        <v>2.6360000000000001</v>
      </c>
      <c r="G577" s="1">
        <v>1.56</v>
      </c>
      <c r="H577" s="1">
        <v>1</v>
      </c>
      <c r="I577" s="1">
        <v>1</v>
      </c>
      <c r="J577" s="1">
        <v>0</v>
      </c>
      <c r="K577" s="1">
        <v>0</v>
      </c>
      <c r="L577" s="1">
        <v>0</v>
      </c>
      <c r="M577" s="1">
        <v>0</v>
      </c>
      <c r="N577" s="1">
        <v>1</v>
      </c>
      <c r="O577" s="1">
        <v>1</v>
      </c>
      <c r="P577" s="1">
        <v>1</v>
      </c>
      <c r="Q577" s="1">
        <v>1</v>
      </c>
      <c r="R577" s="1">
        <v>1</v>
      </c>
      <c r="S577" s="1">
        <v>1</v>
      </c>
      <c r="T577" s="1">
        <v>1</v>
      </c>
      <c r="U577" s="1">
        <v>1</v>
      </c>
      <c r="V577" s="1">
        <v>1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B577" s="1">
        <v>0</v>
      </c>
      <c r="AC577" s="1">
        <v>14</v>
      </c>
      <c r="AD577" s="1">
        <v>14</v>
      </c>
      <c r="AE577" s="1">
        <v>2.6360000000000001</v>
      </c>
      <c r="AF577" s="1">
        <v>1</v>
      </c>
      <c r="AG577" s="1">
        <v>0</v>
      </c>
      <c r="AH577" s="1">
        <v>1</v>
      </c>
      <c r="AI577" s="1">
        <v>3.8</v>
      </c>
      <c r="AJ577" s="1">
        <v>1</v>
      </c>
      <c r="AK577" s="1">
        <v>0</v>
      </c>
      <c r="AL577" s="1">
        <v>1</v>
      </c>
      <c r="AM577" s="1">
        <v>1</v>
      </c>
      <c r="AN577" s="1">
        <v>2.68</v>
      </c>
    </row>
    <row r="578" spans="1:40">
      <c r="A578" s="1">
        <v>3115</v>
      </c>
      <c r="C578" s="1">
        <v>2.76</v>
      </c>
      <c r="D578" s="1">
        <v>2.76</v>
      </c>
      <c r="E578" s="1">
        <v>2.76</v>
      </c>
      <c r="F578" s="1">
        <v>2.76</v>
      </c>
      <c r="G578" s="1">
        <v>1.6</v>
      </c>
      <c r="H578" s="1">
        <v>1</v>
      </c>
      <c r="I578" s="1">
        <v>1</v>
      </c>
      <c r="J578" s="1">
        <v>0</v>
      </c>
      <c r="K578" s="1">
        <v>0</v>
      </c>
      <c r="L578" s="1">
        <v>0</v>
      </c>
      <c r="M578" s="1">
        <v>0</v>
      </c>
      <c r="N578" s="1">
        <v>1</v>
      </c>
      <c r="O578" s="1">
        <v>1</v>
      </c>
      <c r="P578" s="1">
        <v>1</v>
      </c>
      <c r="Q578" s="1">
        <v>1</v>
      </c>
      <c r="R578" s="1">
        <v>1</v>
      </c>
      <c r="S578" s="1">
        <v>1</v>
      </c>
      <c r="T578" s="1">
        <v>1</v>
      </c>
      <c r="U578" s="1">
        <v>1</v>
      </c>
      <c r="V578" s="1">
        <v>1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B578" s="1">
        <v>0</v>
      </c>
      <c r="AC578" s="1">
        <v>15</v>
      </c>
      <c r="AD578" s="1">
        <v>15</v>
      </c>
      <c r="AE578" s="1">
        <v>2.76</v>
      </c>
      <c r="AF578" s="1">
        <v>1</v>
      </c>
      <c r="AG578" s="1">
        <v>0</v>
      </c>
      <c r="AH578" s="1">
        <v>1</v>
      </c>
      <c r="AI578" s="1">
        <v>4</v>
      </c>
      <c r="AJ578" s="1">
        <v>1</v>
      </c>
      <c r="AK578" s="1">
        <v>0</v>
      </c>
      <c r="AL578" s="1">
        <v>1</v>
      </c>
      <c r="AM578" s="1">
        <v>1</v>
      </c>
      <c r="AN578" s="1">
        <v>2.8</v>
      </c>
    </row>
    <row r="579" spans="1:40">
      <c r="A579" s="1">
        <v>3116</v>
      </c>
      <c r="C579" s="1">
        <v>2.8839999999999999</v>
      </c>
      <c r="D579" s="1">
        <v>2.8839999999999999</v>
      </c>
      <c r="E579" s="1">
        <v>2.8839999999999999</v>
      </c>
      <c r="F579" s="1">
        <v>2.8839999999999999</v>
      </c>
      <c r="G579" s="1">
        <v>1.64</v>
      </c>
      <c r="H579" s="1">
        <v>1</v>
      </c>
      <c r="I579" s="1">
        <v>1</v>
      </c>
      <c r="J579" s="1">
        <v>0</v>
      </c>
      <c r="K579" s="1">
        <v>0</v>
      </c>
      <c r="L579" s="1">
        <v>0</v>
      </c>
      <c r="M579" s="1">
        <v>0</v>
      </c>
      <c r="N579" s="1">
        <v>1</v>
      </c>
      <c r="O579" s="1">
        <v>1</v>
      </c>
      <c r="P579" s="1">
        <v>1</v>
      </c>
      <c r="Q579" s="1">
        <v>1</v>
      </c>
      <c r="R579" s="1">
        <v>1</v>
      </c>
      <c r="S579" s="1">
        <v>1</v>
      </c>
      <c r="T579" s="1">
        <v>1</v>
      </c>
      <c r="U579" s="1">
        <v>1</v>
      </c>
      <c r="V579" s="1">
        <v>1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16</v>
      </c>
      <c r="AD579" s="1">
        <v>16</v>
      </c>
      <c r="AE579" s="1">
        <v>2.8839999999999999</v>
      </c>
      <c r="AF579" s="1">
        <v>1</v>
      </c>
      <c r="AG579" s="1">
        <v>0</v>
      </c>
      <c r="AH579" s="1">
        <v>1</v>
      </c>
      <c r="AI579" s="1">
        <v>4.2</v>
      </c>
      <c r="AJ579" s="1">
        <v>1</v>
      </c>
      <c r="AK579" s="1">
        <v>0</v>
      </c>
      <c r="AL579" s="1">
        <v>1</v>
      </c>
      <c r="AM579" s="1">
        <v>1</v>
      </c>
      <c r="AN579" s="1">
        <v>2.92</v>
      </c>
    </row>
    <row r="580" spans="1:40">
      <c r="A580" s="1">
        <v>3117</v>
      </c>
      <c r="C580" s="1">
        <v>3.008</v>
      </c>
      <c r="D580" s="1">
        <v>3.008</v>
      </c>
      <c r="E580" s="1">
        <v>3.008</v>
      </c>
      <c r="F580" s="1">
        <v>3.008</v>
      </c>
      <c r="G580" s="1">
        <v>1.68</v>
      </c>
      <c r="H580" s="1">
        <v>1</v>
      </c>
      <c r="I580" s="1">
        <v>1</v>
      </c>
      <c r="J580" s="1">
        <v>0</v>
      </c>
      <c r="K580" s="1">
        <v>0</v>
      </c>
      <c r="L580" s="1">
        <v>0</v>
      </c>
      <c r="M580" s="1">
        <v>0</v>
      </c>
      <c r="N580" s="1">
        <v>1</v>
      </c>
      <c r="O580" s="1">
        <v>1</v>
      </c>
      <c r="P580" s="1">
        <v>1</v>
      </c>
      <c r="Q580" s="1">
        <v>1</v>
      </c>
      <c r="R580" s="1">
        <v>1</v>
      </c>
      <c r="S580" s="1">
        <v>1</v>
      </c>
      <c r="T580" s="1">
        <v>1</v>
      </c>
      <c r="U580" s="1">
        <v>1</v>
      </c>
      <c r="V580" s="1">
        <v>1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17</v>
      </c>
      <c r="AD580" s="1">
        <v>17</v>
      </c>
      <c r="AE580" s="1">
        <v>3.008</v>
      </c>
      <c r="AF580" s="1">
        <v>1</v>
      </c>
      <c r="AG580" s="1">
        <v>0</v>
      </c>
      <c r="AH580" s="1">
        <v>1</v>
      </c>
      <c r="AI580" s="1">
        <v>4.4000000000000004</v>
      </c>
      <c r="AJ580" s="1">
        <v>1</v>
      </c>
      <c r="AK580" s="1">
        <v>0</v>
      </c>
      <c r="AL580" s="1">
        <v>1</v>
      </c>
      <c r="AM580" s="1">
        <v>1</v>
      </c>
      <c r="AN580" s="1">
        <v>3.04</v>
      </c>
    </row>
    <row r="581" spans="1:40">
      <c r="A581" s="1">
        <v>3118</v>
      </c>
      <c r="C581" s="1">
        <v>3.1320000000000001</v>
      </c>
      <c r="D581" s="1">
        <v>3.1320000000000001</v>
      </c>
      <c r="E581" s="1">
        <v>3.1320000000000001</v>
      </c>
      <c r="F581" s="1">
        <v>3.1320000000000001</v>
      </c>
      <c r="G581" s="1">
        <v>1.72</v>
      </c>
      <c r="H581" s="1">
        <v>1</v>
      </c>
      <c r="I581" s="1">
        <v>1</v>
      </c>
      <c r="J581" s="1">
        <v>0</v>
      </c>
      <c r="K581" s="1">
        <v>0</v>
      </c>
      <c r="L581" s="1">
        <v>0</v>
      </c>
      <c r="M581" s="1">
        <v>0</v>
      </c>
      <c r="N581" s="1">
        <v>1</v>
      </c>
      <c r="O581" s="1">
        <v>1</v>
      </c>
      <c r="P581" s="1">
        <v>1</v>
      </c>
      <c r="Q581" s="1">
        <v>1</v>
      </c>
      <c r="R581" s="1">
        <v>1</v>
      </c>
      <c r="S581" s="1">
        <v>1</v>
      </c>
      <c r="T581" s="1">
        <v>1</v>
      </c>
      <c r="U581" s="1">
        <v>1</v>
      </c>
      <c r="V581" s="1">
        <v>1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18</v>
      </c>
      <c r="AD581" s="1">
        <v>18</v>
      </c>
      <c r="AE581" s="1">
        <v>3.1320000000000001</v>
      </c>
      <c r="AF581" s="1">
        <v>1</v>
      </c>
      <c r="AG581" s="1">
        <v>0</v>
      </c>
      <c r="AH581" s="1">
        <v>1</v>
      </c>
      <c r="AI581" s="1">
        <v>4.5999999999999996</v>
      </c>
      <c r="AJ581" s="1">
        <v>1</v>
      </c>
      <c r="AK581" s="1">
        <v>0</v>
      </c>
      <c r="AL581" s="1">
        <v>1</v>
      </c>
      <c r="AM581" s="1">
        <v>1</v>
      </c>
      <c r="AN581" s="1">
        <v>3.16</v>
      </c>
    </row>
    <row r="582" spans="1:40">
      <c r="A582" s="1">
        <v>3119</v>
      </c>
      <c r="C582" s="1">
        <v>3.2559999999999998</v>
      </c>
      <c r="D582" s="1">
        <v>3.2559999999999998</v>
      </c>
      <c r="E582" s="1">
        <v>3.2559999999999998</v>
      </c>
      <c r="F582" s="1">
        <v>3.2559999999999998</v>
      </c>
      <c r="G582" s="1">
        <v>1.76</v>
      </c>
      <c r="H582" s="1">
        <v>1</v>
      </c>
      <c r="I582" s="1">
        <v>1</v>
      </c>
      <c r="J582" s="1">
        <v>0</v>
      </c>
      <c r="K582" s="1">
        <v>0</v>
      </c>
      <c r="L582" s="1">
        <v>0</v>
      </c>
      <c r="M582" s="1">
        <v>0</v>
      </c>
      <c r="N582" s="1">
        <v>1</v>
      </c>
      <c r="O582" s="1">
        <v>1</v>
      </c>
      <c r="P582" s="1">
        <v>1</v>
      </c>
      <c r="Q582" s="1">
        <v>1</v>
      </c>
      <c r="R582" s="1">
        <v>1</v>
      </c>
      <c r="S582" s="1">
        <v>1</v>
      </c>
      <c r="T582" s="1">
        <v>1</v>
      </c>
      <c r="U582" s="1">
        <v>1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19</v>
      </c>
      <c r="AD582" s="1">
        <v>19</v>
      </c>
      <c r="AE582" s="1">
        <v>3.2559999999999998</v>
      </c>
      <c r="AF582" s="1">
        <v>1</v>
      </c>
      <c r="AG582" s="1">
        <v>0</v>
      </c>
      <c r="AH582" s="1">
        <v>1</v>
      </c>
      <c r="AI582" s="1">
        <v>4.8</v>
      </c>
      <c r="AJ582" s="1">
        <v>1</v>
      </c>
      <c r="AK582" s="1">
        <v>0</v>
      </c>
      <c r="AL582" s="1">
        <v>1</v>
      </c>
      <c r="AM582" s="1">
        <v>1</v>
      </c>
      <c r="AN582" s="1">
        <v>3.28</v>
      </c>
    </row>
    <row r="583" spans="1:40">
      <c r="A583" s="1">
        <v>3120</v>
      </c>
      <c r="C583" s="1">
        <v>3.38</v>
      </c>
      <c r="D583" s="1">
        <v>3.38</v>
      </c>
      <c r="E583" s="1">
        <v>3.38</v>
      </c>
      <c r="F583" s="1">
        <v>3.38</v>
      </c>
      <c r="G583" s="1">
        <v>1.8</v>
      </c>
      <c r="H583" s="1">
        <v>1</v>
      </c>
      <c r="I583" s="1">
        <v>1</v>
      </c>
      <c r="J583" s="1">
        <v>0</v>
      </c>
      <c r="K583" s="1">
        <v>0</v>
      </c>
      <c r="L583" s="1">
        <v>0</v>
      </c>
      <c r="M583" s="1">
        <v>0</v>
      </c>
      <c r="N583" s="1">
        <v>1</v>
      </c>
      <c r="O583" s="1">
        <v>1</v>
      </c>
      <c r="P583" s="1">
        <v>1</v>
      </c>
      <c r="Q583" s="1">
        <v>1</v>
      </c>
      <c r="R583" s="1">
        <v>1</v>
      </c>
      <c r="S583" s="1">
        <v>1</v>
      </c>
      <c r="T583" s="1">
        <v>1</v>
      </c>
      <c r="U583" s="1">
        <v>1</v>
      </c>
      <c r="V583" s="1">
        <v>1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20</v>
      </c>
      <c r="AD583" s="1">
        <v>20</v>
      </c>
      <c r="AE583" s="1">
        <v>3.38</v>
      </c>
      <c r="AF583" s="1">
        <v>1</v>
      </c>
      <c r="AG583" s="1">
        <v>0</v>
      </c>
      <c r="AH583" s="1">
        <v>1</v>
      </c>
      <c r="AI583" s="1">
        <v>5</v>
      </c>
      <c r="AJ583" s="1">
        <v>1</v>
      </c>
      <c r="AK583" s="1">
        <v>0</v>
      </c>
      <c r="AL583" s="1">
        <v>1</v>
      </c>
      <c r="AM583" s="1">
        <v>1</v>
      </c>
      <c r="AN583" s="1">
        <v>3.4</v>
      </c>
    </row>
    <row r="584" spans="1:40">
      <c r="A584" s="1">
        <v>3121</v>
      </c>
      <c r="C584" s="1">
        <v>3.504</v>
      </c>
      <c r="D584" s="1">
        <v>3.504</v>
      </c>
      <c r="E584" s="1">
        <v>3.504</v>
      </c>
      <c r="F584" s="1">
        <v>3.504</v>
      </c>
      <c r="G584" s="1">
        <v>1.84</v>
      </c>
      <c r="H584" s="1">
        <v>1</v>
      </c>
      <c r="I584" s="1">
        <v>1</v>
      </c>
      <c r="J584" s="1">
        <v>0</v>
      </c>
      <c r="K584" s="1">
        <v>0</v>
      </c>
      <c r="L584" s="1">
        <v>0</v>
      </c>
      <c r="M584" s="1">
        <v>0</v>
      </c>
      <c r="N584" s="1">
        <v>1</v>
      </c>
      <c r="O584" s="1">
        <v>1</v>
      </c>
      <c r="P584" s="1">
        <v>1</v>
      </c>
      <c r="Q584" s="1">
        <v>1</v>
      </c>
      <c r="R584" s="1">
        <v>1</v>
      </c>
      <c r="S584" s="1">
        <v>1</v>
      </c>
      <c r="T584" s="1">
        <v>1</v>
      </c>
      <c r="U584" s="1">
        <v>1</v>
      </c>
      <c r="V584" s="1">
        <v>1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21</v>
      </c>
      <c r="AD584" s="1">
        <v>21</v>
      </c>
      <c r="AE584" s="1">
        <v>3.504</v>
      </c>
      <c r="AF584" s="1">
        <v>1</v>
      </c>
      <c r="AG584" s="1">
        <v>0</v>
      </c>
      <c r="AH584" s="1">
        <v>1</v>
      </c>
      <c r="AI584" s="1">
        <v>5.2</v>
      </c>
      <c r="AJ584" s="1">
        <v>1</v>
      </c>
      <c r="AK584" s="1">
        <v>0</v>
      </c>
      <c r="AL584" s="1">
        <v>1</v>
      </c>
      <c r="AM584" s="1">
        <v>1</v>
      </c>
      <c r="AN584" s="1">
        <v>3.52</v>
      </c>
    </row>
    <row r="585" spans="1:40">
      <c r="A585" s="1">
        <v>3122</v>
      </c>
      <c r="C585" s="1">
        <v>3.6280000000000001</v>
      </c>
      <c r="D585" s="1">
        <v>3.6280000000000001</v>
      </c>
      <c r="E585" s="1">
        <v>3.6280000000000001</v>
      </c>
      <c r="F585" s="1">
        <v>3.6280000000000001</v>
      </c>
      <c r="G585" s="1">
        <v>1.88</v>
      </c>
      <c r="H585" s="1">
        <v>1</v>
      </c>
      <c r="I585" s="1">
        <v>1</v>
      </c>
      <c r="J585" s="1">
        <v>0</v>
      </c>
      <c r="K585" s="1">
        <v>0</v>
      </c>
      <c r="L585" s="1">
        <v>0</v>
      </c>
      <c r="M585" s="1">
        <v>0</v>
      </c>
      <c r="N585" s="1">
        <v>1</v>
      </c>
      <c r="O585" s="1">
        <v>1</v>
      </c>
      <c r="P585" s="1">
        <v>1</v>
      </c>
      <c r="Q585" s="1">
        <v>1</v>
      </c>
      <c r="R585" s="1">
        <v>1</v>
      </c>
      <c r="S585" s="1">
        <v>1</v>
      </c>
      <c r="T585" s="1">
        <v>1</v>
      </c>
      <c r="U585" s="1">
        <v>1</v>
      </c>
      <c r="V585" s="1">
        <v>1</v>
      </c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22</v>
      </c>
      <c r="AD585" s="1">
        <v>22</v>
      </c>
      <c r="AE585" s="1">
        <v>3.6280000000000001</v>
      </c>
      <c r="AF585" s="1">
        <v>1</v>
      </c>
      <c r="AG585" s="1">
        <v>0</v>
      </c>
      <c r="AH585" s="1">
        <v>1</v>
      </c>
      <c r="AI585" s="1">
        <v>5.4</v>
      </c>
      <c r="AJ585" s="1">
        <v>1</v>
      </c>
      <c r="AK585" s="1">
        <v>0</v>
      </c>
      <c r="AL585" s="1">
        <v>1</v>
      </c>
      <c r="AM585" s="1">
        <v>1</v>
      </c>
      <c r="AN585" s="1">
        <v>3.64</v>
      </c>
    </row>
    <row r="586" spans="1:40">
      <c r="A586" s="1">
        <v>3123</v>
      </c>
      <c r="C586" s="1">
        <v>3.7519999999999998</v>
      </c>
      <c r="D586" s="1">
        <v>3.7519999999999998</v>
      </c>
      <c r="E586" s="1">
        <v>3.7519999999999998</v>
      </c>
      <c r="F586" s="1">
        <v>3.7519999999999998</v>
      </c>
      <c r="G586" s="1">
        <v>1.92</v>
      </c>
      <c r="H586" s="1">
        <v>1</v>
      </c>
      <c r="I586" s="1">
        <v>1</v>
      </c>
      <c r="J586" s="1">
        <v>0</v>
      </c>
      <c r="K586" s="1">
        <v>0</v>
      </c>
      <c r="L586" s="1">
        <v>0</v>
      </c>
      <c r="M586" s="1">
        <v>0</v>
      </c>
      <c r="N586" s="1">
        <v>1</v>
      </c>
      <c r="O586" s="1">
        <v>1</v>
      </c>
      <c r="P586" s="1">
        <v>1</v>
      </c>
      <c r="Q586" s="1">
        <v>1</v>
      </c>
      <c r="R586" s="1">
        <v>1</v>
      </c>
      <c r="S586" s="1">
        <v>1</v>
      </c>
      <c r="T586" s="1">
        <v>1</v>
      </c>
      <c r="U586" s="1">
        <v>1</v>
      </c>
      <c r="V586" s="1">
        <v>1</v>
      </c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23</v>
      </c>
      <c r="AD586" s="1">
        <v>23</v>
      </c>
      <c r="AE586" s="1">
        <v>3.7519999999999998</v>
      </c>
      <c r="AF586" s="1">
        <v>1</v>
      </c>
      <c r="AG586" s="1">
        <v>0</v>
      </c>
      <c r="AH586" s="1">
        <v>1</v>
      </c>
      <c r="AI586" s="1">
        <v>5.6</v>
      </c>
      <c r="AJ586" s="1">
        <v>1</v>
      </c>
      <c r="AK586" s="1">
        <v>0</v>
      </c>
      <c r="AL586" s="1">
        <v>1</v>
      </c>
      <c r="AM586" s="1">
        <v>1</v>
      </c>
      <c r="AN586" s="1">
        <v>3.76</v>
      </c>
    </row>
    <row r="587" spans="1:40">
      <c r="A587" s="1">
        <v>3124</v>
      </c>
      <c r="C587" s="1">
        <v>3.8759999999999999</v>
      </c>
      <c r="D587" s="1">
        <v>3.8759999999999999</v>
      </c>
      <c r="E587" s="1">
        <v>3.8759999999999999</v>
      </c>
      <c r="F587" s="1">
        <v>3.8759999999999999</v>
      </c>
      <c r="G587" s="1">
        <v>1.96</v>
      </c>
      <c r="H587" s="1">
        <v>1</v>
      </c>
      <c r="I587" s="1">
        <v>1</v>
      </c>
      <c r="J587" s="1">
        <v>0</v>
      </c>
      <c r="K587" s="1">
        <v>0</v>
      </c>
      <c r="L587" s="1">
        <v>0</v>
      </c>
      <c r="M587" s="1">
        <v>0</v>
      </c>
      <c r="N587" s="1">
        <v>1</v>
      </c>
      <c r="O587" s="1">
        <v>1</v>
      </c>
      <c r="P587" s="1">
        <v>1</v>
      </c>
      <c r="Q587" s="1">
        <v>1</v>
      </c>
      <c r="R587" s="1">
        <v>1</v>
      </c>
      <c r="S587" s="1">
        <v>1</v>
      </c>
      <c r="T587" s="1">
        <v>1</v>
      </c>
      <c r="U587" s="1">
        <v>1</v>
      </c>
      <c r="V587" s="1">
        <v>1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24</v>
      </c>
      <c r="AD587" s="1">
        <v>24</v>
      </c>
      <c r="AE587" s="1">
        <v>3.8759999999999999</v>
      </c>
      <c r="AF587" s="1">
        <v>1</v>
      </c>
      <c r="AG587" s="1">
        <v>0</v>
      </c>
      <c r="AH587" s="1">
        <v>1</v>
      </c>
      <c r="AI587" s="1">
        <v>5.8</v>
      </c>
      <c r="AJ587" s="1">
        <v>1</v>
      </c>
      <c r="AK587" s="1">
        <v>0</v>
      </c>
      <c r="AL587" s="1">
        <v>1</v>
      </c>
      <c r="AM587" s="1">
        <v>1</v>
      </c>
      <c r="AN587" s="1">
        <v>3.88</v>
      </c>
    </row>
    <row r="588" spans="1:40">
      <c r="A588" s="1">
        <v>3125</v>
      </c>
      <c r="C588" s="1">
        <v>4</v>
      </c>
      <c r="D588" s="1">
        <v>4</v>
      </c>
      <c r="E588" s="1">
        <v>4</v>
      </c>
      <c r="F588" s="1">
        <v>4</v>
      </c>
      <c r="G588" s="1">
        <v>2</v>
      </c>
      <c r="H588" s="1">
        <v>1</v>
      </c>
      <c r="I588" s="1">
        <v>1</v>
      </c>
      <c r="J588" s="1">
        <v>0</v>
      </c>
      <c r="K588" s="1">
        <v>0</v>
      </c>
      <c r="L588" s="1">
        <v>0</v>
      </c>
      <c r="M588" s="1">
        <v>0</v>
      </c>
      <c r="N588" s="1">
        <v>1</v>
      </c>
      <c r="O588" s="1">
        <v>1</v>
      </c>
      <c r="P588" s="1">
        <v>1</v>
      </c>
      <c r="Q588" s="1">
        <v>1</v>
      </c>
      <c r="R588" s="1">
        <v>1</v>
      </c>
      <c r="S588" s="1">
        <v>1</v>
      </c>
      <c r="T588" s="1">
        <v>1</v>
      </c>
      <c r="U588" s="1">
        <v>1</v>
      </c>
      <c r="V588" s="1">
        <v>1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25</v>
      </c>
      <c r="AD588" s="1">
        <v>25</v>
      </c>
      <c r="AE588" s="1">
        <v>4</v>
      </c>
      <c r="AF588" s="1">
        <v>1</v>
      </c>
      <c r="AG588" s="1">
        <v>0</v>
      </c>
      <c r="AH588" s="1">
        <v>1</v>
      </c>
      <c r="AI588" s="1">
        <v>6</v>
      </c>
      <c r="AJ588" s="1">
        <v>1</v>
      </c>
      <c r="AK588" s="1">
        <v>0</v>
      </c>
      <c r="AL588" s="1">
        <v>1</v>
      </c>
      <c r="AM588" s="1">
        <v>1</v>
      </c>
      <c r="AN588" s="1">
        <v>4</v>
      </c>
    </row>
    <row r="589" spans="1:40">
      <c r="A589" s="1">
        <v>3200</v>
      </c>
      <c r="C589" s="1">
        <v>1</v>
      </c>
      <c r="D589" s="1">
        <v>1</v>
      </c>
      <c r="E589" s="1">
        <v>1</v>
      </c>
      <c r="F589" s="1">
        <v>1</v>
      </c>
      <c r="G589" s="1">
        <v>1</v>
      </c>
      <c r="H589" s="1">
        <v>1</v>
      </c>
      <c r="I589" s="1">
        <v>1</v>
      </c>
      <c r="J589" s="1">
        <v>0</v>
      </c>
      <c r="K589" s="1">
        <v>0</v>
      </c>
      <c r="L589" s="1">
        <v>0</v>
      </c>
      <c r="M589" s="1">
        <v>0</v>
      </c>
      <c r="N589" s="1">
        <v>1</v>
      </c>
      <c r="O589" s="1">
        <v>1</v>
      </c>
      <c r="P589" s="1">
        <v>1</v>
      </c>
      <c r="Q589" s="1">
        <v>1</v>
      </c>
      <c r="R589" s="1">
        <v>1</v>
      </c>
      <c r="S589" s="1">
        <v>1</v>
      </c>
      <c r="T589" s="1">
        <v>1</v>
      </c>
      <c r="U589" s="1">
        <v>1</v>
      </c>
      <c r="V589" s="1">
        <v>1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1</v>
      </c>
      <c r="AF589" s="1">
        <v>1</v>
      </c>
      <c r="AG589" s="1">
        <v>0</v>
      </c>
      <c r="AH589" s="1">
        <v>1</v>
      </c>
      <c r="AI589" s="1">
        <v>1</v>
      </c>
      <c r="AJ589" s="1">
        <v>1</v>
      </c>
      <c r="AK589" s="1">
        <v>0</v>
      </c>
      <c r="AL589" s="1">
        <v>1</v>
      </c>
      <c r="AM589" s="1">
        <v>1</v>
      </c>
      <c r="AN589" s="1">
        <v>1</v>
      </c>
    </row>
    <row r="590" spans="1:40">
      <c r="A590" s="1">
        <v>3201</v>
      </c>
      <c r="C590" s="1">
        <v>1.25</v>
      </c>
      <c r="D590" s="1">
        <v>1.25</v>
      </c>
      <c r="E590" s="1">
        <v>1.25</v>
      </c>
      <c r="F590" s="1">
        <v>1.25</v>
      </c>
      <c r="G590" s="1">
        <v>1.1000000000000001</v>
      </c>
      <c r="H590" s="1">
        <v>1</v>
      </c>
      <c r="I590" s="1">
        <v>1</v>
      </c>
      <c r="J590" s="1">
        <v>0</v>
      </c>
      <c r="K590" s="1">
        <v>0</v>
      </c>
      <c r="L590" s="1">
        <v>0</v>
      </c>
      <c r="M590" s="1">
        <v>0</v>
      </c>
      <c r="N590" s="1">
        <v>1</v>
      </c>
      <c r="O590" s="1">
        <v>1</v>
      </c>
      <c r="P590" s="1">
        <v>1</v>
      </c>
      <c r="Q590" s="1">
        <v>1</v>
      </c>
      <c r="R590" s="1">
        <v>1</v>
      </c>
      <c r="S590" s="1">
        <v>1</v>
      </c>
      <c r="T590" s="1">
        <v>1</v>
      </c>
      <c r="U590" s="1">
        <v>1</v>
      </c>
      <c r="V590" s="1">
        <v>1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1</v>
      </c>
      <c r="AD590" s="1">
        <v>2</v>
      </c>
      <c r="AE590" s="1">
        <v>1.25</v>
      </c>
      <c r="AF590" s="1">
        <v>1</v>
      </c>
      <c r="AG590" s="1">
        <v>0</v>
      </c>
      <c r="AH590" s="1">
        <v>1</v>
      </c>
      <c r="AI590" s="1">
        <v>1</v>
      </c>
      <c r="AJ590" s="1">
        <v>1</v>
      </c>
      <c r="AK590" s="1">
        <v>0</v>
      </c>
      <c r="AL590" s="1">
        <v>1</v>
      </c>
      <c r="AM590" s="1">
        <v>1</v>
      </c>
      <c r="AN590" s="1">
        <v>1.3</v>
      </c>
    </row>
    <row r="591" spans="1:40">
      <c r="A591" s="1">
        <v>3202</v>
      </c>
      <c r="C591" s="1">
        <v>1.5</v>
      </c>
      <c r="D591" s="1">
        <v>1.5</v>
      </c>
      <c r="E591" s="1">
        <v>1.5</v>
      </c>
      <c r="F591" s="1">
        <v>1.5</v>
      </c>
      <c r="G591" s="1">
        <v>1.2</v>
      </c>
      <c r="H591" s="1">
        <v>1</v>
      </c>
      <c r="I591" s="1">
        <v>1</v>
      </c>
      <c r="J591" s="1">
        <v>0</v>
      </c>
      <c r="K591" s="1">
        <v>0</v>
      </c>
      <c r="L591" s="1">
        <v>0</v>
      </c>
      <c r="M591" s="1">
        <v>0</v>
      </c>
      <c r="N591" s="1">
        <v>1</v>
      </c>
      <c r="O591" s="1">
        <v>1</v>
      </c>
      <c r="P591" s="1">
        <v>1</v>
      </c>
      <c r="Q591" s="1">
        <v>1</v>
      </c>
      <c r="R591" s="1">
        <v>1</v>
      </c>
      <c r="S591" s="1">
        <v>1</v>
      </c>
      <c r="T591" s="1">
        <v>1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2</v>
      </c>
      <c r="AD591" s="1">
        <v>5</v>
      </c>
      <c r="AE591" s="1">
        <v>1.5</v>
      </c>
      <c r="AF591" s="1">
        <v>1</v>
      </c>
      <c r="AG591" s="1">
        <v>0</v>
      </c>
      <c r="AH591" s="1">
        <v>1</v>
      </c>
      <c r="AI591" s="1">
        <v>1.2</v>
      </c>
      <c r="AJ591" s="1">
        <v>1</v>
      </c>
      <c r="AK591" s="1">
        <v>0</v>
      </c>
      <c r="AL591" s="1">
        <v>1</v>
      </c>
      <c r="AM591" s="1">
        <v>1</v>
      </c>
      <c r="AN591" s="1">
        <v>1.6</v>
      </c>
    </row>
    <row r="592" spans="1:40">
      <c r="A592" s="1">
        <v>3203</v>
      </c>
      <c r="C592" s="1">
        <v>1.75</v>
      </c>
      <c r="D592" s="1">
        <v>1.75</v>
      </c>
      <c r="E592" s="1">
        <v>1.75</v>
      </c>
      <c r="F592" s="1">
        <v>1.75</v>
      </c>
      <c r="G592" s="1">
        <v>1.3</v>
      </c>
      <c r="H592" s="1">
        <v>1</v>
      </c>
      <c r="I592" s="1">
        <v>1</v>
      </c>
      <c r="J592" s="1">
        <v>0</v>
      </c>
      <c r="K592" s="1">
        <v>0</v>
      </c>
      <c r="L592" s="1">
        <v>0</v>
      </c>
      <c r="M592" s="1">
        <v>0</v>
      </c>
      <c r="N592" s="1">
        <v>1</v>
      </c>
      <c r="O592" s="1">
        <v>1</v>
      </c>
      <c r="P592" s="1">
        <v>1</v>
      </c>
      <c r="Q592" s="1">
        <v>1</v>
      </c>
      <c r="R592" s="1">
        <v>1</v>
      </c>
      <c r="S592" s="1">
        <v>1</v>
      </c>
      <c r="T592" s="1">
        <v>1</v>
      </c>
      <c r="U592" s="1">
        <v>1</v>
      </c>
      <c r="V592" s="1">
        <v>1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3</v>
      </c>
      <c r="AD592" s="1">
        <v>7</v>
      </c>
      <c r="AE592" s="1">
        <v>1.75</v>
      </c>
      <c r="AF592" s="1">
        <v>1</v>
      </c>
      <c r="AG592" s="1">
        <v>0</v>
      </c>
      <c r="AH592" s="1">
        <v>1</v>
      </c>
      <c r="AI592" s="1">
        <v>1.4</v>
      </c>
      <c r="AJ592" s="1">
        <v>1</v>
      </c>
      <c r="AK592" s="1">
        <v>0</v>
      </c>
      <c r="AL592" s="1">
        <v>1</v>
      </c>
      <c r="AM592" s="1">
        <v>1</v>
      </c>
      <c r="AN592" s="1">
        <v>1.9</v>
      </c>
    </row>
    <row r="593" spans="1:40">
      <c r="A593" s="1">
        <v>3204</v>
      </c>
      <c r="C593" s="1">
        <v>2</v>
      </c>
      <c r="D593" s="1">
        <v>2</v>
      </c>
      <c r="E593" s="1">
        <v>2</v>
      </c>
      <c r="F593" s="1">
        <v>2</v>
      </c>
      <c r="G593" s="1">
        <v>1.4</v>
      </c>
      <c r="H593" s="1">
        <v>1</v>
      </c>
      <c r="I593" s="1">
        <v>1</v>
      </c>
      <c r="J593" s="1">
        <v>0</v>
      </c>
      <c r="K593" s="1">
        <v>0</v>
      </c>
      <c r="L593" s="1">
        <v>0</v>
      </c>
      <c r="M593" s="1">
        <v>0</v>
      </c>
      <c r="N593" s="1">
        <v>1</v>
      </c>
      <c r="O593" s="1">
        <v>1</v>
      </c>
      <c r="P593" s="1">
        <v>1</v>
      </c>
      <c r="Q593" s="1">
        <v>1</v>
      </c>
      <c r="R593" s="1">
        <v>1</v>
      </c>
      <c r="S593" s="1">
        <v>1</v>
      </c>
      <c r="T593" s="1">
        <v>1</v>
      </c>
      <c r="U593" s="1">
        <v>1</v>
      </c>
      <c r="V593" s="1">
        <v>1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4</v>
      </c>
      <c r="AD593" s="1">
        <v>10</v>
      </c>
      <c r="AE593" s="1">
        <v>2</v>
      </c>
      <c r="AF593" s="1">
        <v>1</v>
      </c>
      <c r="AG593" s="1">
        <v>0</v>
      </c>
      <c r="AH593" s="1">
        <v>1</v>
      </c>
      <c r="AI593" s="1">
        <v>1.6</v>
      </c>
      <c r="AJ593" s="1">
        <v>1</v>
      </c>
      <c r="AK593" s="1">
        <v>0</v>
      </c>
      <c r="AL593" s="1">
        <v>1</v>
      </c>
      <c r="AM593" s="1">
        <v>1</v>
      </c>
      <c r="AN593" s="1">
        <v>2.2000000000000002</v>
      </c>
    </row>
    <row r="594" spans="1:40">
      <c r="A594" s="1">
        <v>3205</v>
      </c>
      <c r="C594" s="1">
        <v>2.25</v>
      </c>
      <c r="D594" s="1">
        <v>2.25</v>
      </c>
      <c r="E594" s="1">
        <v>2.25</v>
      </c>
      <c r="F594" s="1">
        <v>2.25</v>
      </c>
      <c r="G594" s="1">
        <v>1.5</v>
      </c>
      <c r="H594" s="1">
        <v>1</v>
      </c>
      <c r="I594" s="1">
        <v>1</v>
      </c>
      <c r="J594" s="1">
        <v>0</v>
      </c>
      <c r="K594" s="1">
        <v>0</v>
      </c>
      <c r="L594" s="1">
        <v>0</v>
      </c>
      <c r="M594" s="1">
        <v>0</v>
      </c>
      <c r="N594" s="1">
        <v>1</v>
      </c>
      <c r="O594" s="1">
        <v>1</v>
      </c>
      <c r="P594" s="1">
        <v>1</v>
      </c>
      <c r="Q594" s="1">
        <v>1</v>
      </c>
      <c r="R594" s="1">
        <v>1</v>
      </c>
      <c r="S594" s="1">
        <v>1</v>
      </c>
      <c r="T594" s="1">
        <v>1</v>
      </c>
      <c r="U594" s="1">
        <v>1</v>
      </c>
      <c r="V594" s="1">
        <v>1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v>5</v>
      </c>
      <c r="AD594" s="1">
        <v>12</v>
      </c>
      <c r="AE594" s="1">
        <v>2.25</v>
      </c>
      <c r="AF594" s="1">
        <v>1</v>
      </c>
      <c r="AG594" s="1">
        <v>0</v>
      </c>
      <c r="AH594" s="1">
        <v>1</v>
      </c>
      <c r="AI594" s="1">
        <v>1.8</v>
      </c>
      <c r="AJ594" s="1">
        <v>1</v>
      </c>
      <c r="AK594" s="1">
        <v>0</v>
      </c>
      <c r="AL594" s="1">
        <v>1</v>
      </c>
      <c r="AM594" s="1">
        <v>1</v>
      </c>
      <c r="AN594" s="1">
        <v>2.5</v>
      </c>
    </row>
    <row r="595" spans="1:40">
      <c r="A595" s="1">
        <v>3206</v>
      </c>
      <c r="C595" s="1">
        <v>2.5</v>
      </c>
      <c r="D595" s="1">
        <v>2.5</v>
      </c>
      <c r="E595" s="1">
        <v>2.5</v>
      </c>
      <c r="F595" s="1">
        <v>2.5</v>
      </c>
      <c r="G595" s="1">
        <v>1.6</v>
      </c>
      <c r="H595" s="1">
        <v>1</v>
      </c>
      <c r="I595" s="1">
        <v>1</v>
      </c>
      <c r="J595" s="1">
        <v>0</v>
      </c>
      <c r="K595" s="1">
        <v>0</v>
      </c>
      <c r="L595" s="1">
        <v>0</v>
      </c>
      <c r="M595" s="1">
        <v>0</v>
      </c>
      <c r="N595" s="1">
        <v>1</v>
      </c>
      <c r="O595" s="1">
        <v>1</v>
      </c>
      <c r="P595" s="1">
        <v>1</v>
      </c>
      <c r="Q595" s="1">
        <v>1</v>
      </c>
      <c r="R595" s="1">
        <v>1</v>
      </c>
      <c r="S595" s="1">
        <v>1</v>
      </c>
      <c r="T595" s="1">
        <v>1</v>
      </c>
      <c r="U595" s="1">
        <v>1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6</v>
      </c>
      <c r="AD595" s="1">
        <v>15</v>
      </c>
      <c r="AE595" s="1">
        <v>2.5</v>
      </c>
      <c r="AF595" s="1">
        <v>1</v>
      </c>
      <c r="AG595" s="1">
        <v>0</v>
      </c>
      <c r="AH595" s="1">
        <v>1</v>
      </c>
      <c r="AI595" s="1">
        <v>2</v>
      </c>
      <c r="AJ595" s="1">
        <v>1</v>
      </c>
      <c r="AK595" s="1">
        <v>0</v>
      </c>
      <c r="AL595" s="1">
        <v>1</v>
      </c>
      <c r="AM595" s="1">
        <v>1</v>
      </c>
      <c r="AN595" s="1">
        <v>2.8</v>
      </c>
    </row>
    <row r="596" spans="1:40">
      <c r="A596" s="1">
        <v>3207</v>
      </c>
      <c r="C596" s="1">
        <v>2.75</v>
      </c>
      <c r="D596" s="1">
        <v>2.75</v>
      </c>
      <c r="E596" s="1">
        <v>2.75</v>
      </c>
      <c r="F596" s="1">
        <v>2.75</v>
      </c>
      <c r="G596" s="1">
        <v>1.7</v>
      </c>
      <c r="H596" s="1">
        <v>1</v>
      </c>
      <c r="I596" s="1">
        <v>1</v>
      </c>
      <c r="J596" s="1">
        <v>0</v>
      </c>
      <c r="K596" s="1">
        <v>0</v>
      </c>
      <c r="L596" s="1">
        <v>0</v>
      </c>
      <c r="M596" s="1">
        <v>0</v>
      </c>
      <c r="N596" s="1">
        <v>1</v>
      </c>
      <c r="O596" s="1">
        <v>1</v>
      </c>
      <c r="P596" s="1">
        <v>1</v>
      </c>
      <c r="Q596" s="1">
        <v>1</v>
      </c>
      <c r="R596" s="1">
        <v>1</v>
      </c>
      <c r="S596" s="1">
        <v>1</v>
      </c>
      <c r="T596" s="1">
        <v>1</v>
      </c>
      <c r="U596" s="1">
        <v>1</v>
      </c>
      <c r="V596" s="1">
        <v>1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7</v>
      </c>
      <c r="AD596" s="1">
        <v>17</v>
      </c>
      <c r="AE596" s="1">
        <v>2.75</v>
      </c>
      <c r="AF596" s="1">
        <v>1</v>
      </c>
      <c r="AG596" s="1">
        <v>0</v>
      </c>
      <c r="AH596" s="1">
        <v>1</v>
      </c>
      <c r="AI596" s="1">
        <v>2.2000000000000002</v>
      </c>
      <c r="AJ596" s="1">
        <v>1</v>
      </c>
      <c r="AK596" s="1">
        <v>0</v>
      </c>
      <c r="AL596" s="1">
        <v>1</v>
      </c>
      <c r="AM596" s="1">
        <v>1</v>
      </c>
      <c r="AN596" s="1">
        <v>3.1</v>
      </c>
    </row>
    <row r="597" spans="1:40">
      <c r="A597" s="1">
        <v>3208</v>
      </c>
      <c r="C597" s="1">
        <v>3</v>
      </c>
      <c r="D597" s="1">
        <v>3</v>
      </c>
      <c r="E597" s="1">
        <v>3</v>
      </c>
      <c r="F597" s="1">
        <v>3</v>
      </c>
      <c r="G597" s="1">
        <v>1.8</v>
      </c>
      <c r="H597" s="1">
        <v>1</v>
      </c>
      <c r="I597" s="1">
        <v>1</v>
      </c>
      <c r="J597" s="1">
        <v>0</v>
      </c>
      <c r="K597" s="1">
        <v>0</v>
      </c>
      <c r="L597" s="1">
        <v>0</v>
      </c>
      <c r="M597" s="1">
        <v>0</v>
      </c>
      <c r="N597" s="1">
        <v>1</v>
      </c>
      <c r="O597" s="1">
        <v>1</v>
      </c>
      <c r="P597" s="1">
        <v>1</v>
      </c>
      <c r="Q597" s="1">
        <v>1</v>
      </c>
      <c r="R597" s="1">
        <v>1</v>
      </c>
      <c r="S597" s="1">
        <v>1</v>
      </c>
      <c r="T597" s="1">
        <v>1</v>
      </c>
      <c r="U597" s="1">
        <v>1</v>
      </c>
      <c r="V597" s="1">
        <v>1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8</v>
      </c>
      <c r="AD597" s="1">
        <v>20</v>
      </c>
      <c r="AE597" s="1">
        <v>3</v>
      </c>
      <c r="AF597" s="1">
        <v>1</v>
      </c>
      <c r="AG597" s="1">
        <v>0</v>
      </c>
      <c r="AH597" s="1">
        <v>1</v>
      </c>
      <c r="AI597" s="1">
        <v>2.4</v>
      </c>
      <c r="AJ597" s="1">
        <v>1</v>
      </c>
      <c r="AK597" s="1">
        <v>0</v>
      </c>
      <c r="AL597" s="1">
        <v>1</v>
      </c>
      <c r="AM597" s="1">
        <v>1</v>
      </c>
      <c r="AN597" s="1">
        <v>3.4</v>
      </c>
    </row>
    <row r="598" spans="1:40">
      <c r="A598" s="1">
        <v>3209</v>
      </c>
      <c r="C598" s="1">
        <v>3.25</v>
      </c>
      <c r="D598" s="1">
        <v>3.25</v>
      </c>
      <c r="E598" s="1">
        <v>3.25</v>
      </c>
      <c r="F598" s="1">
        <v>3.25</v>
      </c>
      <c r="G598" s="1">
        <v>1.9</v>
      </c>
      <c r="H598" s="1">
        <v>1</v>
      </c>
      <c r="I598" s="1">
        <v>1</v>
      </c>
      <c r="J598" s="1">
        <v>0</v>
      </c>
      <c r="K598" s="1">
        <v>0</v>
      </c>
      <c r="L598" s="1">
        <v>0</v>
      </c>
      <c r="M598" s="1">
        <v>0</v>
      </c>
      <c r="N598" s="1">
        <v>1</v>
      </c>
      <c r="O598" s="1">
        <v>1</v>
      </c>
      <c r="P598" s="1">
        <v>1</v>
      </c>
      <c r="Q598" s="1">
        <v>1</v>
      </c>
      <c r="R598" s="1">
        <v>1</v>
      </c>
      <c r="S598" s="1">
        <v>1</v>
      </c>
      <c r="T598" s="1">
        <v>1</v>
      </c>
      <c r="U598" s="1">
        <v>1</v>
      </c>
      <c r="V598" s="1">
        <v>1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9</v>
      </c>
      <c r="AD598" s="1">
        <v>22</v>
      </c>
      <c r="AE598" s="1">
        <v>3.25</v>
      </c>
      <c r="AF598" s="1">
        <v>1</v>
      </c>
      <c r="AG598" s="1">
        <v>0</v>
      </c>
      <c r="AH598" s="1">
        <v>1</v>
      </c>
      <c r="AI598" s="1">
        <v>2.6</v>
      </c>
      <c r="AJ598" s="1">
        <v>1</v>
      </c>
      <c r="AK598" s="1">
        <v>0</v>
      </c>
      <c r="AL598" s="1">
        <v>1</v>
      </c>
      <c r="AM598" s="1">
        <v>1</v>
      </c>
      <c r="AN598" s="1">
        <v>3.7</v>
      </c>
    </row>
    <row r="599" spans="1:40">
      <c r="A599" s="1">
        <v>3210</v>
      </c>
      <c r="C599" s="1">
        <v>3.5</v>
      </c>
      <c r="D599" s="1">
        <v>3.5</v>
      </c>
      <c r="E599" s="1">
        <v>3.5</v>
      </c>
      <c r="F599" s="1">
        <v>3.5</v>
      </c>
      <c r="G599" s="1">
        <v>2</v>
      </c>
      <c r="H599" s="1">
        <v>1</v>
      </c>
      <c r="I599" s="1">
        <v>1</v>
      </c>
      <c r="J599" s="1">
        <v>0</v>
      </c>
      <c r="K599" s="1">
        <v>0</v>
      </c>
      <c r="L599" s="1">
        <v>0</v>
      </c>
      <c r="M599" s="1">
        <v>0</v>
      </c>
      <c r="N599" s="1">
        <v>1</v>
      </c>
      <c r="O599" s="1">
        <v>1</v>
      </c>
      <c r="P599" s="1">
        <v>1</v>
      </c>
      <c r="Q599" s="1">
        <v>1</v>
      </c>
      <c r="R599" s="1">
        <v>1</v>
      </c>
      <c r="S599" s="1">
        <v>1</v>
      </c>
      <c r="T599" s="1">
        <v>1</v>
      </c>
      <c r="U599" s="1">
        <v>1</v>
      </c>
      <c r="V599" s="1">
        <v>1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10</v>
      </c>
      <c r="AD599" s="1">
        <v>25</v>
      </c>
      <c r="AE599" s="1">
        <v>3.5</v>
      </c>
      <c r="AF599" s="1">
        <v>1</v>
      </c>
      <c r="AG599" s="1">
        <v>0</v>
      </c>
      <c r="AH599" s="1">
        <v>1</v>
      </c>
      <c r="AI599" s="1">
        <v>3</v>
      </c>
      <c r="AJ599" s="1">
        <v>1</v>
      </c>
      <c r="AK599" s="1">
        <v>0</v>
      </c>
      <c r="AL599" s="1">
        <v>1</v>
      </c>
      <c r="AM599" s="1">
        <v>1</v>
      </c>
      <c r="AN599" s="1">
        <v>4</v>
      </c>
    </row>
    <row r="600" spans="1:40">
      <c r="A600" s="1">
        <v>3300</v>
      </c>
      <c r="C600" s="1">
        <v>1</v>
      </c>
      <c r="D600" s="1">
        <v>1</v>
      </c>
      <c r="E600" s="1">
        <v>1</v>
      </c>
      <c r="F600" s="1">
        <v>1</v>
      </c>
      <c r="G600" s="1">
        <v>1</v>
      </c>
      <c r="H600" s="1">
        <v>1</v>
      </c>
      <c r="I600" s="1">
        <v>1</v>
      </c>
      <c r="J600" s="1">
        <v>0</v>
      </c>
      <c r="K600" s="1">
        <v>0</v>
      </c>
      <c r="L600" s="1">
        <v>0</v>
      </c>
      <c r="M600" s="1">
        <v>0</v>
      </c>
      <c r="N600" s="1">
        <v>1</v>
      </c>
      <c r="O600" s="1">
        <v>1</v>
      </c>
      <c r="P600" s="1">
        <v>1</v>
      </c>
      <c r="Q600" s="1">
        <v>1</v>
      </c>
      <c r="R600" s="1">
        <v>1</v>
      </c>
      <c r="S600" s="1">
        <v>1</v>
      </c>
      <c r="T600" s="1">
        <v>1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1</v>
      </c>
      <c r="AF600" s="1">
        <v>1</v>
      </c>
      <c r="AG600" s="1">
        <v>0</v>
      </c>
      <c r="AH600" s="1">
        <v>1</v>
      </c>
      <c r="AI600" s="1">
        <v>1</v>
      </c>
      <c r="AJ600" s="1">
        <v>1</v>
      </c>
      <c r="AK600" s="1">
        <v>0</v>
      </c>
      <c r="AL600" s="1">
        <v>1</v>
      </c>
      <c r="AM600" s="1">
        <v>1</v>
      </c>
      <c r="AN600" s="1">
        <v>1</v>
      </c>
    </row>
    <row r="601" spans="1:40">
      <c r="A601" s="1">
        <v>3301</v>
      </c>
      <c r="C601" s="1">
        <v>1.125</v>
      </c>
      <c r="D601" s="1">
        <v>1.125</v>
      </c>
      <c r="E601" s="1">
        <v>1.125</v>
      </c>
      <c r="F601" s="1">
        <v>1.125</v>
      </c>
      <c r="G601" s="1">
        <v>1.1000000000000001</v>
      </c>
      <c r="H601" s="1">
        <v>1</v>
      </c>
      <c r="I601" s="1">
        <v>1</v>
      </c>
      <c r="J601" s="1">
        <v>0</v>
      </c>
      <c r="K601" s="1">
        <v>0</v>
      </c>
      <c r="L601" s="1">
        <v>0</v>
      </c>
      <c r="M601" s="1">
        <v>0</v>
      </c>
      <c r="N601" s="1">
        <v>1</v>
      </c>
      <c r="O601" s="1">
        <v>1</v>
      </c>
      <c r="P601" s="1">
        <v>1</v>
      </c>
      <c r="Q601" s="1">
        <v>1</v>
      </c>
      <c r="R601" s="1">
        <v>1</v>
      </c>
      <c r="S601" s="1">
        <v>1</v>
      </c>
      <c r="T601" s="1">
        <v>1</v>
      </c>
      <c r="U601" s="1">
        <v>1</v>
      </c>
      <c r="V601" s="1">
        <v>1</v>
      </c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1</v>
      </c>
      <c r="AD601" s="1">
        <v>2</v>
      </c>
      <c r="AE601" s="1">
        <v>1.125</v>
      </c>
      <c r="AF601" s="1">
        <v>1</v>
      </c>
      <c r="AG601" s="1">
        <v>0</v>
      </c>
      <c r="AH601" s="1">
        <v>1</v>
      </c>
      <c r="AI601" s="1">
        <v>1</v>
      </c>
      <c r="AJ601" s="1">
        <v>1</v>
      </c>
      <c r="AK601" s="1">
        <v>0</v>
      </c>
      <c r="AL601" s="1">
        <v>1</v>
      </c>
      <c r="AM601" s="1">
        <v>1</v>
      </c>
      <c r="AN601" s="1">
        <v>1.3</v>
      </c>
    </row>
    <row r="602" spans="1:40">
      <c r="A602" s="1">
        <v>3302</v>
      </c>
      <c r="C602" s="1">
        <v>1.25</v>
      </c>
      <c r="D602" s="1">
        <v>1.25</v>
      </c>
      <c r="E602" s="1">
        <v>1.25</v>
      </c>
      <c r="F602" s="1">
        <v>1.25</v>
      </c>
      <c r="G602" s="1">
        <v>1.2</v>
      </c>
      <c r="H602" s="1">
        <v>1</v>
      </c>
      <c r="I602" s="1">
        <v>1</v>
      </c>
      <c r="J602" s="1">
        <v>0</v>
      </c>
      <c r="K602" s="1">
        <v>0</v>
      </c>
      <c r="L602" s="1">
        <v>0</v>
      </c>
      <c r="M602" s="1">
        <v>0</v>
      </c>
      <c r="N602" s="1">
        <v>1</v>
      </c>
      <c r="O602" s="1">
        <v>1</v>
      </c>
      <c r="P602" s="1">
        <v>1</v>
      </c>
      <c r="Q602" s="1">
        <v>1</v>
      </c>
      <c r="R602" s="1">
        <v>1</v>
      </c>
      <c r="S602" s="1">
        <v>1</v>
      </c>
      <c r="T602" s="1">
        <v>1</v>
      </c>
      <c r="U602" s="1">
        <v>1</v>
      </c>
      <c r="V602" s="1">
        <v>1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2</v>
      </c>
      <c r="AD602" s="1">
        <v>5</v>
      </c>
      <c r="AE602" s="1">
        <v>1.25</v>
      </c>
      <c r="AF602" s="1">
        <v>1</v>
      </c>
      <c r="AG602" s="1">
        <v>0</v>
      </c>
      <c r="AH602" s="1">
        <v>1</v>
      </c>
      <c r="AI602" s="1">
        <v>1.2</v>
      </c>
      <c r="AJ602" s="1">
        <v>1</v>
      </c>
      <c r="AK602" s="1">
        <v>0</v>
      </c>
      <c r="AL602" s="1">
        <v>1</v>
      </c>
      <c r="AM602" s="1">
        <v>1</v>
      </c>
      <c r="AN602" s="1">
        <v>1.6</v>
      </c>
    </row>
    <row r="603" spans="1:40">
      <c r="A603" s="1">
        <v>3303</v>
      </c>
      <c r="C603" s="1">
        <v>1.375</v>
      </c>
      <c r="D603" s="1">
        <v>1.375</v>
      </c>
      <c r="E603" s="1">
        <v>1.375</v>
      </c>
      <c r="F603" s="1">
        <v>1.375</v>
      </c>
      <c r="G603" s="1">
        <v>1.3</v>
      </c>
      <c r="H603" s="1">
        <v>1</v>
      </c>
      <c r="I603" s="1">
        <v>1</v>
      </c>
      <c r="J603" s="1">
        <v>0</v>
      </c>
      <c r="K603" s="1">
        <v>0</v>
      </c>
      <c r="L603" s="1">
        <v>0</v>
      </c>
      <c r="M603" s="1">
        <v>0</v>
      </c>
      <c r="N603" s="1">
        <v>1</v>
      </c>
      <c r="O603" s="1">
        <v>1</v>
      </c>
      <c r="P603" s="1">
        <v>1</v>
      </c>
      <c r="Q603" s="1">
        <v>1</v>
      </c>
      <c r="R603" s="1">
        <v>1</v>
      </c>
      <c r="S603" s="1">
        <v>1</v>
      </c>
      <c r="T603" s="1">
        <v>1</v>
      </c>
      <c r="U603" s="1">
        <v>1</v>
      </c>
      <c r="V603" s="1">
        <v>1</v>
      </c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v>3</v>
      </c>
      <c r="AD603" s="1">
        <v>7</v>
      </c>
      <c r="AE603" s="1">
        <v>1.375</v>
      </c>
      <c r="AF603" s="1">
        <v>1</v>
      </c>
      <c r="AG603" s="1">
        <v>0</v>
      </c>
      <c r="AH603" s="1">
        <v>1</v>
      </c>
      <c r="AI603" s="1">
        <v>1.4</v>
      </c>
      <c r="AJ603" s="1">
        <v>1</v>
      </c>
      <c r="AK603" s="1">
        <v>0</v>
      </c>
      <c r="AL603" s="1">
        <v>1</v>
      </c>
      <c r="AM603" s="1">
        <v>1</v>
      </c>
      <c r="AN603" s="1">
        <v>1.9</v>
      </c>
    </row>
    <row r="604" spans="1:40">
      <c r="A604" s="1">
        <v>3304</v>
      </c>
      <c r="C604" s="1">
        <v>1.5</v>
      </c>
      <c r="D604" s="1">
        <v>1.5</v>
      </c>
      <c r="E604" s="1">
        <v>1.5</v>
      </c>
      <c r="F604" s="1">
        <v>1.5</v>
      </c>
      <c r="G604" s="1">
        <v>1.4</v>
      </c>
      <c r="H604" s="1">
        <v>1</v>
      </c>
      <c r="I604" s="1">
        <v>1</v>
      </c>
      <c r="J604" s="1">
        <v>0</v>
      </c>
      <c r="K604" s="1">
        <v>0</v>
      </c>
      <c r="L604" s="1">
        <v>0</v>
      </c>
      <c r="M604" s="1">
        <v>0</v>
      </c>
      <c r="N604" s="1">
        <v>1</v>
      </c>
      <c r="O604" s="1">
        <v>1</v>
      </c>
      <c r="P604" s="1">
        <v>1</v>
      </c>
      <c r="Q604" s="1">
        <v>1</v>
      </c>
      <c r="R604" s="1">
        <v>1</v>
      </c>
      <c r="S604" s="1">
        <v>1</v>
      </c>
      <c r="T604" s="1">
        <v>1</v>
      </c>
      <c r="U604" s="1">
        <v>1</v>
      </c>
      <c r="V604" s="1">
        <v>1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4</v>
      </c>
      <c r="AD604" s="1">
        <v>10</v>
      </c>
      <c r="AE604" s="1">
        <v>1.5</v>
      </c>
      <c r="AF604" s="1">
        <v>1</v>
      </c>
      <c r="AG604" s="1">
        <v>0</v>
      </c>
      <c r="AH604" s="1">
        <v>1</v>
      </c>
      <c r="AI604" s="1">
        <v>1.6</v>
      </c>
      <c r="AJ604" s="1">
        <v>1</v>
      </c>
      <c r="AK604" s="1">
        <v>0</v>
      </c>
      <c r="AL604" s="1">
        <v>1</v>
      </c>
      <c r="AM604" s="1">
        <v>1</v>
      </c>
      <c r="AN604" s="1">
        <v>2.2000000000000002</v>
      </c>
    </row>
    <row r="605" spans="1:40">
      <c r="A605" s="1">
        <v>3305</v>
      </c>
      <c r="C605" s="1">
        <v>1.625</v>
      </c>
      <c r="D605" s="1">
        <v>1.625</v>
      </c>
      <c r="E605" s="1">
        <v>1.625</v>
      </c>
      <c r="F605" s="1">
        <v>1.625</v>
      </c>
      <c r="G605" s="1">
        <v>1.5</v>
      </c>
      <c r="H605" s="1">
        <v>1</v>
      </c>
      <c r="I605" s="1">
        <v>1</v>
      </c>
      <c r="J605" s="1">
        <v>0</v>
      </c>
      <c r="K605" s="1">
        <v>0</v>
      </c>
      <c r="L605" s="1">
        <v>0</v>
      </c>
      <c r="M605" s="1">
        <v>0</v>
      </c>
      <c r="N605" s="1">
        <v>1</v>
      </c>
      <c r="O605" s="1">
        <v>1</v>
      </c>
      <c r="P605" s="1">
        <v>1</v>
      </c>
      <c r="Q605" s="1">
        <v>1</v>
      </c>
      <c r="R605" s="1">
        <v>1</v>
      </c>
      <c r="S605" s="1">
        <v>1</v>
      </c>
      <c r="T605" s="1">
        <v>1</v>
      </c>
      <c r="U605" s="1">
        <v>1</v>
      </c>
      <c r="V605" s="1">
        <v>1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5</v>
      </c>
      <c r="AD605" s="1">
        <v>12</v>
      </c>
      <c r="AE605" s="1">
        <v>1.625</v>
      </c>
      <c r="AF605" s="1">
        <v>1</v>
      </c>
      <c r="AG605" s="1">
        <v>0</v>
      </c>
      <c r="AH605" s="1">
        <v>1</v>
      </c>
      <c r="AI605" s="1">
        <v>1.8</v>
      </c>
      <c r="AJ605" s="1">
        <v>1</v>
      </c>
      <c r="AK605" s="1">
        <v>0</v>
      </c>
      <c r="AL605" s="1">
        <v>1</v>
      </c>
      <c r="AM605" s="1">
        <v>1</v>
      </c>
      <c r="AN605" s="1">
        <v>2.5</v>
      </c>
    </row>
    <row r="606" spans="1:40">
      <c r="A606" s="1">
        <v>3306</v>
      </c>
      <c r="C606" s="1">
        <v>1.75</v>
      </c>
      <c r="D606" s="1">
        <v>1.75</v>
      </c>
      <c r="E606" s="1">
        <v>1.75</v>
      </c>
      <c r="F606" s="1">
        <v>1.75</v>
      </c>
      <c r="G606" s="1">
        <v>1.6</v>
      </c>
      <c r="H606" s="1">
        <v>1</v>
      </c>
      <c r="I606" s="1">
        <v>1</v>
      </c>
      <c r="J606" s="1">
        <v>0</v>
      </c>
      <c r="K606" s="1">
        <v>0</v>
      </c>
      <c r="L606" s="1">
        <v>0</v>
      </c>
      <c r="M606" s="1">
        <v>0</v>
      </c>
      <c r="N606" s="1">
        <v>1</v>
      </c>
      <c r="O606" s="1">
        <v>1</v>
      </c>
      <c r="P606" s="1">
        <v>1</v>
      </c>
      <c r="Q606" s="1">
        <v>1</v>
      </c>
      <c r="R606" s="1">
        <v>1</v>
      </c>
      <c r="S606" s="1">
        <v>1</v>
      </c>
      <c r="T606" s="1">
        <v>1</v>
      </c>
      <c r="U606" s="1">
        <v>1</v>
      </c>
      <c r="V606" s="1">
        <v>1</v>
      </c>
      <c r="W606" s="1">
        <v>0</v>
      </c>
      <c r="X606" s="1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6</v>
      </c>
      <c r="AD606" s="1">
        <v>15</v>
      </c>
      <c r="AE606" s="1">
        <v>1.75</v>
      </c>
      <c r="AF606" s="1">
        <v>1</v>
      </c>
      <c r="AG606" s="1">
        <v>0</v>
      </c>
      <c r="AH606" s="1">
        <v>1</v>
      </c>
      <c r="AI606" s="1">
        <v>2</v>
      </c>
      <c r="AJ606" s="1">
        <v>1</v>
      </c>
      <c r="AK606" s="1">
        <v>0</v>
      </c>
      <c r="AL606" s="1">
        <v>1</v>
      </c>
      <c r="AM606" s="1">
        <v>1</v>
      </c>
      <c r="AN606" s="1">
        <v>2.8</v>
      </c>
    </row>
    <row r="607" spans="1:40">
      <c r="A607" s="1">
        <v>3307</v>
      </c>
      <c r="C607" s="1">
        <v>1.875</v>
      </c>
      <c r="D607" s="1">
        <v>1.875</v>
      </c>
      <c r="E607" s="1">
        <v>1.875</v>
      </c>
      <c r="F607" s="1">
        <v>1.875</v>
      </c>
      <c r="G607" s="1">
        <v>1.7</v>
      </c>
      <c r="H607" s="1">
        <v>1</v>
      </c>
      <c r="I607" s="1">
        <v>1</v>
      </c>
      <c r="J607" s="1">
        <v>0</v>
      </c>
      <c r="K607" s="1">
        <v>0</v>
      </c>
      <c r="L607" s="1">
        <v>0</v>
      </c>
      <c r="M607" s="1">
        <v>0</v>
      </c>
      <c r="N607" s="1">
        <v>1</v>
      </c>
      <c r="O607" s="1">
        <v>1</v>
      </c>
      <c r="P607" s="1">
        <v>1</v>
      </c>
      <c r="Q607" s="1">
        <v>1</v>
      </c>
      <c r="R607" s="1">
        <v>1</v>
      </c>
      <c r="S607" s="1">
        <v>1</v>
      </c>
      <c r="T607" s="1">
        <v>1</v>
      </c>
      <c r="U607" s="1">
        <v>1</v>
      </c>
      <c r="V607" s="1">
        <v>1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7</v>
      </c>
      <c r="AD607" s="1">
        <v>17</v>
      </c>
      <c r="AE607" s="1">
        <v>1.875</v>
      </c>
      <c r="AF607" s="1">
        <v>1</v>
      </c>
      <c r="AG607" s="1">
        <v>0</v>
      </c>
      <c r="AH607" s="1">
        <v>1</v>
      </c>
      <c r="AI607" s="1">
        <v>2.2000000000000002</v>
      </c>
      <c r="AJ607" s="1">
        <v>1</v>
      </c>
      <c r="AK607" s="1">
        <v>0</v>
      </c>
      <c r="AL607" s="1">
        <v>1</v>
      </c>
      <c r="AM607" s="1">
        <v>1</v>
      </c>
      <c r="AN607" s="1">
        <v>3.1</v>
      </c>
    </row>
    <row r="608" spans="1:40">
      <c r="A608" s="1">
        <v>3308</v>
      </c>
      <c r="C608" s="1">
        <v>2</v>
      </c>
      <c r="D608" s="1">
        <v>2</v>
      </c>
      <c r="E608" s="1">
        <v>2</v>
      </c>
      <c r="F608" s="1">
        <v>2</v>
      </c>
      <c r="G608" s="1">
        <v>1.8</v>
      </c>
      <c r="H608" s="1">
        <v>1</v>
      </c>
      <c r="I608" s="1">
        <v>1</v>
      </c>
      <c r="J608" s="1">
        <v>0</v>
      </c>
      <c r="K608" s="1">
        <v>0</v>
      </c>
      <c r="L608" s="1">
        <v>0</v>
      </c>
      <c r="M608" s="1">
        <v>0</v>
      </c>
      <c r="N608" s="1">
        <v>1</v>
      </c>
      <c r="O608" s="1">
        <v>1</v>
      </c>
      <c r="P608" s="1">
        <v>1</v>
      </c>
      <c r="Q608" s="1">
        <v>1</v>
      </c>
      <c r="R608" s="1">
        <v>1</v>
      </c>
      <c r="S608" s="1">
        <v>1</v>
      </c>
      <c r="T608" s="1">
        <v>1</v>
      </c>
      <c r="U608" s="1">
        <v>1</v>
      </c>
      <c r="V608" s="1">
        <v>1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8</v>
      </c>
      <c r="AD608" s="1">
        <v>20</v>
      </c>
      <c r="AE608" s="1">
        <v>2</v>
      </c>
      <c r="AF608" s="1">
        <v>1</v>
      </c>
      <c r="AG608" s="1">
        <v>0</v>
      </c>
      <c r="AH608" s="1">
        <v>1</v>
      </c>
      <c r="AI608" s="1">
        <v>2.4</v>
      </c>
      <c r="AJ608" s="1">
        <v>1</v>
      </c>
      <c r="AK608" s="1">
        <v>0</v>
      </c>
      <c r="AL608" s="1">
        <v>1</v>
      </c>
      <c r="AM608" s="1">
        <v>1</v>
      </c>
      <c r="AN608" s="1">
        <v>3.4</v>
      </c>
    </row>
    <row r="609" spans="1:40">
      <c r="A609" s="1">
        <v>3309</v>
      </c>
      <c r="C609" s="1">
        <v>2.125</v>
      </c>
      <c r="D609" s="1">
        <v>2.125</v>
      </c>
      <c r="E609" s="1">
        <v>2.125</v>
      </c>
      <c r="F609" s="1">
        <v>2.125</v>
      </c>
      <c r="G609" s="1">
        <v>1.9</v>
      </c>
      <c r="H609" s="1">
        <v>1</v>
      </c>
      <c r="I609" s="1">
        <v>1</v>
      </c>
      <c r="J609" s="1">
        <v>0</v>
      </c>
      <c r="K609" s="1">
        <v>0</v>
      </c>
      <c r="L609" s="1">
        <v>0</v>
      </c>
      <c r="M609" s="1">
        <v>0</v>
      </c>
      <c r="N609" s="1">
        <v>1</v>
      </c>
      <c r="O609" s="1">
        <v>1</v>
      </c>
      <c r="P609" s="1">
        <v>1</v>
      </c>
      <c r="Q609" s="1">
        <v>1</v>
      </c>
      <c r="R609" s="1">
        <v>1</v>
      </c>
      <c r="S609" s="1">
        <v>1</v>
      </c>
      <c r="T609" s="1">
        <v>1</v>
      </c>
      <c r="U609" s="1">
        <v>1</v>
      </c>
      <c r="V609" s="1">
        <v>1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9</v>
      </c>
      <c r="AD609" s="1">
        <v>22</v>
      </c>
      <c r="AE609" s="1">
        <v>2.125</v>
      </c>
      <c r="AF609" s="1">
        <v>1</v>
      </c>
      <c r="AG609" s="1">
        <v>0</v>
      </c>
      <c r="AH609" s="1">
        <v>1</v>
      </c>
      <c r="AI609" s="1">
        <v>2.6</v>
      </c>
      <c r="AJ609" s="1">
        <v>1</v>
      </c>
      <c r="AK609" s="1">
        <v>0</v>
      </c>
      <c r="AL609" s="1">
        <v>1</v>
      </c>
      <c r="AM609" s="1">
        <v>1</v>
      </c>
      <c r="AN609" s="1">
        <v>3.7</v>
      </c>
    </row>
    <row r="610" spans="1:40">
      <c r="A610" s="1">
        <v>3310</v>
      </c>
      <c r="C610" s="1">
        <v>2.25</v>
      </c>
      <c r="D610" s="1">
        <v>2.25</v>
      </c>
      <c r="E610" s="1">
        <v>2.25</v>
      </c>
      <c r="F610" s="1">
        <v>2.25</v>
      </c>
      <c r="G610" s="1">
        <v>2</v>
      </c>
      <c r="H610" s="1">
        <v>1</v>
      </c>
      <c r="I610" s="1">
        <v>1</v>
      </c>
      <c r="J610" s="1">
        <v>0</v>
      </c>
      <c r="K610" s="1">
        <v>0</v>
      </c>
      <c r="L610" s="1">
        <v>0</v>
      </c>
      <c r="M610" s="1">
        <v>0</v>
      </c>
      <c r="N610" s="1">
        <v>1</v>
      </c>
      <c r="O610" s="1">
        <v>1</v>
      </c>
      <c r="P610" s="1">
        <v>1</v>
      </c>
      <c r="Q610" s="1">
        <v>1</v>
      </c>
      <c r="R610" s="1">
        <v>1</v>
      </c>
      <c r="S610" s="1">
        <v>1</v>
      </c>
      <c r="T610" s="1">
        <v>1</v>
      </c>
      <c r="U610" s="1">
        <v>1</v>
      </c>
      <c r="V610" s="1">
        <v>1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10</v>
      </c>
      <c r="AD610" s="1">
        <v>25</v>
      </c>
      <c r="AE610" s="1">
        <v>2.25</v>
      </c>
      <c r="AF610" s="1">
        <v>1</v>
      </c>
      <c r="AG610" s="1">
        <v>0</v>
      </c>
      <c r="AH610" s="1">
        <v>1</v>
      </c>
      <c r="AI610" s="1">
        <v>3</v>
      </c>
      <c r="AJ610" s="1">
        <v>1</v>
      </c>
      <c r="AK610" s="1">
        <v>0</v>
      </c>
      <c r="AL610" s="1">
        <v>1</v>
      </c>
      <c r="AM610" s="1">
        <v>1</v>
      </c>
      <c r="AN610" s="1">
        <v>4</v>
      </c>
    </row>
    <row r="611" spans="1:40">
      <c r="A611" s="1">
        <v>4000</v>
      </c>
      <c r="C611" s="1">
        <v>0.95</v>
      </c>
      <c r="D611" s="1">
        <v>1</v>
      </c>
      <c r="E611" s="1">
        <v>1</v>
      </c>
      <c r="F611" s="1">
        <v>1</v>
      </c>
      <c r="G611" s="1">
        <v>1</v>
      </c>
      <c r="H611" s="1">
        <v>1</v>
      </c>
      <c r="I611" s="1">
        <v>1</v>
      </c>
      <c r="J611" s="1">
        <v>1.5</v>
      </c>
      <c r="K611" s="1">
        <v>0</v>
      </c>
      <c r="L611" s="1">
        <v>1</v>
      </c>
      <c r="M611" s="1">
        <v>1</v>
      </c>
      <c r="N611" s="1">
        <v>1</v>
      </c>
      <c r="O611" s="1">
        <v>1</v>
      </c>
      <c r="P611" s="1">
        <v>1</v>
      </c>
      <c r="Q611" s="1">
        <v>1</v>
      </c>
      <c r="R611" s="1">
        <v>1</v>
      </c>
      <c r="S611" s="1">
        <v>1</v>
      </c>
      <c r="T611" s="1">
        <v>1</v>
      </c>
      <c r="U611" s="1">
        <v>1</v>
      </c>
      <c r="V611" s="1">
        <v>1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1</v>
      </c>
      <c r="AF611" s="1">
        <v>1</v>
      </c>
      <c r="AG611" s="1">
        <v>1</v>
      </c>
      <c r="AH611" s="1">
        <v>1</v>
      </c>
      <c r="AI611" s="1">
        <v>1.5</v>
      </c>
      <c r="AJ611" s="1">
        <v>1</v>
      </c>
      <c r="AK611" s="1">
        <v>0</v>
      </c>
      <c r="AL611" s="1">
        <v>1</v>
      </c>
      <c r="AM611" s="1">
        <v>1</v>
      </c>
      <c r="AN611" s="1">
        <v>1</v>
      </c>
    </row>
    <row r="612" spans="1:40">
      <c r="A612" s="1">
        <v>4001</v>
      </c>
      <c r="C612" s="1">
        <v>1.04</v>
      </c>
      <c r="D612" s="1">
        <v>1.1000000000000001</v>
      </c>
      <c r="E612" s="1">
        <v>1.1000000000000001</v>
      </c>
      <c r="F612" s="1">
        <v>1.1000000000000001</v>
      </c>
      <c r="G612" s="1">
        <v>1.1000000000000001</v>
      </c>
      <c r="H612" s="1">
        <v>1</v>
      </c>
      <c r="I612" s="1">
        <v>1</v>
      </c>
      <c r="J612" s="1">
        <v>1.59</v>
      </c>
      <c r="K612" s="1">
        <v>0</v>
      </c>
      <c r="L612" s="1">
        <v>1</v>
      </c>
      <c r="M612" s="1">
        <v>1</v>
      </c>
      <c r="N612" s="1">
        <v>1</v>
      </c>
      <c r="O612" s="1">
        <v>1</v>
      </c>
      <c r="P612" s="1">
        <v>1</v>
      </c>
      <c r="Q612" s="1">
        <v>1</v>
      </c>
      <c r="R612" s="1">
        <v>1</v>
      </c>
      <c r="S612" s="1">
        <v>1</v>
      </c>
      <c r="T612" s="1"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1</v>
      </c>
      <c r="AD612" s="1">
        <v>2</v>
      </c>
      <c r="AE612" s="1">
        <v>1.1000000000000001</v>
      </c>
      <c r="AF612" s="1">
        <v>1</v>
      </c>
      <c r="AG612" s="1">
        <v>1</v>
      </c>
      <c r="AH612" s="1">
        <v>1</v>
      </c>
      <c r="AI612" s="1">
        <v>1.5</v>
      </c>
      <c r="AJ612" s="1">
        <v>1</v>
      </c>
      <c r="AK612" s="1">
        <v>0</v>
      </c>
      <c r="AL612" s="1">
        <v>1</v>
      </c>
      <c r="AM612" s="1">
        <v>1</v>
      </c>
      <c r="AN612" s="1">
        <v>1.3</v>
      </c>
    </row>
    <row r="613" spans="1:40">
      <c r="A613" s="1">
        <v>4002</v>
      </c>
      <c r="C613" s="1">
        <v>1.1299999999999999</v>
      </c>
      <c r="D613" s="1">
        <v>1.2</v>
      </c>
      <c r="E613" s="1">
        <v>1.2</v>
      </c>
      <c r="F613" s="1">
        <v>1.2</v>
      </c>
      <c r="G613" s="1">
        <v>1.2</v>
      </c>
      <c r="H613" s="1">
        <v>1</v>
      </c>
      <c r="I613" s="1">
        <v>1</v>
      </c>
      <c r="J613" s="1">
        <v>1.68</v>
      </c>
      <c r="K613" s="1">
        <v>0</v>
      </c>
      <c r="L613" s="1">
        <v>1</v>
      </c>
      <c r="M613" s="1">
        <v>1</v>
      </c>
      <c r="N613" s="1">
        <v>1</v>
      </c>
      <c r="O613" s="1">
        <v>1</v>
      </c>
      <c r="P613" s="1">
        <v>1</v>
      </c>
      <c r="Q613" s="1">
        <v>1</v>
      </c>
      <c r="R613" s="1">
        <v>1</v>
      </c>
      <c r="S613" s="1">
        <v>1</v>
      </c>
      <c r="T613" s="1">
        <v>1</v>
      </c>
      <c r="U613" s="1">
        <v>1</v>
      </c>
      <c r="V613" s="1">
        <v>1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2</v>
      </c>
      <c r="AD613" s="1">
        <v>5</v>
      </c>
      <c r="AE613" s="1">
        <v>1.2</v>
      </c>
      <c r="AF613" s="1">
        <v>1</v>
      </c>
      <c r="AG613" s="1">
        <v>1</v>
      </c>
      <c r="AH613" s="1">
        <v>1</v>
      </c>
      <c r="AI613" s="1">
        <v>1.75</v>
      </c>
      <c r="AJ613" s="1">
        <v>1</v>
      </c>
      <c r="AK613" s="1">
        <v>0</v>
      </c>
      <c r="AL613" s="1">
        <v>1</v>
      </c>
      <c r="AM613" s="1">
        <v>1</v>
      </c>
      <c r="AN613" s="1">
        <v>1.6</v>
      </c>
    </row>
    <row r="614" spans="1:40">
      <c r="A614" s="1">
        <v>4003</v>
      </c>
      <c r="C614" s="1">
        <v>1.22</v>
      </c>
      <c r="D614" s="1">
        <v>1.3</v>
      </c>
      <c r="E614" s="1">
        <v>1.3</v>
      </c>
      <c r="F614" s="1">
        <v>1.3</v>
      </c>
      <c r="G614" s="1">
        <v>1.3</v>
      </c>
      <c r="H614" s="1">
        <v>1</v>
      </c>
      <c r="I614" s="1">
        <v>1</v>
      </c>
      <c r="J614" s="1">
        <v>1.77</v>
      </c>
      <c r="K614" s="1">
        <v>0</v>
      </c>
      <c r="L614" s="1">
        <v>1</v>
      </c>
      <c r="M614" s="1">
        <v>1</v>
      </c>
      <c r="N614" s="1">
        <v>1</v>
      </c>
      <c r="O614" s="1">
        <v>1</v>
      </c>
      <c r="P614" s="1">
        <v>1</v>
      </c>
      <c r="Q614" s="1">
        <v>1</v>
      </c>
      <c r="R614" s="1">
        <v>1</v>
      </c>
      <c r="S614" s="1">
        <v>1</v>
      </c>
      <c r="T614" s="1">
        <v>1</v>
      </c>
      <c r="U614" s="1">
        <v>1</v>
      </c>
      <c r="V614" s="1">
        <v>1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3</v>
      </c>
      <c r="AD614" s="1">
        <v>7</v>
      </c>
      <c r="AE614" s="1">
        <v>1.3</v>
      </c>
      <c r="AF614" s="1">
        <v>1</v>
      </c>
      <c r="AG614" s="1">
        <v>1</v>
      </c>
      <c r="AH614" s="1">
        <v>1</v>
      </c>
      <c r="AI614" s="1">
        <v>2</v>
      </c>
      <c r="AJ614" s="1">
        <v>1</v>
      </c>
      <c r="AK614" s="1">
        <v>0</v>
      </c>
      <c r="AL614" s="1">
        <v>1</v>
      </c>
      <c r="AM614" s="1">
        <v>1</v>
      </c>
      <c r="AN614" s="1">
        <v>1.9</v>
      </c>
    </row>
    <row r="615" spans="1:40">
      <c r="A615" s="1">
        <v>4004</v>
      </c>
      <c r="C615" s="1">
        <v>1.31</v>
      </c>
      <c r="D615" s="1">
        <v>1.4</v>
      </c>
      <c r="E615" s="1">
        <v>1.4</v>
      </c>
      <c r="F615" s="1">
        <v>1.4</v>
      </c>
      <c r="G615" s="1">
        <v>1.4</v>
      </c>
      <c r="H615" s="1">
        <v>1</v>
      </c>
      <c r="I615" s="1">
        <v>1</v>
      </c>
      <c r="J615" s="1">
        <v>1.86</v>
      </c>
      <c r="K615" s="1">
        <v>0</v>
      </c>
      <c r="L615" s="1">
        <v>1</v>
      </c>
      <c r="M615" s="1">
        <v>1</v>
      </c>
      <c r="N615" s="1">
        <v>1</v>
      </c>
      <c r="O615" s="1">
        <v>1</v>
      </c>
      <c r="P615" s="1">
        <v>1</v>
      </c>
      <c r="Q615" s="1">
        <v>1</v>
      </c>
      <c r="R615" s="1">
        <v>1</v>
      </c>
      <c r="S615" s="1">
        <v>1</v>
      </c>
      <c r="T615" s="1">
        <v>1</v>
      </c>
      <c r="U615" s="1">
        <v>1</v>
      </c>
      <c r="V615" s="1">
        <v>1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4</v>
      </c>
      <c r="AD615" s="1">
        <v>10</v>
      </c>
      <c r="AE615" s="1">
        <v>1.4</v>
      </c>
      <c r="AF615" s="1">
        <v>1</v>
      </c>
      <c r="AG615" s="1">
        <v>1</v>
      </c>
      <c r="AH615" s="1">
        <v>1</v>
      </c>
      <c r="AI615" s="1">
        <v>2.25</v>
      </c>
      <c r="AJ615" s="1">
        <v>1</v>
      </c>
      <c r="AK615" s="1">
        <v>0</v>
      </c>
      <c r="AL615" s="1">
        <v>1</v>
      </c>
      <c r="AM615" s="1">
        <v>1</v>
      </c>
      <c r="AN615" s="1">
        <v>2.2000000000000002</v>
      </c>
    </row>
    <row r="616" spans="1:40">
      <c r="A616" s="1">
        <v>4005</v>
      </c>
      <c r="C616" s="1">
        <v>1.4</v>
      </c>
      <c r="D616" s="1">
        <v>1.5</v>
      </c>
      <c r="E616" s="1">
        <v>1.5</v>
      </c>
      <c r="F616" s="1">
        <v>1.5</v>
      </c>
      <c r="G616" s="1">
        <v>1.5</v>
      </c>
      <c r="H616" s="1">
        <v>1</v>
      </c>
      <c r="I616" s="1">
        <v>1</v>
      </c>
      <c r="J616" s="1">
        <v>1.88</v>
      </c>
      <c r="K616" s="1">
        <v>0</v>
      </c>
      <c r="L616" s="1">
        <v>1</v>
      </c>
      <c r="M616" s="1">
        <v>1</v>
      </c>
      <c r="N616" s="1">
        <v>1</v>
      </c>
      <c r="O616" s="1">
        <v>1</v>
      </c>
      <c r="P616" s="1">
        <v>1</v>
      </c>
      <c r="Q616" s="1">
        <v>1</v>
      </c>
      <c r="R616" s="1">
        <v>1</v>
      </c>
      <c r="S616" s="1">
        <v>1</v>
      </c>
      <c r="T616" s="1">
        <v>1</v>
      </c>
      <c r="U616" s="1">
        <v>1</v>
      </c>
      <c r="V616" s="1">
        <v>1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5</v>
      </c>
      <c r="AD616" s="1">
        <v>12</v>
      </c>
      <c r="AE616" s="1">
        <v>1.5</v>
      </c>
      <c r="AF616" s="1">
        <v>1</v>
      </c>
      <c r="AG616" s="1">
        <v>1</v>
      </c>
      <c r="AH616" s="1">
        <v>1</v>
      </c>
      <c r="AI616" s="1">
        <v>2.5</v>
      </c>
      <c r="AJ616" s="1">
        <v>1</v>
      </c>
      <c r="AK616" s="1">
        <v>0</v>
      </c>
      <c r="AL616" s="1">
        <v>1</v>
      </c>
      <c r="AM616" s="1">
        <v>1</v>
      </c>
      <c r="AN616" s="1">
        <v>2.5</v>
      </c>
    </row>
    <row r="617" spans="1:40">
      <c r="A617" s="1">
        <v>4006</v>
      </c>
      <c r="C617" s="1">
        <v>1.49</v>
      </c>
      <c r="D617" s="1">
        <v>1.6</v>
      </c>
      <c r="E617" s="1">
        <v>1.6</v>
      </c>
      <c r="F617" s="1">
        <v>1.6</v>
      </c>
      <c r="G617" s="1">
        <v>1.6</v>
      </c>
      <c r="H617" s="1">
        <v>1</v>
      </c>
      <c r="I617" s="1">
        <v>1</v>
      </c>
      <c r="J617" s="1">
        <v>1.9</v>
      </c>
      <c r="K617" s="1">
        <v>0</v>
      </c>
      <c r="L617" s="1">
        <v>1</v>
      </c>
      <c r="M617" s="1">
        <v>1</v>
      </c>
      <c r="N617" s="1">
        <v>1</v>
      </c>
      <c r="O617" s="1">
        <v>1</v>
      </c>
      <c r="P617" s="1">
        <v>1</v>
      </c>
      <c r="Q617" s="1">
        <v>1</v>
      </c>
      <c r="R617" s="1">
        <v>1</v>
      </c>
      <c r="S617" s="1">
        <v>1</v>
      </c>
      <c r="T617" s="1">
        <v>1</v>
      </c>
      <c r="U617" s="1">
        <v>1</v>
      </c>
      <c r="V617" s="1">
        <v>1</v>
      </c>
      <c r="W617" s="1">
        <v>0</v>
      </c>
      <c r="X617" s="1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6</v>
      </c>
      <c r="AD617" s="1">
        <v>15</v>
      </c>
      <c r="AE617" s="1">
        <v>1.6</v>
      </c>
      <c r="AF617" s="1">
        <v>1</v>
      </c>
      <c r="AG617" s="1">
        <v>1</v>
      </c>
      <c r="AH617" s="1">
        <v>1</v>
      </c>
      <c r="AI617" s="1">
        <v>2.75</v>
      </c>
      <c r="AJ617" s="1">
        <v>1</v>
      </c>
      <c r="AK617" s="1">
        <v>0</v>
      </c>
      <c r="AL617" s="1">
        <v>1</v>
      </c>
      <c r="AM617" s="1">
        <v>1</v>
      </c>
      <c r="AN617" s="1">
        <v>2.8</v>
      </c>
    </row>
    <row r="618" spans="1:40">
      <c r="A618" s="1">
        <v>4007</v>
      </c>
      <c r="C618" s="1">
        <v>1.58</v>
      </c>
      <c r="D618" s="1">
        <v>1.7</v>
      </c>
      <c r="E618" s="1">
        <v>1.7</v>
      </c>
      <c r="F618" s="1">
        <v>1.7</v>
      </c>
      <c r="G618" s="1">
        <v>1.7</v>
      </c>
      <c r="H618" s="1">
        <v>1</v>
      </c>
      <c r="I618" s="1">
        <v>1</v>
      </c>
      <c r="J618" s="1">
        <v>1.92</v>
      </c>
      <c r="K618" s="1">
        <v>0</v>
      </c>
      <c r="L618" s="1">
        <v>1</v>
      </c>
      <c r="M618" s="1">
        <v>1</v>
      </c>
      <c r="N618" s="1">
        <v>1</v>
      </c>
      <c r="O618" s="1">
        <v>1</v>
      </c>
      <c r="P618" s="1">
        <v>1</v>
      </c>
      <c r="Q618" s="1">
        <v>1</v>
      </c>
      <c r="R618" s="1">
        <v>1</v>
      </c>
      <c r="S618" s="1">
        <v>1</v>
      </c>
      <c r="T618" s="1">
        <v>1</v>
      </c>
      <c r="U618" s="1">
        <v>1</v>
      </c>
      <c r="V618" s="1">
        <v>1</v>
      </c>
      <c r="W618" s="1">
        <v>0</v>
      </c>
      <c r="X618" s="1">
        <v>0</v>
      </c>
      <c r="Y618" s="1">
        <v>0</v>
      </c>
      <c r="Z618" s="1">
        <v>0</v>
      </c>
      <c r="AA618" s="1">
        <v>0</v>
      </c>
      <c r="AB618" s="1">
        <v>0</v>
      </c>
      <c r="AC618" s="1">
        <v>7</v>
      </c>
      <c r="AD618" s="1">
        <v>17</v>
      </c>
      <c r="AE618" s="1">
        <v>1.7</v>
      </c>
      <c r="AF618" s="1">
        <v>1</v>
      </c>
      <c r="AG618" s="1">
        <v>1</v>
      </c>
      <c r="AH618" s="1">
        <v>1</v>
      </c>
      <c r="AI618" s="1">
        <v>3</v>
      </c>
      <c r="AJ618" s="1">
        <v>1</v>
      </c>
      <c r="AK618" s="1">
        <v>0</v>
      </c>
      <c r="AL618" s="1">
        <v>1</v>
      </c>
      <c r="AM618" s="1">
        <v>1</v>
      </c>
      <c r="AN618" s="1">
        <v>3.1</v>
      </c>
    </row>
    <row r="619" spans="1:40">
      <c r="A619" s="1">
        <v>4008</v>
      </c>
      <c r="C619" s="1">
        <v>1.67</v>
      </c>
      <c r="D619" s="1">
        <v>1.8</v>
      </c>
      <c r="E619" s="1">
        <v>1.8</v>
      </c>
      <c r="F619" s="1">
        <v>1.8</v>
      </c>
      <c r="G619" s="1">
        <v>1.8</v>
      </c>
      <c r="H619" s="1">
        <v>1</v>
      </c>
      <c r="I619" s="1">
        <v>1</v>
      </c>
      <c r="J619" s="1">
        <v>1.94</v>
      </c>
      <c r="K619" s="1">
        <v>0</v>
      </c>
      <c r="L619" s="1">
        <v>1</v>
      </c>
      <c r="M619" s="1">
        <v>1</v>
      </c>
      <c r="N619" s="1">
        <v>1</v>
      </c>
      <c r="O619" s="1">
        <v>1</v>
      </c>
      <c r="P619" s="1">
        <v>1</v>
      </c>
      <c r="Q619" s="1">
        <v>1</v>
      </c>
      <c r="R619" s="1">
        <v>1</v>
      </c>
      <c r="S619" s="1">
        <v>1</v>
      </c>
      <c r="T619" s="1">
        <v>1</v>
      </c>
      <c r="U619" s="1">
        <v>1</v>
      </c>
      <c r="V619" s="1">
        <v>1</v>
      </c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8</v>
      </c>
      <c r="AD619" s="1">
        <v>20</v>
      </c>
      <c r="AE619" s="1">
        <v>1.8</v>
      </c>
      <c r="AF619" s="1">
        <v>1</v>
      </c>
      <c r="AG619" s="1">
        <v>1</v>
      </c>
      <c r="AH619" s="1">
        <v>1</v>
      </c>
      <c r="AI619" s="1">
        <v>3.25</v>
      </c>
      <c r="AJ619" s="1">
        <v>1</v>
      </c>
      <c r="AK619" s="1">
        <v>0</v>
      </c>
      <c r="AL619" s="1">
        <v>1</v>
      </c>
      <c r="AM619" s="1">
        <v>1</v>
      </c>
      <c r="AN619" s="1">
        <v>3.4</v>
      </c>
    </row>
    <row r="620" spans="1:40">
      <c r="A620" s="1">
        <v>4009</v>
      </c>
      <c r="C620" s="1">
        <v>1.76</v>
      </c>
      <c r="D620" s="1">
        <v>1.9</v>
      </c>
      <c r="E620" s="1">
        <v>1.9</v>
      </c>
      <c r="F620" s="1">
        <v>1.9</v>
      </c>
      <c r="G620" s="1">
        <v>1.9</v>
      </c>
      <c r="H620" s="1">
        <v>1</v>
      </c>
      <c r="I620" s="1">
        <v>1</v>
      </c>
      <c r="J620" s="1">
        <v>1.96</v>
      </c>
      <c r="K620" s="1">
        <v>0</v>
      </c>
      <c r="L620" s="1">
        <v>1</v>
      </c>
      <c r="M620" s="1">
        <v>1</v>
      </c>
      <c r="N620" s="1">
        <v>1</v>
      </c>
      <c r="O620" s="1">
        <v>1</v>
      </c>
      <c r="P620" s="1">
        <v>1</v>
      </c>
      <c r="Q620" s="1">
        <v>1</v>
      </c>
      <c r="R620" s="1">
        <v>1</v>
      </c>
      <c r="S620" s="1">
        <v>1</v>
      </c>
      <c r="T620" s="1">
        <v>1</v>
      </c>
      <c r="U620" s="1">
        <v>1</v>
      </c>
      <c r="V620" s="1">
        <v>1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9</v>
      </c>
      <c r="AD620" s="1">
        <v>22</v>
      </c>
      <c r="AE620" s="1">
        <v>1.9</v>
      </c>
      <c r="AF620" s="1">
        <v>1</v>
      </c>
      <c r="AG620" s="1">
        <v>1</v>
      </c>
      <c r="AH620" s="1">
        <v>1</v>
      </c>
      <c r="AI620" s="1">
        <v>3.5</v>
      </c>
      <c r="AJ620" s="1">
        <v>1</v>
      </c>
      <c r="AK620" s="1">
        <v>0</v>
      </c>
      <c r="AL620" s="1">
        <v>1</v>
      </c>
      <c r="AM620" s="1">
        <v>1</v>
      </c>
      <c r="AN620" s="1">
        <v>3.7</v>
      </c>
    </row>
    <row r="621" spans="1:40">
      <c r="A621" s="1">
        <v>4010</v>
      </c>
      <c r="C621" s="1">
        <v>1.85</v>
      </c>
      <c r="D621" s="1">
        <v>2</v>
      </c>
      <c r="E621" s="1">
        <v>2</v>
      </c>
      <c r="F621" s="1">
        <v>2</v>
      </c>
      <c r="G621" s="1">
        <v>2</v>
      </c>
      <c r="H621" s="1">
        <v>1</v>
      </c>
      <c r="I621" s="1">
        <v>1</v>
      </c>
      <c r="J621" s="1">
        <v>2</v>
      </c>
      <c r="K621" s="1">
        <v>0</v>
      </c>
      <c r="L621" s="1">
        <v>1</v>
      </c>
      <c r="M621" s="1">
        <v>1</v>
      </c>
      <c r="N621" s="1">
        <v>1</v>
      </c>
      <c r="O621" s="1">
        <v>1</v>
      </c>
      <c r="P621" s="1">
        <v>1</v>
      </c>
      <c r="Q621" s="1">
        <v>1</v>
      </c>
      <c r="R621" s="1">
        <v>1</v>
      </c>
      <c r="S621" s="1">
        <v>1</v>
      </c>
      <c r="T621" s="1">
        <v>1</v>
      </c>
      <c r="U621" s="1">
        <v>1</v>
      </c>
      <c r="V621" s="1">
        <v>1</v>
      </c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10</v>
      </c>
      <c r="AD621" s="1">
        <v>25</v>
      </c>
      <c r="AE621" s="1">
        <v>2</v>
      </c>
      <c r="AF621" s="1">
        <v>1</v>
      </c>
      <c r="AG621" s="1">
        <v>1</v>
      </c>
      <c r="AH621" s="1">
        <v>1</v>
      </c>
      <c r="AI621" s="1">
        <v>4</v>
      </c>
      <c r="AJ621" s="1">
        <v>1</v>
      </c>
      <c r="AK621" s="1">
        <v>0</v>
      </c>
      <c r="AL621" s="1">
        <v>1</v>
      </c>
      <c r="AM621" s="1">
        <v>1</v>
      </c>
      <c r="AN621" s="1">
        <v>4</v>
      </c>
    </row>
    <row r="622" spans="1:40">
      <c r="A622" s="1">
        <v>4100</v>
      </c>
      <c r="C622" s="1">
        <v>0.95</v>
      </c>
      <c r="D622" s="1">
        <v>1</v>
      </c>
      <c r="E622" s="1">
        <v>1</v>
      </c>
      <c r="F622" s="1">
        <v>1</v>
      </c>
      <c r="G622" s="1">
        <v>1</v>
      </c>
      <c r="H622" s="1">
        <v>1</v>
      </c>
      <c r="I622" s="1">
        <v>1</v>
      </c>
      <c r="J622" s="1">
        <v>1.1000000000000001</v>
      </c>
      <c r="K622" s="1">
        <v>1.1000000000000001</v>
      </c>
      <c r="L622" s="1">
        <v>1</v>
      </c>
      <c r="M622" s="1">
        <v>1</v>
      </c>
      <c r="N622" s="1">
        <v>1</v>
      </c>
      <c r="O622" s="1">
        <v>1</v>
      </c>
      <c r="P622" s="1">
        <v>1</v>
      </c>
      <c r="Q622" s="1">
        <v>1</v>
      </c>
      <c r="R622" s="1">
        <v>1</v>
      </c>
      <c r="S622" s="1">
        <v>1</v>
      </c>
      <c r="T622" s="1">
        <v>1</v>
      </c>
      <c r="U622" s="1">
        <v>1</v>
      </c>
      <c r="V622" s="1">
        <v>1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1</v>
      </c>
      <c r="AF622" s="1">
        <v>1</v>
      </c>
      <c r="AG622" s="1">
        <v>1</v>
      </c>
      <c r="AH622" s="1">
        <v>1</v>
      </c>
      <c r="AI622" s="1">
        <v>1.5</v>
      </c>
      <c r="AJ622" s="1">
        <v>1</v>
      </c>
      <c r="AK622" s="1">
        <v>0</v>
      </c>
      <c r="AL622" s="1">
        <v>1</v>
      </c>
      <c r="AM622" s="1">
        <v>1</v>
      </c>
      <c r="AN622" s="1">
        <v>1</v>
      </c>
    </row>
    <row r="623" spans="1:40">
      <c r="A623" s="1">
        <v>4101</v>
      </c>
      <c r="C623" s="1">
        <v>1.04</v>
      </c>
      <c r="D623" s="1">
        <v>1.1000000000000001</v>
      </c>
      <c r="E623" s="1">
        <v>1.1000000000000001</v>
      </c>
      <c r="F623" s="1">
        <v>1.1000000000000001</v>
      </c>
      <c r="G623" s="1">
        <v>1.1000000000000001</v>
      </c>
      <c r="H623" s="1">
        <v>1</v>
      </c>
      <c r="I623" s="1">
        <v>1</v>
      </c>
      <c r="J623" s="1">
        <v>1.1299999999999999</v>
      </c>
      <c r="K623" s="1">
        <v>1.1299999999999999</v>
      </c>
      <c r="L623" s="1">
        <v>1</v>
      </c>
      <c r="M623" s="1">
        <v>1</v>
      </c>
      <c r="N623" s="1">
        <v>1</v>
      </c>
      <c r="O623" s="1">
        <v>1</v>
      </c>
      <c r="P623" s="1">
        <v>1</v>
      </c>
      <c r="Q623" s="1">
        <v>1</v>
      </c>
      <c r="R623" s="1">
        <v>1</v>
      </c>
      <c r="S623" s="1">
        <v>1</v>
      </c>
      <c r="T623" s="1">
        <v>1</v>
      </c>
      <c r="U623" s="1">
        <v>1</v>
      </c>
      <c r="V623" s="1">
        <v>1</v>
      </c>
      <c r="W623" s="1">
        <v>0</v>
      </c>
      <c r="X623" s="1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1</v>
      </c>
      <c r="AD623" s="1">
        <v>2</v>
      </c>
      <c r="AE623" s="1">
        <v>1.1000000000000001</v>
      </c>
      <c r="AF623" s="1">
        <v>1</v>
      </c>
      <c r="AG623" s="1">
        <v>1</v>
      </c>
      <c r="AH623" s="1">
        <v>1</v>
      </c>
      <c r="AI623" s="1">
        <v>1.5</v>
      </c>
      <c r="AJ623" s="1">
        <v>1</v>
      </c>
      <c r="AK623" s="1">
        <v>0</v>
      </c>
      <c r="AL623" s="1">
        <v>1</v>
      </c>
      <c r="AM623" s="1">
        <v>1</v>
      </c>
      <c r="AN623" s="1">
        <v>1.3</v>
      </c>
    </row>
    <row r="624" spans="1:40">
      <c r="A624" s="1">
        <v>4102</v>
      </c>
      <c r="C624" s="1">
        <v>1.1299999999999999</v>
      </c>
      <c r="D624" s="1">
        <v>1.2</v>
      </c>
      <c r="E624" s="1">
        <v>1.2</v>
      </c>
      <c r="F624" s="1">
        <v>1.2</v>
      </c>
      <c r="G624" s="1">
        <v>1.2</v>
      </c>
      <c r="H624" s="1">
        <v>1</v>
      </c>
      <c r="I624" s="1">
        <v>1</v>
      </c>
      <c r="J624" s="1">
        <v>1.1599999999999999</v>
      </c>
      <c r="K624" s="1">
        <v>1.1599999999999999</v>
      </c>
      <c r="L624" s="1">
        <v>1</v>
      </c>
      <c r="M624" s="1">
        <v>1</v>
      </c>
      <c r="N624" s="1">
        <v>1</v>
      </c>
      <c r="O624" s="1">
        <v>1</v>
      </c>
      <c r="P624" s="1">
        <v>1</v>
      </c>
      <c r="Q624" s="1">
        <v>1</v>
      </c>
      <c r="R624" s="1">
        <v>1</v>
      </c>
      <c r="S624" s="1">
        <v>1</v>
      </c>
      <c r="T624" s="1">
        <v>1</v>
      </c>
      <c r="U624" s="1">
        <v>1</v>
      </c>
      <c r="V624" s="1">
        <v>1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2</v>
      </c>
      <c r="AD624" s="1">
        <v>5</v>
      </c>
      <c r="AE624" s="1">
        <v>1.2</v>
      </c>
      <c r="AF624" s="1">
        <v>1</v>
      </c>
      <c r="AG624" s="1">
        <v>1</v>
      </c>
      <c r="AH624" s="1">
        <v>1</v>
      </c>
      <c r="AI624" s="1">
        <v>1.75</v>
      </c>
      <c r="AJ624" s="1">
        <v>1</v>
      </c>
      <c r="AK624" s="1">
        <v>0</v>
      </c>
      <c r="AL624" s="1">
        <v>1</v>
      </c>
      <c r="AM624" s="1">
        <v>1</v>
      </c>
      <c r="AN624" s="1">
        <v>1.6</v>
      </c>
    </row>
    <row r="625" spans="1:40">
      <c r="A625" s="1">
        <v>4103</v>
      </c>
      <c r="C625" s="1">
        <v>1.22</v>
      </c>
      <c r="D625" s="1">
        <v>1.3</v>
      </c>
      <c r="E625" s="1">
        <v>1.3</v>
      </c>
      <c r="F625" s="1">
        <v>1.3</v>
      </c>
      <c r="G625" s="1">
        <v>1.3</v>
      </c>
      <c r="H625" s="1">
        <v>1</v>
      </c>
      <c r="I625" s="1">
        <v>1</v>
      </c>
      <c r="J625" s="1">
        <v>1.19</v>
      </c>
      <c r="K625" s="1">
        <v>1.19</v>
      </c>
      <c r="L625" s="1">
        <v>1</v>
      </c>
      <c r="M625" s="1">
        <v>1</v>
      </c>
      <c r="N625" s="1">
        <v>1</v>
      </c>
      <c r="O625" s="1">
        <v>1</v>
      </c>
      <c r="P625" s="1">
        <v>1</v>
      </c>
      <c r="Q625" s="1">
        <v>1</v>
      </c>
      <c r="R625" s="1">
        <v>1</v>
      </c>
      <c r="S625" s="1">
        <v>1</v>
      </c>
      <c r="T625" s="1">
        <v>1</v>
      </c>
      <c r="U625" s="1">
        <v>1</v>
      </c>
      <c r="V625" s="1">
        <v>1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3</v>
      </c>
      <c r="AD625" s="1">
        <v>7</v>
      </c>
      <c r="AE625" s="1">
        <v>1.3</v>
      </c>
      <c r="AF625" s="1">
        <v>1</v>
      </c>
      <c r="AG625" s="1">
        <v>1</v>
      </c>
      <c r="AH625" s="1">
        <v>1</v>
      </c>
      <c r="AI625" s="1">
        <v>2</v>
      </c>
      <c r="AJ625" s="1">
        <v>1</v>
      </c>
      <c r="AK625" s="1">
        <v>0</v>
      </c>
      <c r="AL625" s="1">
        <v>1</v>
      </c>
      <c r="AM625" s="1">
        <v>1</v>
      </c>
      <c r="AN625" s="1">
        <v>1.9</v>
      </c>
    </row>
    <row r="626" spans="1:40">
      <c r="A626" s="1">
        <v>4104</v>
      </c>
      <c r="C626" s="1">
        <v>1.31</v>
      </c>
      <c r="D626" s="1">
        <v>1.4</v>
      </c>
      <c r="E626" s="1">
        <v>1.4</v>
      </c>
      <c r="F626" s="1">
        <v>1.4</v>
      </c>
      <c r="G626" s="1">
        <v>1.4</v>
      </c>
      <c r="H626" s="1">
        <v>1</v>
      </c>
      <c r="I626" s="1">
        <v>1</v>
      </c>
      <c r="J626" s="1">
        <v>1.21</v>
      </c>
      <c r="K626" s="1">
        <v>1.21</v>
      </c>
      <c r="L626" s="1">
        <v>1</v>
      </c>
      <c r="M626" s="1">
        <v>1</v>
      </c>
      <c r="N626" s="1">
        <v>1</v>
      </c>
      <c r="O626" s="1">
        <v>1</v>
      </c>
      <c r="P626" s="1">
        <v>1</v>
      </c>
      <c r="Q626" s="1">
        <v>1</v>
      </c>
      <c r="R626" s="1">
        <v>1</v>
      </c>
      <c r="S626" s="1">
        <v>1</v>
      </c>
      <c r="T626" s="1">
        <v>1</v>
      </c>
      <c r="U626" s="1">
        <v>1</v>
      </c>
      <c r="V626" s="1">
        <v>1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4</v>
      </c>
      <c r="AD626" s="1">
        <v>10</v>
      </c>
      <c r="AE626" s="1">
        <v>1.4</v>
      </c>
      <c r="AF626" s="1">
        <v>1</v>
      </c>
      <c r="AG626" s="1">
        <v>1</v>
      </c>
      <c r="AH626" s="1">
        <v>1</v>
      </c>
      <c r="AI626" s="1">
        <v>2.25</v>
      </c>
      <c r="AJ626" s="1">
        <v>1</v>
      </c>
      <c r="AK626" s="1">
        <v>0</v>
      </c>
      <c r="AL626" s="1">
        <v>1</v>
      </c>
      <c r="AM626" s="1">
        <v>1</v>
      </c>
      <c r="AN626" s="1">
        <v>2.2000000000000002</v>
      </c>
    </row>
    <row r="627" spans="1:40">
      <c r="A627" s="1">
        <v>4105</v>
      </c>
      <c r="C627" s="1">
        <v>1.4</v>
      </c>
      <c r="D627" s="1">
        <v>1.5</v>
      </c>
      <c r="E627" s="1">
        <v>1.5</v>
      </c>
      <c r="F627" s="1">
        <v>1.5</v>
      </c>
      <c r="G627" s="1">
        <v>1.5</v>
      </c>
      <c r="H627" s="1">
        <v>1</v>
      </c>
      <c r="I627" s="1">
        <v>1</v>
      </c>
      <c r="J627" s="1">
        <v>1.22</v>
      </c>
      <c r="K627" s="1">
        <v>1.22</v>
      </c>
      <c r="L627" s="1">
        <v>1</v>
      </c>
      <c r="M627" s="1">
        <v>1</v>
      </c>
      <c r="N627" s="1">
        <v>1</v>
      </c>
      <c r="O627" s="1">
        <v>1</v>
      </c>
      <c r="P627" s="1">
        <v>1</v>
      </c>
      <c r="Q627" s="1">
        <v>1</v>
      </c>
      <c r="R627" s="1">
        <v>1</v>
      </c>
      <c r="S627" s="1">
        <v>1</v>
      </c>
      <c r="T627" s="1">
        <v>1</v>
      </c>
      <c r="U627" s="1">
        <v>1</v>
      </c>
      <c r="V627" s="1">
        <v>1</v>
      </c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5</v>
      </c>
      <c r="AD627" s="1">
        <v>12</v>
      </c>
      <c r="AE627" s="1">
        <v>1.5</v>
      </c>
      <c r="AF627" s="1">
        <v>1</v>
      </c>
      <c r="AG627" s="1">
        <v>1</v>
      </c>
      <c r="AH627" s="1">
        <v>1</v>
      </c>
      <c r="AI627" s="1">
        <v>2.5</v>
      </c>
      <c r="AJ627" s="1">
        <v>1</v>
      </c>
      <c r="AK627" s="1">
        <v>0</v>
      </c>
      <c r="AL627" s="1">
        <v>1</v>
      </c>
      <c r="AM627" s="1">
        <v>1</v>
      </c>
      <c r="AN627" s="1">
        <v>2.5</v>
      </c>
    </row>
    <row r="628" spans="1:40">
      <c r="A628" s="1">
        <v>4106</v>
      </c>
      <c r="C628" s="1">
        <v>1.49</v>
      </c>
      <c r="D628" s="1">
        <v>1.6</v>
      </c>
      <c r="E628" s="1">
        <v>1.6</v>
      </c>
      <c r="F628" s="1">
        <v>1.6</v>
      </c>
      <c r="G628" s="1">
        <v>1.6</v>
      </c>
      <c r="H628" s="1">
        <v>1</v>
      </c>
      <c r="I628" s="1">
        <v>1</v>
      </c>
      <c r="J628" s="1">
        <v>1.23</v>
      </c>
      <c r="K628" s="1">
        <v>1.23</v>
      </c>
      <c r="L628" s="1">
        <v>1</v>
      </c>
      <c r="M628" s="1">
        <v>1</v>
      </c>
      <c r="N628" s="1">
        <v>1</v>
      </c>
      <c r="O628" s="1">
        <v>1</v>
      </c>
      <c r="P628" s="1">
        <v>1</v>
      </c>
      <c r="Q628" s="1">
        <v>1</v>
      </c>
      <c r="R628" s="1">
        <v>1</v>
      </c>
      <c r="S628" s="1">
        <v>1</v>
      </c>
      <c r="T628" s="1">
        <v>1</v>
      </c>
      <c r="U628" s="1">
        <v>1</v>
      </c>
      <c r="V628" s="1">
        <v>1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6</v>
      </c>
      <c r="AD628" s="1">
        <v>15</v>
      </c>
      <c r="AE628" s="1">
        <v>1.6</v>
      </c>
      <c r="AF628" s="1">
        <v>1</v>
      </c>
      <c r="AG628" s="1">
        <v>1</v>
      </c>
      <c r="AH628" s="1">
        <v>1</v>
      </c>
      <c r="AI628" s="1">
        <v>2.75</v>
      </c>
      <c r="AJ628" s="1">
        <v>1</v>
      </c>
      <c r="AK628" s="1">
        <v>0</v>
      </c>
      <c r="AL628" s="1">
        <v>1</v>
      </c>
      <c r="AM628" s="1">
        <v>1</v>
      </c>
      <c r="AN628" s="1">
        <v>2.8</v>
      </c>
    </row>
    <row r="629" spans="1:40">
      <c r="A629" s="1">
        <v>4107</v>
      </c>
      <c r="C629" s="1">
        <v>1.58</v>
      </c>
      <c r="D629" s="1">
        <v>1.7</v>
      </c>
      <c r="E629" s="1">
        <v>1.7</v>
      </c>
      <c r="F629" s="1">
        <v>1.7</v>
      </c>
      <c r="G629" s="1">
        <v>1.7</v>
      </c>
      <c r="H629" s="1">
        <v>1</v>
      </c>
      <c r="I629" s="1">
        <v>1</v>
      </c>
      <c r="J629" s="1">
        <v>1.24</v>
      </c>
      <c r="K629" s="1">
        <v>1.24</v>
      </c>
      <c r="L629" s="1">
        <v>1</v>
      </c>
      <c r="M629" s="1">
        <v>1</v>
      </c>
      <c r="N629" s="1">
        <v>1</v>
      </c>
      <c r="O629" s="1">
        <v>1</v>
      </c>
      <c r="P629" s="1">
        <v>1</v>
      </c>
      <c r="Q629" s="1">
        <v>1</v>
      </c>
      <c r="R629" s="1">
        <v>1</v>
      </c>
      <c r="S629" s="1">
        <v>1</v>
      </c>
      <c r="T629" s="1">
        <v>1</v>
      </c>
      <c r="U629" s="1">
        <v>1</v>
      </c>
      <c r="V629" s="1">
        <v>1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7</v>
      </c>
      <c r="AD629" s="1">
        <v>17</v>
      </c>
      <c r="AE629" s="1">
        <v>1.7</v>
      </c>
      <c r="AF629" s="1">
        <v>1</v>
      </c>
      <c r="AG629" s="1">
        <v>1</v>
      </c>
      <c r="AH629" s="1">
        <v>1</v>
      </c>
      <c r="AI629" s="1">
        <v>3</v>
      </c>
      <c r="AJ629" s="1">
        <v>1</v>
      </c>
      <c r="AK629" s="1">
        <v>0</v>
      </c>
      <c r="AL629" s="1">
        <v>1</v>
      </c>
      <c r="AM629" s="1">
        <v>1</v>
      </c>
      <c r="AN629" s="1">
        <v>3.1</v>
      </c>
    </row>
    <row r="630" spans="1:40">
      <c r="A630" s="1">
        <v>4108</v>
      </c>
      <c r="C630" s="1">
        <v>1.67</v>
      </c>
      <c r="D630" s="1">
        <v>1.8</v>
      </c>
      <c r="E630" s="1">
        <v>1.8</v>
      </c>
      <c r="F630" s="1">
        <v>1.8</v>
      </c>
      <c r="G630" s="1">
        <v>1.8</v>
      </c>
      <c r="H630" s="1">
        <v>1</v>
      </c>
      <c r="I630" s="1">
        <v>1</v>
      </c>
      <c r="J630" s="1">
        <v>1.25</v>
      </c>
      <c r="K630" s="1">
        <v>1.25</v>
      </c>
      <c r="L630" s="1">
        <v>1</v>
      </c>
      <c r="M630" s="1">
        <v>1</v>
      </c>
      <c r="N630" s="1">
        <v>1</v>
      </c>
      <c r="O630" s="1">
        <v>1</v>
      </c>
      <c r="P630" s="1">
        <v>1</v>
      </c>
      <c r="Q630" s="1">
        <v>1</v>
      </c>
      <c r="R630" s="1">
        <v>1</v>
      </c>
      <c r="S630" s="1">
        <v>1</v>
      </c>
      <c r="T630" s="1">
        <v>1</v>
      </c>
      <c r="U630" s="1">
        <v>1</v>
      </c>
      <c r="V630" s="1">
        <v>1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8</v>
      </c>
      <c r="AD630" s="1">
        <v>20</v>
      </c>
      <c r="AE630" s="1">
        <v>1.8</v>
      </c>
      <c r="AF630" s="1">
        <v>1</v>
      </c>
      <c r="AG630" s="1">
        <v>1</v>
      </c>
      <c r="AH630" s="1">
        <v>1</v>
      </c>
      <c r="AI630" s="1">
        <v>3.25</v>
      </c>
      <c r="AJ630" s="1">
        <v>1</v>
      </c>
      <c r="AK630" s="1">
        <v>0</v>
      </c>
      <c r="AL630" s="1">
        <v>1</v>
      </c>
      <c r="AM630" s="1">
        <v>1</v>
      </c>
      <c r="AN630" s="1">
        <v>3.4</v>
      </c>
    </row>
    <row r="631" spans="1:40">
      <c r="A631" s="1">
        <v>4109</v>
      </c>
      <c r="C631" s="1">
        <v>1.76</v>
      </c>
      <c r="D631" s="1">
        <v>1.9</v>
      </c>
      <c r="E631" s="1">
        <v>1.9</v>
      </c>
      <c r="F631" s="1">
        <v>1.9</v>
      </c>
      <c r="G631" s="1">
        <v>1.9</v>
      </c>
      <c r="H631" s="1">
        <v>1</v>
      </c>
      <c r="I631" s="1">
        <v>1</v>
      </c>
      <c r="J631" s="1">
        <v>1.26</v>
      </c>
      <c r="K631" s="1">
        <v>1.26</v>
      </c>
      <c r="L631" s="1">
        <v>1</v>
      </c>
      <c r="M631" s="1">
        <v>1</v>
      </c>
      <c r="N631" s="1">
        <v>1</v>
      </c>
      <c r="O631" s="1">
        <v>1</v>
      </c>
      <c r="P631" s="1">
        <v>1</v>
      </c>
      <c r="Q631" s="1">
        <v>1</v>
      </c>
      <c r="R631" s="1">
        <v>1</v>
      </c>
      <c r="S631" s="1">
        <v>1</v>
      </c>
      <c r="T631" s="1">
        <v>1</v>
      </c>
      <c r="U631" s="1">
        <v>1</v>
      </c>
      <c r="V631" s="1">
        <v>1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9</v>
      </c>
      <c r="AD631" s="1">
        <v>22</v>
      </c>
      <c r="AE631" s="1">
        <v>1.9</v>
      </c>
      <c r="AF631" s="1">
        <v>1</v>
      </c>
      <c r="AG631" s="1">
        <v>1</v>
      </c>
      <c r="AH631" s="1">
        <v>1</v>
      </c>
      <c r="AI631" s="1">
        <v>3.5</v>
      </c>
      <c r="AJ631" s="1">
        <v>1</v>
      </c>
      <c r="AK631" s="1">
        <v>0</v>
      </c>
      <c r="AL631" s="1">
        <v>1</v>
      </c>
      <c r="AM631" s="1">
        <v>1</v>
      </c>
      <c r="AN631" s="1">
        <v>3.7</v>
      </c>
    </row>
    <row r="632" spans="1:40">
      <c r="A632" s="1">
        <v>4110</v>
      </c>
      <c r="C632" s="1">
        <v>1.85</v>
      </c>
      <c r="D632" s="1">
        <v>2</v>
      </c>
      <c r="E632" s="1">
        <v>2</v>
      </c>
      <c r="F632" s="1">
        <v>2</v>
      </c>
      <c r="G632" s="1">
        <v>2</v>
      </c>
      <c r="H632" s="1">
        <v>1</v>
      </c>
      <c r="I632" s="1">
        <v>1</v>
      </c>
      <c r="J632" s="1">
        <v>1.25</v>
      </c>
      <c r="K632" s="1">
        <v>1.25</v>
      </c>
      <c r="L632" s="1">
        <v>1</v>
      </c>
      <c r="M632" s="1">
        <v>1</v>
      </c>
      <c r="N632" s="1">
        <v>1</v>
      </c>
      <c r="O632" s="1">
        <v>1</v>
      </c>
      <c r="P632" s="1">
        <v>1</v>
      </c>
      <c r="Q632" s="1">
        <v>1</v>
      </c>
      <c r="R632" s="1">
        <v>1</v>
      </c>
      <c r="S632" s="1">
        <v>1</v>
      </c>
      <c r="T632" s="1">
        <v>1</v>
      </c>
      <c r="U632" s="1">
        <v>1</v>
      </c>
      <c r="V632" s="1">
        <v>1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10</v>
      </c>
      <c r="AD632" s="1">
        <v>25</v>
      </c>
      <c r="AE632" s="1">
        <v>2</v>
      </c>
      <c r="AF632" s="1">
        <v>1</v>
      </c>
      <c r="AG632" s="1">
        <v>1</v>
      </c>
      <c r="AH632" s="1">
        <v>1</v>
      </c>
      <c r="AI632" s="1">
        <v>4</v>
      </c>
      <c r="AJ632" s="1">
        <v>1</v>
      </c>
      <c r="AK632" s="1">
        <v>0</v>
      </c>
      <c r="AL632" s="1">
        <v>1</v>
      </c>
      <c r="AM632" s="1">
        <v>1</v>
      </c>
      <c r="AN632" s="1">
        <v>4</v>
      </c>
    </row>
    <row r="633" spans="1:40">
      <c r="A633" s="1">
        <v>4500</v>
      </c>
      <c r="C633" s="1">
        <v>1.1000000000000001</v>
      </c>
      <c r="D633" s="1">
        <v>1.1000000000000001</v>
      </c>
      <c r="E633" s="1">
        <v>1.1000000000000001</v>
      </c>
      <c r="F633" s="1">
        <v>1.1000000000000001</v>
      </c>
      <c r="G633" s="1">
        <v>1</v>
      </c>
      <c r="H633" s="1">
        <v>1</v>
      </c>
      <c r="I633" s="1">
        <v>1</v>
      </c>
      <c r="J633" s="1">
        <v>1</v>
      </c>
      <c r="K633" s="1">
        <v>1</v>
      </c>
      <c r="L633" s="1">
        <v>1</v>
      </c>
      <c r="M633" s="1">
        <v>1</v>
      </c>
      <c r="N633" s="1">
        <v>1</v>
      </c>
      <c r="O633" s="1">
        <v>1</v>
      </c>
      <c r="P633" s="1">
        <v>1</v>
      </c>
      <c r="Q633" s="1">
        <v>1</v>
      </c>
      <c r="R633" s="1">
        <v>1</v>
      </c>
      <c r="S633" s="1">
        <v>1</v>
      </c>
      <c r="T633" s="1">
        <v>1</v>
      </c>
      <c r="U633" s="1">
        <v>1</v>
      </c>
      <c r="V633" s="1">
        <v>1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1.1000000000000001</v>
      </c>
      <c r="AF633" s="1">
        <v>1</v>
      </c>
      <c r="AG633" s="1">
        <v>1</v>
      </c>
      <c r="AH633" s="1">
        <v>1</v>
      </c>
      <c r="AI633" s="1">
        <v>1</v>
      </c>
      <c r="AJ633" s="1">
        <v>1</v>
      </c>
      <c r="AK633" s="1">
        <v>0</v>
      </c>
      <c r="AL633" s="1">
        <v>1</v>
      </c>
      <c r="AM633" s="1">
        <v>1</v>
      </c>
      <c r="AN633" s="1">
        <v>1</v>
      </c>
    </row>
    <row r="634" spans="1:40">
      <c r="A634" s="1">
        <v>4501</v>
      </c>
      <c r="C634" s="1">
        <v>1.28</v>
      </c>
      <c r="D634" s="1">
        <v>1.28</v>
      </c>
      <c r="E634" s="1">
        <v>1.28</v>
      </c>
      <c r="F634" s="1">
        <v>1.28</v>
      </c>
      <c r="G634" s="1">
        <v>1.2</v>
      </c>
      <c r="H634" s="1">
        <v>1</v>
      </c>
      <c r="I634" s="1">
        <v>1</v>
      </c>
      <c r="J634" s="1">
        <v>1.08</v>
      </c>
      <c r="K634" s="1">
        <v>1.08</v>
      </c>
      <c r="L634" s="1">
        <v>1.08</v>
      </c>
      <c r="M634" s="1">
        <v>1.08</v>
      </c>
      <c r="N634" s="1">
        <v>1</v>
      </c>
      <c r="O634" s="1">
        <v>1</v>
      </c>
      <c r="P634" s="1">
        <v>1</v>
      </c>
      <c r="Q634" s="1">
        <v>1</v>
      </c>
      <c r="R634" s="1">
        <v>1</v>
      </c>
      <c r="S634" s="1">
        <v>1</v>
      </c>
      <c r="T634" s="1">
        <v>1</v>
      </c>
      <c r="U634" s="1">
        <v>1</v>
      </c>
      <c r="V634" s="1">
        <v>1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1</v>
      </c>
      <c r="AD634" s="1">
        <v>2</v>
      </c>
      <c r="AE634" s="1">
        <v>1.28</v>
      </c>
      <c r="AF634" s="1">
        <v>1</v>
      </c>
      <c r="AG634" s="1">
        <v>1.08</v>
      </c>
      <c r="AH634" s="1">
        <v>1</v>
      </c>
      <c r="AI634" s="1">
        <v>1</v>
      </c>
      <c r="AJ634" s="1">
        <v>1</v>
      </c>
      <c r="AK634" s="1">
        <v>0</v>
      </c>
      <c r="AL634" s="1">
        <v>1</v>
      </c>
      <c r="AM634" s="1">
        <v>1</v>
      </c>
      <c r="AN634" s="1">
        <v>1</v>
      </c>
    </row>
    <row r="635" spans="1:40">
      <c r="A635" s="1">
        <v>4502</v>
      </c>
      <c r="C635" s="1">
        <v>1.46</v>
      </c>
      <c r="D635" s="1">
        <v>1.46</v>
      </c>
      <c r="E635" s="1">
        <v>1.46</v>
      </c>
      <c r="F635" s="1">
        <v>1.46</v>
      </c>
      <c r="G635" s="1">
        <v>1.4</v>
      </c>
      <c r="H635" s="1">
        <v>1</v>
      </c>
      <c r="I635" s="1">
        <v>1</v>
      </c>
      <c r="J635" s="1">
        <v>1.1599999999999999</v>
      </c>
      <c r="K635" s="1">
        <v>1.1599999999999999</v>
      </c>
      <c r="L635" s="1">
        <v>1.1599999999999999</v>
      </c>
      <c r="M635" s="1">
        <v>1.1599999999999999</v>
      </c>
      <c r="N635" s="1">
        <v>1</v>
      </c>
      <c r="O635" s="1">
        <v>1</v>
      </c>
      <c r="P635" s="1">
        <v>1</v>
      </c>
      <c r="Q635" s="1">
        <v>1</v>
      </c>
      <c r="R635" s="1">
        <v>1</v>
      </c>
      <c r="S635" s="1">
        <v>1</v>
      </c>
      <c r="T635" s="1">
        <v>1</v>
      </c>
      <c r="U635" s="1">
        <v>1</v>
      </c>
      <c r="V635" s="1">
        <v>1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2</v>
      </c>
      <c r="AD635" s="1">
        <v>4</v>
      </c>
      <c r="AE635" s="1">
        <v>1.46</v>
      </c>
      <c r="AF635" s="1">
        <v>1</v>
      </c>
      <c r="AG635" s="1">
        <v>1.1599999999999999</v>
      </c>
      <c r="AH635" s="1">
        <v>1</v>
      </c>
      <c r="AI635" s="1">
        <v>1.6</v>
      </c>
      <c r="AJ635" s="1">
        <v>1</v>
      </c>
      <c r="AK635" s="1">
        <v>0</v>
      </c>
      <c r="AL635" s="1">
        <v>1</v>
      </c>
      <c r="AM635" s="1">
        <v>1</v>
      </c>
      <c r="AN635" s="1">
        <v>1</v>
      </c>
    </row>
    <row r="636" spans="1:40">
      <c r="A636" s="1">
        <v>4503</v>
      </c>
      <c r="C636" s="1">
        <v>1.64</v>
      </c>
      <c r="D636" s="1">
        <v>1.64</v>
      </c>
      <c r="E636" s="1">
        <v>1.64</v>
      </c>
      <c r="F636" s="1">
        <v>1.64</v>
      </c>
      <c r="G636" s="1">
        <v>1.6</v>
      </c>
      <c r="H636" s="1">
        <v>1</v>
      </c>
      <c r="I636" s="1">
        <v>1</v>
      </c>
      <c r="J636" s="1">
        <v>1.24</v>
      </c>
      <c r="K636" s="1">
        <v>1.24</v>
      </c>
      <c r="L636" s="1">
        <v>1.24</v>
      </c>
      <c r="M636" s="1">
        <v>1.24</v>
      </c>
      <c r="N636" s="1">
        <v>1</v>
      </c>
      <c r="O636" s="1">
        <v>1</v>
      </c>
      <c r="P636" s="1">
        <v>1</v>
      </c>
      <c r="Q636" s="1">
        <v>1</v>
      </c>
      <c r="R636" s="1">
        <v>1</v>
      </c>
      <c r="S636" s="1">
        <v>1</v>
      </c>
      <c r="T636" s="1">
        <v>1</v>
      </c>
      <c r="U636" s="1">
        <v>1</v>
      </c>
      <c r="V636" s="1">
        <v>1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3</v>
      </c>
      <c r="AD636" s="1">
        <v>6</v>
      </c>
      <c r="AE636" s="1">
        <v>1.64</v>
      </c>
      <c r="AF636" s="1">
        <v>1</v>
      </c>
      <c r="AG636" s="1">
        <v>1.24</v>
      </c>
      <c r="AH636" s="1">
        <v>1</v>
      </c>
      <c r="AI636" s="1">
        <v>2.2000000000000002</v>
      </c>
      <c r="AJ636" s="1">
        <v>1</v>
      </c>
      <c r="AK636" s="1">
        <v>0</v>
      </c>
      <c r="AL636" s="1">
        <v>1</v>
      </c>
      <c r="AM636" s="1">
        <v>1</v>
      </c>
      <c r="AN636" s="1">
        <v>1</v>
      </c>
    </row>
    <row r="637" spans="1:40">
      <c r="A637" s="1">
        <v>4504</v>
      </c>
      <c r="C637" s="1">
        <v>1.82</v>
      </c>
      <c r="D637" s="1">
        <v>1.82</v>
      </c>
      <c r="E637" s="1">
        <v>1.82</v>
      </c>
      <c r="F637" s="1">
        <v>1.82</v>
      </c>
      <c r="G637" s="1">
        <v>1.8</v>
      </c>
      <c r="H637" s="1">
        <v>1</v>
      </c>
      <c r="I637" s="1">
        <v>1</v>
      </c>
      <c r="J637" s="1">
        <v>1.32</v>
      </c>
      <c r="K637" s="1">
        <v>1.32</v>
      </c>
      <c r="L637" s="1">
        <v>1.32</v>
      </c>
      <c r="M637" s="1">
        <v>1.32</v>
      </c>
      <c r="N637" s="1">
        <v>1</v>
      </c>
      <c r="O637" s="1">
        <v>1</v>
      </c>
      <c r="P637" s="1">
        <v>1</v>
      </c>
      <c r="Q637" s="1">
        <v>1</v>
      </c>
      <c r="R637" s="1">
        <v>1</v>
      </c>
      <c r="S637" s="1">
        <v>1</v>
      </c>
      <c r="T637" s="1">
        <v>1</v>
      </c>
      <c r="U637" s="1">
        <v>1</v>
      </c>
      <c r="V637" s="1">
        <v>1</v>
      </c>
      <c r="W637" s="1">
        <v>0</v>
      </c>
      <c r="X637" s="1">
        <v>0</v>
      </c>
      <c r="Y637" s="1">
        <v>0</v>
      </c>
      <c r="Z637" s="1">
        <v>0</v>
      </c>
      <c r="AA637" s="1">
        <v>0</v>
      </c>
      <c r="AB637" s="1">
        <v>0</v>
      </c>
      <c r="AC637" s="1">
        <v>4</v>
      </c>
      <c r="AD637" s="1">
        <v>8</v>
      </c>
      <c r="AE637" s="1">
        <v>1.82</v>
      </c>
      <c r="AF637" s="1">
        <v>1</v>
      </c>
      <c r="AG637" s="1">
        <v>1.32</v>
      </c>
      <c r="AH637" s="1">
        <v>1</v>
      </c>
      <c r="AI637" s="1">
        <v>2.8</v>
      </c>
      <c r="AJ637" s="1">
        <v>1</v>
      </c>
      <c r="AK637" s="1">
        <v>0</v>
      </c>
      <c r="AL637" s="1">
        <v>1</v>
      </c>
      <c r="AM637" s="1">
        <v>1</v>
      </c>
      <c r="AN637" s="1">
        <v>1</v>
      </c>
    </row>
    <row r="638" spans="1:40">
      <c r="A638" s="1">
        <v>4505</v>
      </c>
      <c r="C638" s="1">
        <v>2</v>
      </c>
      <c r="D638" s="1">
        <v>2</v>
      </c>
      <c r="E638" s="1">
        <v>2</v>
      </c>
      <c r="F638" s="1">
        <v>2</v>
      </c>
      <c r="G638" s="1">
        <v>2</v>
      </c>
      <c r="H638" s="1">
        <v>1</v>
      </c>
      <c r="I638" s="1">
        <v>1</v>
      </c>
      <c r="J638" s="1">
        <v>1.4</v>
      </c>
      <c r="K638" s="1">
        <v>1.4</v>
      </c>
      <c r="L638" s="1">
        <v>1.4</v>
      </c>
      <c r="M638" s="1">
        <v>1.4</v>
      </c>
      <c r="N638" s="1">
        <v>1</v>
      </c>
      <c r="O638" s="1">
        <v>1</v>
      </c>
      <c r="P638" s="1">
        <v>1</v>
      </c>
      <c r="Q638" s="1">
        <v>1</v>
      </c>
      <c r="R638" s="1">
        <v>1</v>
      </c>
      <c r="S638" s="1">
        <v>1</v>
      </c>
      <c r="T638" s="1">
        <v>1</v>
      </c>
      <c r="U638" s="1">
        <v>1</v>
      </c>
      <c r="V638" s="1">
        <v>1</v>
      </c>
      <c r="W638" s="1">
        <v>0</v>
      </c>
      <c r="X638" s="1">
        <v>0</v>
      </c>
      <c r="Y638" s="1">
        <v>0</v>
      </c>
      <c r="Z638" s="1">
        <v>0</v>
      </c>
      <c r="AA638" s="1">
        <v>0</v>
      </c>
      <c r="AB638" s="1">
        <v>0</v>
      </c>
      <c r="AC638" s="1">
        <v>5</v>
      </c>
      <c r="AD638" s="1">
        <v>10</v>
      </c>
      <c r="AE638" s="1">
        <v>2</v>
      </c>
      <c r="AF638" s="1">
        <v>1</v>
      </c>
      <c r="AG638" s="1">
        <v>1.4</v>
      </c>
      <c r="AH638" s="1">
        <v>1</v>
      </c>
      <c r="AI638" s="1">
        <v>4</v>
      </c>
      <c r="AJ638" s="1">
        <v>1</v>
      </c>
      <c r="AK638" s="1">
        <v>0</v>
      </c>
      <c r="AL638" s="1">
        <v>1</v>
      </c>
      <c r="AM638" s="1">
        <v>1</v>
      </c>
      <c r="AN638" s="1">
        <v>1</v>
      </c>
    </row>
    <row r="639" spans="1:40">
      <c r="A639" s="1">
        <v>4600</v>
      </c>
      <c r="C639" s="1">
        <v>1.1499999999999999</v>
      </c>
      <c r="D639" s="1">
        <v>1.1499999999999999</v>
      </c>
      <c r="E639" s="1">
        <v>1.1499999999999999</v>
      </c>
      <c r="F639" s="1">
        <v>1.1499999999999999</v>
      </c>
      <c r="G639" s="1">
        <v>1</v>
      </c>
      <c r="H639" s="1">
        <v>1</v>
      </c>
      <c r="I639" s="1">
        <v>1</v>
      </c>
      <c r="J639" s="1">
        <v>1</v>
      </c>
      <c r="K639" s="1">
        <v>1</v>
      </c>
      <c r="L639" s="1">
        <v>1</v>
      </c>
      <c r="M639" s="1">
        <v>1</v>
      </c>
      <c r="N639" s="1">
        <v>1</v>
      </c>
      <c r="O639" s="1">
        <v>1</v>
      </c>
      <c r="P639" s="1">
        <v>1</v>
      </c>
      <c r="Q639" s="1">
        <v>1</v>
      </c>
      <c r="R639" s="1">
        <v>1</v>
      </c>
      <c r="S639" s="1">
        <v>1</v>
      </c>
      <c r="T639" s="1">
        <v>1</v>
      </c>
      <c r="U639" s="1">
        <v>1</v>
      </c>
      <c r="V639" s="1">
        <v>1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1.1499999999999999</v>
      </c>
      <c r="AF639" s="1">
        <v>1</v>
      </c>
      <c r="AG639" s="1">
        <v>1</v>
      </c>
      <c r="AH639" s="1">
        <v>1</v>
      </c>
      <c r="AI639" s="1">
        <v>1</v>
      </c>
      <c r="AJ639" s="1">
        <v>1</v>
      </c>
      <c r="AK639" s="1">
        <v>0</v>
      </c>
      <c r="AL639" s="1">
        <v>1</v>
      </c>
      <c r="AM639" s="1">
        <v>1</v>
      </c>
      <c r="AN639" s="1">
        <v>1</v>
      </c>
    </row>
    <row r="640" spans="1:40">
      <c r="A640" s="1">
        <v>4601</v>
      </c>
      <c r="C640" s="1">
        <v>1.28</v>
      </c>
      <c r="D640" s="1">
        <v>1.28</v>
      </c>
      <c r="E640" s="1">
        <v>1.28</v>
      </c>
      <c r="F640" s="1">
        <v>1.28</v>
      </c>
      <c r="G640" s="1">
        <v>1.2</v>
      </c>
      <c r="H640" s="1">
        <v>1</v>
      </c>
      <c r="I640" s="1">
        <v>1</v>
      </c>
      <c r="J640" s="1">
        <v>1.08</v>
      </c>
      <c r="K640" s="1">
        <v>1.08</v>
      </c>
      <c r="L640" s="1">
        <v>1.08</v>
      </c>
      <c r="M640" s="1">
        <v>1.08</v>
      </c>
      <c r="N640" s="1">
        <v>1</v>
      </c>
      <c r="O640" s="1">
        <v>1</v>
      </c>
      <c r="P640" s="1">
        <v>1</v>
      </c>
      <c r="Q640" s="1">
        <v>1</v>
      </c>
      <c r="R640" s="1">
        <v>1</v>
      </c>
      <c r="S640" s="1">
        <v>1</v>
      </c>
      <c r="T640" s="1">
        <v>1</v>
      </c>
      <c r="U640" s="1">
        <v>1</v>
      </c>
      <c r="V640" s="1">
        <v>1</v>
      </c>
      <c r="W640" s="1">
        <v>0</v>
      </c>
      <c r="X640" s="1">
        <v>0</v>
      </c>
      <c r="Y640" s="1">
        <v>0</v>
      </c>
      <c r="Z640" s="1">
        <v>0</v>
      </c>
      <c r="AA640" s="1">
        <v>0</v>
      </c>
      <c r="AB640" s="1">
        <v>0</v>
      </c>
      <c r="AC640" s="1">
        <v>1</v>
      </c>
      <c r="AD640" s="1">
        <v>2</v>
      </c>
      <c r="AE640" s="1">
        <v>1.28</v>
      </c>
      <c r="AF640" s="1">
        <v>1</v>
      </c>
      <c r="AG640" s="1">
        <v>1.08</v>
      </c>
      <c r="AH640" s="1">
        <v>1</v>
      </c>
      <c r="AI640" s="1">
        <v>1</v>
      </c>
      <c r="AJ640" s="1">
        <v>1</v>
      </c>
      <c r="AK640" s="1">
        <v>0</v>
      </c>
      <c r="AL640" s="1">
        <v>1</v>
      </c>
      <c r="AM640" s="1">
        <v>1</v>
      </c>
      <c r="AN640" s="1">
        <v>1</v>
      </c>
    </row>
    <row r="641" spans="1:40">
      <c r="A641" s="1">
        <v>4602</v>
      </c>
      <c r="C641" s="1">
        <v>1.37</v>
      </c>
      <c r="D641" s="1">
        <v>1.37</v>
      </c>
      <c r="E641" s="1">
        <v>1.37</v>
      </c>
      <c r="F641" s="1">
        <v>1.37</v>
      </c>
      <c r="G641" s="1">
        <v>1.4</v>
      </c>
      <c r="H641" s="1">
        <v>1</v>
      </c>
      <c r="I641" s="1">
        <v>1</v>
      </c>
      <c r="J641" s="1">
        <v>1.1599999999999999</v>
      </c>
      <c r="K641" s="1">
        <v>1.1599999999999999</v>
      </c>
      <c r="L641" s="1">
        <v>1.1599999999999999</v>
      </c>
      <c r="M641" s="1">
        <v>1.1599999999999999</v>
      </c>
      <c r="N641" s="1">
        <v>1</v>
      </c>
      <c r="O641" s="1">
        <v>1</v>
      </c>
      <c r="P641" s="1">
        <v>1</v>
      </c>
      <c r="Q641" s="1">
        <v>1</v>
      </c>
      <c r="R641" s="1">
        <v>1</v>
      </c>
      <c r="S641" s="1">
        <v>1</v>
      </c>
      <c r="T641" s="1">
        <v>1</v>
      </c>
      <c r="U641" s="1">
        <v>1</v>
      </c>
      <c r="V641" s="1">
        <v>1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2</v>
      </c>
      <c r="AD641" s="1">
        <v>4</v>
      </c>
      <c r="AE641" s="1">
        <v>1.37</v>
      </c>
      <c r="AF641" s="1">
        <v>1</v>
      </c>
      <c r="AG641" s="1">
        <v>1.1599999999999999</v>
      </c>
      <c r="AH641" s="1">
        <v>1</v>
      </c>
      <c r="AI641" s="1">
        <v>1.4</v>
      </c>
      <c r="AJ641" s="1">
        <v>1</v>
      </c>
      <c r="AK641" s="1">
        <v>0</v>
      </c>
      <c r="AL641" s="1">
        <v>1</v>
      </c>
      <c r="AM641" s="1">
        <v>1</v>
      </c>
      <c r="AN641" s="1">
        <v>1</v>
      </c>
    </row>
    <row r="642" spans="1:40">
      <c r="A642" s="1">
        <v>4603</v>
      </c>
      <c r="C642" s="1">
        <v>1.6</v>
      </c>
      <c r="D642" s="1">
        <v>1.6</v>
      </c>
      <c r="E642" s="1">
        <v>1.6</v>
      </c>
      <c r="F642" s="1">
        <v>1.6</v>
      </c>
      <c r="G642" s="1">
        <v>1.6</v>
      </c>
      <c r="H642" s="1">
        <v>1</v>
      </c>
      <c r="I642" s="1">
        <v>1</v>
      </c>
      <c r="J642" s="1">
        <v>1.24</v>
      </c>
      <c r="K642" s="1">
        <v>1.24</v>
      </c>
      <c r="L642" s="1">
        <v>1.24</v>
      </c>
      <c r="M642" s="1">
        <v>1.24</v>
      </c>
      <c r="N642" s="1">
        <v>1</v>
      </c>
      <c r="O642" s="1">
        <v>1</v>
      </c>
      <c r="P642" s="1">
        <v>1</v>
      </c>
      <c r="Q642" s="1">
        <v>1</v>
      </c>
      <c r="R642" s="1">
        <v>1</v>
      </c>
      <c r="S642" s="1">
        <v>1</v>
      </c>
      <c r="T642" s="1">
        <v>1</v>
      </c>
      <c r="U642" s="1">
        <v>1</v>
      </c>
      <c r="V642" s="1">
        <v>1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B642" s="1">
        <v>0</v>
      </c>
      <c r="AC642" s="1">
        <v>3</v>
      </c>
      <c r="AD642" s="1">
        <v>6</v>
      </c>
      <c r="AE642" s="1">
        <v>1.6</v>
      </c>
      <c r="AF642" s="1">
        <v>1</v>
      </c>
      <c r="AG642" s="1">
        <v>1.24</v>
      </c>
      <c r="AH642" s="1">
        <v>1</v>
      </c>
      <c r="AI642" s="1">
        <v>1.8</v>
      </c>
      <c r="AJ642" s="1">
        <v>1</v>
      </c>
      <c r="AK642" s="1">
        <v>0</v>
      </c>
      <c r="AL642" s="1">
        <v>1</v>
      </c>
      <c r="AM642" s="1">
        <v>1</v>
      </c>
      <c r="AN642" s="1">
        <v>1</v>
      </c>
    </row>
    <row r="643" spans="1:40">
      <c r="A643" s="1">
        <v>4604</v>
      </c>
      <c r="C643" s="1">
        <v>1.8</v>
      </c>
      <c r="D643" s="1">
        <v>1.8</v>
      </c>
      <c r="E643" s="1">
        <v>1.8</v>
      </c>
      <c r="F643" s="1">
        <v>1.8</v>
      </c>
      <c r="G643" s="1">
        <v>1.8</v>
      </c>
      <c r="H643" s="1">
        <v>1</v>
      </c>
      <c r="I643" s="1">
        <v>1</v>
      </c>
      <c r="J643" s="1">
        <v>1.32</v>
      </c>
      <c r="K643" s="1">
        <v>1.32</v>
      </c>
      <c r="L643" s="1">
        <v>1.32</v>
      </c>
      <c r="M643" s="1">
        <v>1.32</v>
      </c>
      <c r="N643" s="1">
        <v>1</v>
      </c>
      <c r="O643" s="1">
        <v>1</v>
      </c>
      <c r="P643" s="1">
        <v>1</v>
      </c>
      <c r="Q643" s="1">
        <v>1</v>
      </c>
      <c r="R643" s="1">
        <v>1</v>
      </c>
      <c r="S643" s="1">
        <v>1</v>
      </c>
      <c r="T643" s="1">
        <v>1</v>
      </c>
      <c r="U643" s="1">
        <v>1</v>
      </c>
      <c r="V643" s="1">
        <v>1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4</v>
      </c>
      <c r="AD643" s="1">
        <v>8</v>
      </c>
      <c r="AE643" s="1">
        <v>1.8</v>
      </c>
      <c r="AF643" s="1">
        <v>1</v>
      </c>
      <c r="AG643" s="1">
        <v>1.32</v>
      </c>
      <c r="AH643" s="1">
        <v>1</v>
      </c>
      <c r="AI643" s="1">
        <v>2.2000000000000002</v>
      </c>
      <c r="AJ643" s="1">
        <v>1</v>
      </c>
      <c r="AK643" s="1">
        <v>0</v>
      </c>
      <c r="AL643" s="1">
        <v>1</v>
      </c>
      <c r="AM643" s="1">
        <v>1</v>
      </c>
      <c r="AN643" s="1">
        <v>1</v>
      </c>
    </row>
    <row r="644" spans="1:40">
      <c r="A644" s="1">
        <v>4605</v>
      </c>
      <c r="C644" s="1">
        <v>2</v>
      </c>
      <c r="D644" s="1">
        <v>2</v>
      </c>
      <c r="E644" s="1">
        <v>2</v>
      </c>
      <c r="F644" s="1">
        <v>2</v>
      </c>
      <c r="G644" s="1">
        <v>2</v>
      </c>
      <c r="H644" s="1">
        <v>1</v>
      </c>
      <c r="I644" s="1">
        <v>1</v>
      </c>
      <c r="J644" s="1">
        <v>1.4</v>
      </c>
      <c r="K644" s="1">
        <v>1.4</v>
      </c>
      <c r="L644" s="1">
        <v>1.4</v>
      </c>
      <c r="M644" s="1">
        <v>1.4</v>
      </c>
      <c r="N644" s="1">
        <v>1</v>
      </c>
      <c r="O644" s="1">
        <v>1</v>
      </c>
      <c r="P644" s="1">
        <v>1</v>
      </c>
      <c r="Q644" s="1">
        <v>1</v>
      </c>
      <c r="R644" s="1">
        <v>1</v>
      </c>
      <c r="S644" s="1">
        <v>1</v>
      </c>
      <c r="T644" s="1">
        <v>1</v>
      </c>
      <c r="U644" s="1">
        <v>1</v>
      </c>
      <c r="V644" s="1">
        <v>1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5</v>
      </c>
      <c r="AD644" s="1">
        <v>10</v>
      </c>
      <c r="AE644" s="1">
        <v>2</v>
      </c>
      <c r="AF644" s="1">
        <v>1</v>
      </c>
      <c r="AG644" s="1">
        <v>1.4</v>
      </c>
      <c r="AH644" s="1">
        <v>1</v>
      </c>
      <c r="AI644" s="1">
        <v>3</v>
      </c>
      <c r="AJ644" s="1">
        <v>1</v>
      </c>
      <c r="AK644" s="1">
        <v>0</v>
      </c>
      <c r="AL644" s="1">
        <v>1</v>
      </c>
      <c r="AM644" s="1">
        <v>1</v>
      </c>
      <c r="AN644" s="1">
        <v>1</v>
      </c>
    </row>
    <row r="645" spans="1:40">
      <c r="A645" s="1">
        <v>5000</v>
      </c>
      <c r="C645" s="1">
        <v>0.95</v>
      </c>
      <c r="D645" s="1">
        <v>0.95</v>
      </c>
      <c r="E645" s="1">
        <v>0.95</v>
      </c>
      <c r="F645" s="1">
        <v>0.95</v>
      </c>
      <c r="G645" s="1">
        <v>0.95</v>
      </c>
      <c r="H645" s="1">
        <v>1</v>
      </c>
      <c r="I645" s="1">
        <v>1</v>
      </c>
      <c r="J645" s="1">
        <v>0.5</v>
      </c>
      <c r="K645" s="1">
        <v>1.5</v>
      </c>
      <c r="L645" s="1">
        <v>1</v>
      </c>
      <c r="M645" s="1">
        <v>1</v>
      </c>
      <c r="N645" s="1">
        <v>1</v>
      </c>
      <c r="O645" s="1">
        <v>1</v>
      </c>
      <c r="P645" s="1">
        <v>1</v>
      </c>
      <c r="Q645" s="1">
        <v>1</v>
      </c>
      <c r="R645" s="1">
        <v>1</v>
      </c>
      <c r="S645" s="1">
        <v>1</v>
      </c>
      <c r="T645" s="1">
        <v>1</v>
      </c>
      <c r="U645" s="1">
        <v>1</v>
      </c>
      <c r="V645" s="1">
        <v>1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0.95</v>
      </c>
      <c r="AF645" s="1">
        <v>1</v>
      </c>
      <c r="AG645" s="1">
        <v>1</v>
      </c>
      <c r="AH645" s="1">
        <v>1</v>
      </c>
      <c r="AI645" s="1">
        <v>1.5</v>
      </c>
      <c r="AJ645" s="1">
        <v>1</v>
      </c>
      <c r="AK645" s="1">
        <v>0</v>
      </c>
      <c r="AL645" s="1">
        <v>1</v>
      </c>
      <c r="AM645" s="1">
        <v>1</v>
      </c>
      <c r="AN645" s="1">
        <v>1</v>
      </c>
    </row>
    <row r="646" spans="1:40">
      <c r="A646" s="1">
        <v>5001</v>
      </c>
      <c r="C646" s="1">
        <v>1</v>
      </c>
      <c r="D646" s="1">
        <v>1</v>
      </c>
      <c r="E646" s="1">
        <v>1</v>
      </c>
      <c r="F646" s="1">
        <v>1</v>
      </c>
      <c r="G646" s="1">
        <v>1</v>
      </c>
      <c r="H646" s="1">
        <v>1</v>
      </c>
      <c r="I646" s="1">
        <v>1</v>
      </c>
      <c r="J646" s="1">
        <v>0.53</v>
      </c>
      <c r="K646" s="1">
        <v>1.55</v>
      </c>
      <c r="L646" s="1">
        <v>1.04</v>
      </c>
      <c r="M646" s="1">
        <v>1.04</v>
      </c>
      <c r="N646" s="1">
        <v>1</v>
      </c>
      <c r="O646" s="1">
        <v>1</v>
      </c>
      <c r="P646" s="1">
        <v>1</v>
      </c>
      <c r="Q646" s="1">
        <v>1</v>
      </c>
      <c r="R646" s="1">
        <v>1</v>
      </c>
      <c r="S646" s="1">
        <v>1</v>
      </c>
      <c r="T646" s="1">
        <v>1</v>
      </c>
      <c r="U646" s="1">
        <v>1</v>
      </c>
      <c r="V646" s="1">
        <v>1.01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1</v>
      </c>
      <c r="AD646" s="1">
        <v>1</v>
      </c>
      <c r="AE646" s="1">
        <v>1</v>
      </c>
      <c r="AF646" s="1">
        <v>1</v>
      </c>
      <c r="AG646" s="1">
        <v>1.04</v>
      </c>
      <c r="AH646" s="1">
        <v>1</v>
      </c>
      <c r="AI646" s="1">
        <v>1.5</v>
      </c>
      <c r="AJ646" s="1">
        <v>1</v>
      </c>
      <c r="AK646" s="1">
        <v>0</v>
      </c>
      <c r="AL646" s="1">
        <v>1</v>
      </c>
      <c r="AM646" s="1">
        <v>1</v>
      </c>
      <c r="AN646" s="1">
        <v>1.1200000000000001</v>
      </c>
    </row>
    <row r="647" spans="1:40">
      <c r="A647" s="1">
        <v>5002</v>
      </c>
      <c r="C647" s="1">
        <v>1.05</v>
      </c>
      <c r="D647" s="1">
        <v>1.05</v>
      </c>
      <c r="E647" s="1">
        <v>1.05</v>
      </c>
      <c r="F647" s="1">
        <v>1.05</v>
      </c>
      <c r="G647" s="1">
        <v>1.05</v>
      </c>
      <c r="H647" s="1">
        <v>1</v>
      </c>
      <c r="I647" s="1">
        <v>1</v>
      </c>
      <c r="J647" s="1">
        <v>0.56000000000000005</v>
      </c>
      <c r="K647" s="1">
        <v>1.6</v>
      </c>
      <c r="L647" s="1">
        <v>1.08</v>
      </c>
      <c r="M647" s="1">
        <v>1.08</v>
      </c>
      <c r="N647" s="1">
        <v>1</v>
      </c>
      <c r="O647" s="1">
        <v>1</v>
      </c>
      <c r="P647" s="1">
        <v>1</v>
      </c>
      <c r="Q647" s="1">
        <v>1</v>
      </c>
      <c r="R647" s="1">
        <v>1</v>
      </c>
      <c r="S647" s="1">
        <v>1</v>
      </c>
      <c r="T647" s="1">
        <v>1</v>
      </c>
      <c r="U647" s="1">
        <v>1</v>
      </c>
      <c r="V647" s="1">
        <v>1.01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2</v>
      </c>
      <c r="AD647" s="1">
        <v>2</v>
      </c>
      <c r="AE647" s="1">
        <v>1.05</v>
      </c>
      <c r="AF647" s="1">
        <v>1</v>
      </c>
      <c r="AG647" s="1">
        <v>1.08</v>
      </c>
      <c r="AH647" s="1">
        <v>1</v>
      </c>
      <c r="AI647" s="1">
        <v>1.75</v>
      </c>
      <c r="AJ647" s="1">
        <v>1</v>
      </c>
      <c r="AK647" s="1">
        <v>0</v>
      </c>
      <c r="AL647" s="1">
        <v>1</v>
      </c>
      <c r="AM647" s="1">
        <v>1</v>
      </c>
      <c r="AN647" s="1">
        <v>1.24</v>
      </c>
    </row>
    <row r="648" spans="1:40">
      <c r="A648" s="1">
        <v>5003</v>
      </c>
      <c r="C648" s="1">
        <v>1.1000000000000001</v>
      </c>
      <c r="D648" s="1">
        <v>1.1000000000000001</v>
      </c>
      <c r="E648" s="1">
        <v>1.1000000000000001</v>
      </c>
      <c r="F648" s="1">
        <v>1.1000000000000001</v>
      </c>
      <c r="G648" s="1">
        <v>1.1000000000000001</v>
      </c>
      <c r="H648" s="1">
        <v>1</v>
      </c>
      <c r="I648" s="1">
        <v>1</v>
      </c>
      <c r="J648" s="1">
        <v>0.59</v>
      </c>
      <c r="K648" s="1">
        <v>1.65</v>
      </c>
      <c r="L648" s="1">
        <v>1.1200000000000001</v>
      </c>
      <c r="M648" s="1">
        <v>1.1200000000000001</v>
      </c>
      <c r="N648" s="1">
        <v>1</v>
      </c>
      <c r="O648" s="1">
        <v>1</v>
      </c>
      <c r="P648" s="1">
        <v>1</v>
      </c>
      <c r="Q648" s="1">
        <v>1</v>
      </c>
      <c r="R648" s="1">
        <v>1</v>
      </c>
      <c r="S648" s="1">
        <v>1</v>
      </c>
      <c r="T648" s="1">
        <v>1</v>
      </c>
      <c r="U648" s="1">
        <v>1</v>
      </c>
      <c r="V648" s="1">
        <v>1.02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B648" s="1">
        <v>0</v>
      </c>
      <c r="AC648" s="1">
        <v>3</v>
      </c>
      <c r="AD648" s="1">
        <v>3</v>
      </c>
      <c r="AE648" s="1">
        <v>1.1000000000000001</v>
      </c>
      <c r="AF648" s="1">
        <v>1</v>
      </c>
      <c r="AG648" s="1">
        <v>1.1200000000000001</v>
      </c>
      <c r="AH648" s="1">
        <v>1</v>
      </c>
      <c r="AI648" s="1">
        <v>2</v>
      </c>
      <c r="AJ648" s="1">
        <v>1</v>
      </c>
      <c r="AK648" s="1">
        <v>0</v>
      </c>
      <c r="AL648" s="1">
        <v>1</v>
      </c>
      <c r="AM648" s="1">
        <v>1</v>
      </c>
      <c r="AN648" s="1">
        <v>1.36</v>
      </c>
    </row>
    <row r="649" spans="1:40">
      <c r="A649" s="1">
        <v>5004</v>
      </c>
      <c r="C649" s="1">
        <v>1.1499999999999999</v>
      </c>
      <c r="D649" s="1">
        <v>1.1499999999999999</v>
      </c>
      <c r="E649" s="1">
        <v>1.1499999999999999</v>
      </c>
      <c r="F649" s="1">
        <v>1.1499999999999999</v>
      </c>
      <c r="G649" s="1">
        <v>1.1499999999999999</v>
      </c>
      <c r="H649" s="1">
        <v>1</v>
      </c>
      <c r="I649" s="1">
        <v>1</v>
      </c>
      <c r="J649" s="1">
        <v>0.62</v>
      </c>
      <c r="K649" s="1">
        <v>1.7</v>
      </c>
      <c r="L649" s="1">
        <v>1.1599999999999999</v>
      </c>
      <c r="M649" s="1">
        <v>1.1599999999999999</v>
      </c>
      <c r="N649" s="1">
        <v>1</v>
      </c>
      <c r="O649" s="1">
        <v>1</v>
      </c>
      <c r="P649" s="1">
        <v>1</v>
      </c>
      <c r="Q649" s="1">
        <v>1</v>
      </c>
      <c r="R649" s="1">
        <v>1</v>
      </c>
      <c r="S649" s="1">
        <v>1</v>
      </c>
      <c r="T649" s="1">
        <v>1</v>
      </c>
      <c r="U649" s="1">
        <v>1</v>
      </c>
      <c r="V649" s="1">
        <v>1.02</v>
      </c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4</v>
      </c>
      <c r="AD649" s="1">
        <v>4</v>
      </c>
      <c r="AE649" s="1">
        <v>1.1499999999999999</v>
      </c>
      <c r="AF649" s="1">
        <v>1</v>
      </c>
      <c r="AG649" s="1">
        <v>1.1599999999999999</v>
      </c>
      <c r="AH649" s="1">
        <v>1</v>
      </c>
      <c r="AI649" s="1">
        <v>2.25</v>
      </c>
      <c r="AJ649" s="1">
        <v>1</v>
      </c>
      <c r="AK649" s="1">
        <v>0</v>
      </c>
      <c r="AL649" s="1">
        <v>1</v>
      </c>
      <c r="AM649" s="1">
        <v>1</v>
      </c>
      <c r="AN649" s="1">
        <v>1.48</v>
      </c>
    </row>
    <row r="650" spans="1:40">
      <c r="A650" s="1">
        <v>5005</v>
      </c>
      <c r="C650" s="1">
        <v>1.2</v>
      </c>
      <c r="D650" s="1">
        <v>1.2</v>
      </c>
      <c r="E650" s="1">
        <v>1.2</v>
      </c>
      <c r="F650" s="1">
        <v>1.2</v>
      </c>
      <c r="G650" s="1">
        <v>1.2</v>
      </c>
      <c r="H650" s="1">
        <v>1</v>
      </c>
      <c r="I650" s="1">
        <v>1</v>
      </c>
      <c r="J650" s="1">
        <v>0.65</v>
      </c>
      <c r="K650" s="1">
        <v>1.75</v>
      </c>
      <c r="L650" s="1">
        <v>1.2</v>
      </c>
      <c r="M650" s="1">
        <v>1.2</v>
      </c>
      <c r="N650" s="1">
        <v>1</v>
      </c>
      <c r="O650" s="1">
        <v>1</v>
      </c>
      <c r="P650" s="1">
        <v>1</v>
      </c>
      <c r="Q650" s="1">
        <v>1</v>
      </c>
      <c r="R650" s="1">
        <v>1</v>
      </c>
      <c r="S650" s="1">
        <v>1</v>
      </c>
      <c r="T650" s="1">
        <v>1</v>
      </c>
      <c r="U650" s="1">
        <v>1</v>
      </c>
      <c r="V650" s="1">
        <v>1.03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5</v>
      </c>
      <c r="AD650" s="1">
        <v>5</v>
      </c>
      <c r="AE650" s="1">
        <v>1.2</v>
      </c>
      <c r="AF650" s="1">
        <v>1</v>
      </c>
      <c r="AG650" s="1">
        <v>1.2</v>
      </c>
      <c r="AH650" s="1">
        <v>1</v>
      </c>
      <c r="AI650" s="1">
        <v>2.5</v>
      </c>
      <c r="AJ650" s="1">
        <v>1</v>
      </c>
      <c r="AK650" s="1">
        <v>0</v>
      </c>
      <c r="AL650" s="1">
        <v>1</v>
      </c>
      <c r="AM650" s="1">
        <v>1</v>
      </c>
      <c r="AN650" s="1">
        <v>1.6</v>
      </c>
    </row>
    <row r="651" spans="1:40">
      <c r="A651" s="1">
        <v>5006</v>
      </c>
      <c r="C651" s="1">
        <v>1.25</v>
      </c>
      <c r="D651" s="1">
        <v>1.25</v>
      </c>
      <c r="E651" s="1">
        <v>1.25</v>
      </c>
      <c r="F651" s="1">
        <v>1.25</v>
      </c>
      <c r="G651" s="1">
        <v>1.25</v>
      </c>
      <c r="H651" s="1">
        <v>1</v>
      </c>
      <c r="I651" s="1">
        <v>1</v>
      </c>
      <c r="J651" s="1">
        <v>0.68</v>
      </c>
      <c r="K651" s="1">
        <v>1.8</v>
      </c>
      <c r="L651" s="1">
        <v>1.24</v>
      </c>
      <c r="M651" s="1">
        <v>1.24</v>
      </c>
      <c r="N651" s="1">
        <v>1</v>
      </c>
      <c r="O651" s="1">
        <v>1</v>
      </c>
      <c r="P651" s="1">
        <v>1</v>
      </c>
      <c r="Q651" s="1">
        <v>1</v>
      </c>
      <c r="R651" s="1">
        <v>1</v>
      </c>
      <c r="S651" s="1">
        <v>1</v>
      </c>
      <c r="T651" s="1">
        <v>1</v>
      </c>
      <c r="U651" s="1">
        <v>1</v>
      </c>
      <c r="V651" s="1">
        <v>1.03</v>
      </c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6</v>
      </c>
      <c r="AD651" s="1">
        <v>6</v>
      </c>
      <c r="AE651" s="1">
        <v>1.25</v>
      </c>
      <c r="AF651" s="1">
        <v>1</v>
      </c>
      <c r="AG651" s="1">
        <v>1.24</v>
      </c>
      <c r="AH651" s="1">
        <v>1</v>
      </c>
      <c r="AI651" s="1">
        <v>2.75</v>
      </c>
      <c r="AJ651" s="1">
        <v>1</v>
      </c>
      <c r="AK651" s="1">
        <v>0</v>
      </c>
      <c r="AL651" s="1">
        <v>1</v>
      </c>
      <c r="AM651" s="1">
        <v>1</v>
      </c>
      <c r="AN651" s="1">
        <v>1.72</v>
      </c>
    </row>
    <row r="652" spans="1:40">
      <c r="A652" s="1">
        <v>5007</v>
      </c>
      <c r="C652" s="1">
        <v>1.3</v>
      </c>
      <c r="D652" s="1">
        <v>1.3</v>
      </c>
      <c r="E652" s="1">
        <v>1.3</v>
      </c>
      <c r="F652" s="1">
        <v>1.3</v>
      </c>
      <c r="G652" s="1">
        <v>1.3</v>
      </c>
      <c r="H652" s="1">
        <v>1</v>
      </c>
      <c r="I652" s="1">
        <v>1</v>
      </c>
      <c r="J652" s="1">
        <v>0.71</v>
      </c>
      <c r="K652" s="1">
        <v>1.85</v>
      </c>
      <c r="L652" s="1">
        <v>1.28</v>
      </c>
      <c r="M652" s="1">
        <v>1.28</v>
      </c>
      <c r="N652" s="1">
        <v>1</v>
      </c>
      <c r="O652" s="1">
        <v>1</v>
      </c>
      <c r="P652" s="1">
        <v>1</v>
      </c>
      <c r="Q652" s="1">
        <v>1</v>
      </c>
      <c r="R652" s="1">
        <v>1</v>
      </c>
      <c r="S652" s="1">
        <v>1</v>
      </c>
      <c r="T652" s="1">
        <v>1</v>
      </c>
      <c r="U652" s="1">
        <v>1</v>
      </c>
      <c r="V652" s="1">
        <v>1.04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7</v>
      </c>
      <c r="AD652" s="1">
        <v>7</v>
      </c>
      <c r="AE652" s="1">
        <v>1.3</v>
      </c>
      <c r="AF652" s="1">
        <v>1</v>
      </c>
      <c r="AG652" s="1">
        <v>1.28</v>
      </c>
      <c r="AH652" s="1">
        <v>1</v>
      </c>
      <c r="AI652" s="1">
        <v>3</v>
      </c>
      <c r="AJ652" s="1">
        <v>1</v>
      </c>
      <c r="AK652" s="1">
        <v>0</v>
      </c>
      <c r="AL652" s="1">
        <v>1</v>
      </c>
      <c r="AM652" s="1">
        <v>1</v>
      </c>
      <c r="AN652" s="1">
        <v>1.84</v>
      </c>
    </row>
    <row r="653" spans="1:40">
      <c r="A653" s="1">
        <v>5008</v>
      </c>
      <c r="C653" s="1">
        <v>1.35</v>
      </c>
      <c r="D653" s="1">
        <v>1.35</v>
      </c>
      <c r="E653" s="1">
        <v>1.35</v>
      </c>
      <c r="F653" s="1">
        <v>1.35</v>
      </c>
      <c r="G653" s="1">
        <v>1.35</v>
      </c>
      <c r="H653" s="1">
        <v>1</v>
      </c>
      <c r="I653" s="1">
        <v>1</v>
      </c>
      <c r="J653" s="1">
        <v>0.74</v>
      </c>
      <c r="K653" s="1">
        <v>1.9</v>
      </c>
      <c r="L653" s="1">
        <v>1.32</v>
      </c>
      <c r="M653" s="1">
        <v>1.32</v>
      </c>
      <c r="N653" s="1">
        <v>1</v>
      </c>
      <c r="O653" s="1">
        <v>1</v>
      </c>
      <c r="P653" s="1">
        <v>1</v>
      </c>
      <c r="Q653" s="1">
        <v>1</v>
      </c>
      <c r="R653" s="1">
        <v>1</v>
      </c>
      <c r="S653" s="1">
        <v>1</v>
      </c>
      <c r="T653" s="1">
        <v>1</v>
      </c>
      <c r="U653" s="1">
        <v>1</v>
      </c>
      <c r="V653" s="1">
        <v>1.04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8</v>
      </c>
      <c r="AD653" s="1">
        <v>8</v>
      </c>
      <c r="AE653" s="1">
        <v>1.35</v>
      </c>
      <c r="AF653" s="1">
        <v>1</v>
      </c>
      <c r="AG653" s="1">
        <v>1.32</v>
      </c>
      <c r="AH653" s="1">
        <v>1</v>
      </c>
      <c r="AI653" s="1">
        <v>3.25</v>
      </c>
      <c r="AJ653" s="1">
        <v>1</v>
      </c>
      <c r="AK653" s="1">
        <v>0</v>
      </c>
      <c r="AL653" s="1">
        <v>1</v>
      </c>
      <c r="AM653" s="1">
        <v>1</v>
      </c>
      <c r="AN653" s="1">
        <v>1.96</v>
      </c>
    </row>
    <row r="654" spans="1:40">
      <c r="A654" s="1">
        <v>5009</v>
      </c>
      <c r="C654" s="1">
        <v>1.4</v>
      </c>
      <c r="D654" s="1">
        <v>1.4</v>
      </c>
      <c r="E654" s="1">
        <v>1.4</v>
      </c>
      <c r="F654" s="1">
        <v>1.4</v>
      </c>
      <c r="G654" s="1">
        <v>1.4</v>
      </c>
      <c r="H654" s="1">
        <v>1</v>
      </c>
      <c r="I654" s="1">
        <v>1</v>
      </c>
      <c r="J654" s="1">
        <v>0.77</v>
      </c>
      <c r="K654" s="1">
        <v>1.95</v>
      </c>
      <c r="L654" s="1">
        <v>1.36</v>
      </c>
      <c r="M654" s="1">
        <v>1.36</v>
      </c>
      <c r="N654" s="1">
        <v>1</v>
      </c>
      <c r="O654" s="1">
        <v>1</v>
      </c>
      <c r="P654" s="1">
        <v>1</v>
      </c>
      <c r="Q654" s="1">
        <v>1</v>
      </c>
      <c r="R654" s="1">
        <v>1</v>
      </c>
      <c r="S654" s="1">
        <v>1</v>
      </c>
      <c r="T654" s="1">
        <v>1</v>
      </c>
      <c r="U654" s="1">
        <v>1</v>
      </c>
      <c r="V654" s="1">
        <v>1.04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9</v>
      </c>
      <c r="AD654" s="1">
        <v>9</v>
      </c>
      <c r="AE654" s="1">
        <v>1.4</v>
      </c>
      <c r="AF654" s="1">
        <v>1</v>
      </c>
      <c r="AG654" s="1">
        <v>1.36</v>
      </c>
      <c r="AH654" s="1">
        <v>1</v>
      </c>
      <c r="AI654" s="1">
        <v>3.5</v>
      </c>
      <c r="AJ654" s="1">
        <v>1</v>
      </c>
      <c r="AK654" s="1">
        <v>0</v>
      </c>
      <c r="AL654" s="1">
        <v>1</v>
      </c>
      <c r="AM654" s="1">
        <v>1</v>
      </c>
      <c r="AN654" s="1">
        <v>2.08</v>
      </c>
    </row>
    <row r="655" spans="1:40">
      <c r="A655" s="1">
        <v>5010</v>
      </c>
      <c r="C655" s="1">
        <v>1.45</v>
      </c>
      <c r="D655" s="1">
        <v>1.45</v>
      </c>
      <c r="E655" s="1">
        <v>1.45</v>
      </c>
      <c r="F655" s="1">
        <v>1.45</v>
      </c>
      <c r="G655" s="1">
        <v>1.45</v>
      </c>
      <c r="H655" s="1">
        <v>1</v>
      </c>
      <c r="I655" s="1">
        <v>1</v>
      </c>
      <c r="J655" s="1">
        <v>0.8</v>
      </c>
      <c r="K655" s="1">
        <v>2</v>
      </c>
      <c r="L655" s="1">
        <v>1.4</v>
      </c>
      <c r="M655" s="1">
        <v>1.4</v>
      </c>
      <c r="N655" s="1">
        <v>1</v>
      </c>
      <c r="O655" s="1">
        <v>1</v>
      </c>
      <c r="P655" s="1">
        <v>1</v>
      </c>
      <c r="Q655" s="1">
        <v>1</v>
      </c>
      <c r="R655" s="1">
        <v>1</v>
      </c>
      <c r="S655" s="1">
        <v>1</v>
      </c>
      <c r="T655" s="1">
        <v>1</v>
      </c>
      <c r="U655" s="1">
        <v>1</v>
      </c>
      <c r="V655" s="1">
        <v>1.05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10</v>
      </c>
      <c r="AD655" s="1">
        <v>10</v>
      </c>
      <c r="AE655" s="1">
        <v>1.45</v>
      </c>
      <c r="AF655" s="1">
        <v>1</v>
      </c>
      <c r="AG655" s="1">
        <v>1.4</v>
      </c>
      <c r="AH655" s="1">
        <v>1</v>
      </c>
      <c r="AI655" s="1">
        <v>4</v>
      </c>
      <c r="AJ655" s="1">
        <v>1</v>
      </c>
      <c r="AK655" s="1">
        <v>0</v>
      </c>
      <c r="AL655" s="1">
        <v>1</v>
      </c>
      <c r="AM655" s="1">
        <v>1</v>
      </c>
      <c r="AN655" s="1">
        <v>2.2000000000000002</v>
      </c>
    </row>
    <row r="656" spans="1:40">
      <c r="A656" s="1">
        <v>5011</v>
      </c>
      <c r="C656" s="1">
        <v>1.5</v>
      </c>
      <c r="D656" s="1">
        <v>1.5</v>
      </c>
      <c r="E656" s="1">
        <v>1.5</v>
      </c>
      <c r="F656" s="1">
        <v>1.5</v>
      </c>
      <c r="G656" s="1">
        <v>1.5</v>
      </c>
      <c r="H656" s="1">
        <v>1</v>
      </c>
      <c r="I656" s="1">
        <v>1</v>
      </c>
      <c r="J656" s="1">
        <v>0.84</v>
      </c>
      <c r="K656" s="1">
        <v>2.04</v>
      </c>
      <c r="L656" s="1">
        <v>1.43</v>
      </c>
      <c r="M656" s="1">
        <v>1.43</v>
      </c>
      <c r="N656" s="1">
        <v>1</v>
      </c>
      <c r="O656" s="1">
        <v>1</v>
      </c>
      <c r="P656" s="1">
        <v>1</v>
      </c>
      <c r="Q656" s="1">
        <v>1</v>
      </c>
      <c r="R656" s="1">
        <v>1</v>
      </c>
      <c r="S656" s="1">
        <v>1</v>
      </c>
      <c r="T656" s="1">
        <v>1</v>
      </c>
      <c r="U656" s="1">
        <v>1</v>
      </c>
      <c r="V656" s="1">
        <v>1.05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11</v>
      </c>
      <c r="AD656" s="1">
        <v>11</v>
      </c>
      <c r="AE656" s="1">
        <v>1.5</v>
      </c>
      <c r="AF656" s="1">
        <v>1</v>
      </c>
      <c r="AG656" s="1">
        <v>1.43</v>
      </c>
      <c r="AH656" s="1">
        <v>1</v>
      </c>
      <c r="AI656" s="1">
        <v>1.5</v>
      </c>
      <c r="AJ656" s="1">
        <v>1</v>
      </c>
      <c r="AK656" s="1">
        <v>0</v>
      </c>
      <c r="AL656" s="1">
        <v>1</v>
      </c>
      <c r="AM656" s="1">
        <v>1</v>
      </c>
      <c r="AN656" s="1">
        <v>2.3199999999999998</v>
      </c>
    </row>
    <row r="657" spans="1:40">
      <c r="A657" s="1">
        <v>5012</v>
      </c>
      <c r="C657" s="1">
        <v>1.55</v>
      </c>
      <c r="D657" s="1">
        <v>1.55</v>
      </c>
      <c r="E657" s="1">
        <v>1.55</v>
      </c>
      <c r="F657" s="1">
        <v>1.55</v>
      </c>
      <c r="G657" s="1">
        <v>1.55</v>
      </c>
      <c r="H657" s="1">
        <v>1</v>
      </c>
      <c r="I657" s="1">
        <v>1</v>
      </c>
      <c r="J657" s="1">
        <v>0.88</v>
      </c>
      <c r="K657" s="1">
        <v>2.08</v>
      </c>
      <c r="L657" s="1">
        <v>1.46</v>
      </c>
      <c r="M657" s="1">
        <v>1.46</v>
      </c>
      <c r="N657" s="1">
        <v>1</v>
      </c>
      <c r="O657" s="1">
        <v>1</v>
      </c>
      <c r="P657" s="1">
        <v>1</v>
      </c>
      <c r="Q657" s="1">
        <v>1</v>
      </c>
      <c r="R657" s="1">
        <v>1</v>
      </c>
      <c r="S657" s="1">
        <v>1</v>
      </c>
      <c r="T657" s="1">
        <v>1</v>
      </c>
      <c r="U657" s="1">
        <v>1</v>
      </c>
      <c r="V657" s="1">
        <v>1.05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12</v>
      </c>
      <c r="AD657" s="1">
        <v>12</v>
      </c>
      <c r="AE657" s="1">
        <v>1.55</v>
      </c>
      <c r="AF657" s="1">
        <v>1</v>
      </c>
      <c r="AG657" s="1">
        <v>1.46</v>
      </c>
      <c r="AH657" s="1">
        <v>1</v>
      </c>
      <c r="AI657" s="1">
        <v>1.5</v>
      </c>
      <c r="AJ657" s="1">
        <v>1</v>
      </c>
      <c r="AK657" s="1">
        <v>0</v>
      </c>
      <c r="AL657" s="1">
        <v>1</v>
      </c>
      <c r="AM657" s="1">
        <v>1</v>
      </c>
      <c r="AN657" s="1">
        <v>2.44</v>
      </c>
    </row>
    <row r="658" spans="1:40">
      <c r="A658" s="1">
        <v>5013</v>
      </c>
      <c r="C658" s="1">
        <v>1.6</v>
      </c>
      <c r="D658" s="1">
        <v>1.6</v>
      </c>
      <c r="E658" s="1">
        <v>1.6</v>
      </c>
      <c r="F658" s="1">
        <v>1.6</v>
      </c>
      <c r="G658" s="1">
        <v>1.6</v>
      </c>
      <c r="H658" s="1">
        <v>1</v>
      </c>
      <c r="I658" s="1">
        <v>1</v>
      </c>
      <c r="J658" s="1">
        <v>0.92</v>
      </c>
      <c r="K658" s="1">
        <v>2.12</v>
      </c>
      <c r="L658" s="1">
        <v>1.49</v>
      </c>
      <c r="M658" s="1">
        <v>1.49</v>
      </c>
      <c r="N658" s="1">
        <v>1</v>
      </c>
      <c r="O658" s="1">
        <v>1</v>
      </c>
      <c r="P658" s="1">
        <v>1</v>
      </c>
      <c r="Q658" s="1">
        <v>1</v>
      </c>
      <c r="R658" s="1">
        <v>1</v>
      </c>
      <c r="S658" s="1">
        <v>1</v>
      </c>
      <c r="T658" s="1">
        <v>1</v>
      </c>
      <c r="U658" s="1">
        <v>1</v>
      </c>
      <c r="V658" s="1">
        <v>1.06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13</v>
      </c>
      <c r="AD658" s="1">
        <v>13</v>
      </c>
      <c r="AE658" s="1">
        <v>1.6</v>
      </c>
      <c r="AF658" s="1">
        <v>1</v>
      </c>
      <c r="AG658" s="1">
        <v>1.49</v>
      </c>
      <c r="AH658" s="1">
        <v>1</v>
      </c>
      <c r="AI658" s="1">
        <v>1.75</v>
      </c>
      <c r="AJ658" s="1">
        <v>1</v>
      </c>
      <c r="AK658" s="1">
        <v>0</v>
      </c>
      <c r="AL658" s="1">
        <v>1</v>
      </c>
      <c r="AM658" s="1">
        <v>1</v>
      </c>
      <c r="AN658" s="1">
        <v>2.56</v>
      </c>
    </row>
    <row r="659" spans="1:40">
      <c r="A659" s="1">
        <v>5014</v>
      </c>
      <c r="C659" s="1">
        <v>1.65</v>
      </c>
      <c r="D659" s="1">
        <v>1.65</v>
      </c>
      <c r="E659" s="1">
        <v>1.65</v>
      </c>
      <c r="F659" s="1">
        <v>1.65</v>
      </c>
      <c r="G659" s="1">
        <v>1.65</v>
      </c>
      <c r="H659" s="1">
        <v>1</v>
      </c>
      <c r="I659" s="1">
        <v>1</v>
      </c>
      <c r="J659" s="1">
        <v>0.96</v>
      </c>
      <c r="K659" s="1">
        <v>2.16</v>
      </c>
      <c r="L659" s="1">
        <v>1.52</v>
      </c>
      <c r="M659" s="1">
        <v>1.52</v>
      </c>
      <c r="N659" s="1">
        <v>1</v>
      </c>
      <c r="O659" s="1">
        <v>1</v>
      </c>
      <c r="P659" s="1">
        <v>1</v>
      </c>
      <c r="Q659" s="1">
        <v>1</v>
      </c>
      <c r="R659" s="1">
        <v>1</v>
      </c>
      <c r="S659" s="1">
        <v>1</v>
      </c>
      <c r="T659" s="1">
        <v>1</v>
      </c>
      <c r="U659" s="1">
        <v>1</v>
      </c>
      <c r="V659" s="1">
        <v>1.06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14</v>
      </c>
      <c r="AD659" s="1">
        <v>14</v>
      </c>
      <c r="AE659" s="1">
        <v>1.65</v>
      </c>
      <c r="AF659" s="1">
        <v>1</v>
      </c>
      <c r="AG659" s="1">
        <v>1.52</v>
      </c>
      <c r="AH659" s="1">
        <v>1</v>
      </c>
      <c r="AI659" s="1">
        <v>2</v>
      </c>
      <c r="AJ659" s="1">
        <v>1</v>
      </c>
      <c r="AK659" s="1">
        <v>0</v>
      </c>
      <c r="AL659" s="1">
        <v>1</v>
      </c>
      <c r="AM659" s="1">
        <v>1</v>
      </c>
      <c r="AN659" s="1">
        <v>2.68</v>
      </c>
    </row>
    <row r="660" spans="1:40">
      <c r="A660" s="1">
        <v>5015</v>
      </c>
      <c r="C660" s="1">
        <v>1.7</v>
      </c>
      <c r="D660" s="1">
        <v>1.7</v>
      </c>
      <c r="E660" s="1">
        <v>1.7</v>
      </c>
      <c r="F660" s="1">
        <v>1.7</v>
      </c>
      <c r="G660" s="1">
        <v>1.7</v>
      </c>
      <c r="H660" s="1">
        <v>1</v>
      </c>
      <c r="I660" s="1">
        <v>1</v>
      </c>
      <c r="J660" s="1">
        <v>1</v>
      </c>
      <c r="K660" s="1">
        <v>2.2000000000000002</v>
      </c>
      <c r="L660" s="1">
        <v>1.55</v>
      </c>
      <c r="M660" s="1">
        <v>1.55</v>
      </c>
      <c r="N660" s="1">
        <v>1</v>
      </c>
      <c r="O660" s="1">
        <v>1</v>
      </c>
      <c r="P660" s="1">
        <v>1</v>
      </c>
      <c r="Q660" s="1">
        <v>1</v>
      </c>
      <c r="R660" s="1">
        <v>1</v>
      </c>
      <c r="S660" s="1">
        <v>1</v>
      </c>
      <c r="T660" s="1">
        <v>1</v>
      </c>
      <c r="U660" s="1">
        <v>1</v>
      </c>
      <c r="V660" s="1">
        <v>1.06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15</v>
      </c>
      <c r="AD660" s="1">
        <v>15</v>
      </c>
      <c r="AE660" s="1">
        <v>1.7</v>
      </c>
      <c r="AF660" s="1">
        <v>1</v>
      </c>
      <c r="AG660" s="1">
        <v>1.55</v>
      </c>
      <c r="AH660" s="1">
        <v>1</v>
      </c>
      <c r="AI660" s="1">
        <v>2.25</v>
      </c>
      <c r="AJ660" s="1">
        <v>1</v>
      </c>
      <c r="AK660" s="1">
        <v>0</v>
      </c>
      <c r="AL660" s="1">
        <v>1</v>
      </c>
      <c r="AM660" s="1">
        <v>1</v>
      </c>
      <c r="AN660" s="1">
        <v>2.8</v>
      </c>
    </row>
    <row r="661" spans="1:40">
      <c r="A661" s="1">
        <v>5016</v>
      </c>
      <c r="C661" s="1">
        <v>1.75</v>
      </c>
      <c r="D661" s="1">
        <v>1.75</v>
      </c>
      <c r="E661" s="1">
        <v>1.75</v>
      </c>
      <c r="F661" s="1">
        <v>1.75</v>
      </c>
      <c r="G661" s="1">
        <v>1.75</v>
      </c>
      <c r="H661" s="1">
        <v>1</v>
      </c>
      <c r="I661" s="1">
        <v>1</v>
      </c>
      <c r="J661" s="1">
        <v>1.04</v>
      </c>
      <c r="K661" s="1">
        <v>2.2400000000000002</v>
      </c>
      <c r="L661" s="1">
        <v>1.58</v>
      </c>
      <c r="M661" s="1">
        <v>1.58</v>
      </c>
      <c r="N661" s="1">
        <v>1</v>
      </c>
      <c r="O661" s="1">
        <v>1</v>
      </c>
      <c r="P661" s="1">
        <v>1</v>
      </c>
      <c r="Q661" s="1">
        <v>1</v>
      </c>
      <c r="R661" s="1">
        <v>1</v>
      </c>
      <c r="S661" s="1">
        <v>1</v>
      </c>
      <c r="T661" s="1">
        <v>1</v>
      </c>
      <c r="U661" s="1">
        <v>1</v>
      </c>
      <c r="V661" s="1">
        <v>1.07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16</v>
      </c>
      <c r="AD661" s="1">
        <v>16</v>
      </c>
      <c r="AE661" s="1">
        <v>1.75</v>
      </c>
      <c r="AF661" s="1">
        <v>1</v>
      </c>
      <c r="AG661" s="1">
        <v>1.58</v>
      </c>
      <c r="AH661" s="1">
        <v>1</v>
      </c>
      <c r="AI661" s="1">
        <v>2.5</v>
      </c>
      <c r="AJ661" s="1">
        <v>1</v>
      </c>
      <c r="AK661" s="1">
        <v>0</v>
      </c>
      <c r="AL661" s="1">
        <v>1</v>
      </c>
      <c r="AM661" s="1">
        <v>1</v>
      </c>
      <c r="AN661" s="1">
        <v>2.92</v>
      </c>
    </row>
    <row r="662" spans="1:40">
      <c r="A662" s="1">
        <v>5017</v>
      </c>
      <c r="C662" s="1">
        <v>1.8</v>
      </c>
      <c r="D662" s="1">
        <v>1.8</v>
      </c>
      <c r="E662" s="1">
        <v>1.8</v>
      </c>
      <c r="F662" s="1">
        <v>1.8</v>
      </c>
      <c r="G662" s="1">
        <v>1.8</v>
      </c>
      <c r="H662" s="1">
        <v>1</v>
      </c>
      <c r="I662" s="1">
        <v>1</v>
      </c>
      <c r="J662" s="1">
        <v>1.08</v>
      </c>
      <c r="K662" s="1">
        <v>2.2799999999999998</v>
      </c>
      <c r="L662" s="1">
        <v>1.61</v>
      </c>
      <c r="M662" s="1">
        <v>1.61</v>
      </c>
      <c r="N662" s="1">
        <v>1</v>
      </c>
      <c r="O662" s="1">
        <v>1</v>
      </c>
      <c r="P662" s="1">
        <v>1</v>
      </c>
      <c r="Q662" s="1">
        <v>1</v>
      </c>
      <c r="R662" s="1">
        <v>1</v>
      </c>
      <c r="S662" s="1">
        <v>1</v>
      </c>
      <c r="T662" s="1">
        <v>1</v>
      </c>
      <c r="U662" s="1">
        <v>1</v>
      </c>
      <c r="V662" s="1">
        <v>1.07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17</v>
      </c>
      <c r="AD662" s="1">
        <v>17</v>
      </c>
      <c r="AE662" s="1">
        <v>1.8</v>
      </c>
      <c r="AF662" s="1">
        <v>1</v>
      </c>
      <c r="AG662" s="1">
        <v>1.61</v>
      </c>
      <c r="AH662" s="1">
        <v>1</v>
      </c>
      <c r="AI662" s="1">
        <v>2.75</v>
      </c>
      <c r="AJ662" s="1">
        <v>1</v>
      </c>
      <c r="AK662" s="1">
        <v>0</v>
      </c>
      <c r="AL662" s="1">
        <v>1</v>
      </c>
      <c r="AM662" s="1">
        <v>1</v>
      </c>
      <c r="AN662" s="1">
        <v>3.04</v>
      </c>
    </row>
    <row r="663" spans="1:40">
      <c r="A663" s="1">
        <v>5018</v>
      </c>
      <c r="C663" s="1">
        <v>1.85</v>
      </c>
      <c r="D663" s="1">
        <v>1.85</v>
      </c>
      <c r="E663" s="1">
        <v>1.85</v>
      </c>
      <c r="F663" s="1">
        <v>1.85</v>
      </c>
      <c r="G663" s="1">
        <v>1.85</v>
      </c>
      <c r="H663" s="1">
        <v>1</v>
      </c>
      <c r="I663" s="1">
        <v>1</v>
      </c>
      <c r="J663" s="1">
        <v>1.1200000000000001</v>
      </c>
      <c r="K663" s="1">
        <v>2.3199999999999998</v>
      </c>
      <c r="L663" s="1">
        <v>1.64</v>
      </c>
      <c r="M663" s="1">
        <v>1.64</v>
      </c>
      <c r="N663" s="1">
        <v>1</v>
      </c>
      <c r="O663" s="1">
        <v>1</v>
      </c>
      <c r="P663" s="1">
        <v>1</v>
      </c>
      <c r="Q663" s="1">
        <v>1</v>
      </c>
      <c r="R663" s="1">
        <v>1</v>
      </c>
      <c r="S663" s="1">
        <v>1</v>
      </c>
      <c r="T663" s="1">
        <v>1</v>
      </c>
      <c r="U663" s="1">
        <v>1</v>
      </c>
      <c r="V663" s="1">
        <v>1.07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18</v>
      </c>
      <c r="AD663" s="1">
        <v>18</v>
      </c>
      <c r="AE663" s="1">
        <v>1.85</v>
      </c>
      <c r="AF663" s="1">
        <v>1</v>
      </c>
      <c r="AG663" s="1">
        <v>1.64</v>
      </c>
      <c r="AH663" s="1">
        <v>1</v>
      </c>
      <c r="AI663" s="1">
        <v>3</v>
      </c>
      <c r="AJ663" s="1">
        <v>1</v>
      </c>
      <c r="AK663" s="1">
        <v>0</v>
      </c>
      <c r="AL663" s="1">
        <v>1</v>
      </c>
      <c r="AM663" s="1">
        <v>1</v>
      </c>
      <c r="AN663" s="1">
        <v>3.16</v>
      </c>
    </row>
    <row r="664" spans="1:40">
      <c r="A664" s="1">
        <v>5019</v>
      </c>
      <c r="C664" s="1">
        <v>1.9</v>
      </c>
      <c r="D664" s="1">
        <v>1.9</v>
      </c>
      <c r="E664" s="1">
        <v>1.9</v>
      </c>
      <c r="F664" s="1">
        <v>1.9</v>
      </c>
      <c r="G664" s="1">
        <v>1.9</v>
      </c>
      <c r="H664" s="1">
        <v>1</v>
      </c>
      <c r="I664" s="1">
        <v>1</v>
      </c>
      <c r="J664" s="1">
        <v>1.1599999999999999</v>
      </c>
      <c r="K664" s="1">
        <v>2.36</v>
      </c>
      <c r="L664" s="1">
        <v>1.67</v>
      </c>
      <c r="M664" s="1">
        <v>1.67</v>
      </c>
      <c r="N664" s="1">
        <v>1</v>
      </c>
      <c r="O664" s="1">
        <v>1</v>
      </c>
      <c r="P664" s="1">
        <v>1</v>
      </c>
      <c r="Q664" s="1">
        <v>1</v>
      </c>
      <c r="R664" s="1">
        <v>1</v>
      </c>
      <c r="S664" s="1">
        <v>1</v>
      </c>
      <c r="T664" s="1">
        <v>1</v>
      </c>
      <c r="U664" s="1">
        <v>1</v>
      </c>
      <c r="V664" s="1">
        <v>1.08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19</v>
      </c>
      <c r="AD664" s="1">
        <v>19</v>
      </c>
      <c r="AE664" s="1">
        <v>1.9</v>
      </c>
      <c r="AF664" s="1">
        <v>1</v>
      </c>
      <c r="AG664" s="1">
        <v>1.67</v>
      </c>
      <c r="AH664" s="1">
        <v>1</v>
      </c>
      <c r="AI664" s="1">
        <v>3.25</v>
      </c>
      <c r="AJ664" s="1">
        <v>1</v>
      </c>
      <c r="AK664" s="1">
        <v>0</v>
      </c>
      <c r="AL664" s="1">
        <v>1</v>
      </c>
      <c r="AM664" s="1">
        <v>1</v>
      </c>
      <c r="AN664" s="1">
        <v>3.28</v>
      </c>
    </row>
    <row r="665" spans="1:40">
      <c r="A665" s="1">
        <v>5020</v>
      </c>
      <c r="C665" s="1">
        <v>1.95</v>
      </c>
      <c r="D665" s="1">
        <v>1.95</v>
      </c>
      <c r="E665" s="1">
        <v>1.95</v>
      </c>
      <c r="F665" s="1">
        <v>1.95</v>
      </c>
      <c r="G665" s="1">
        <v>1.95</v>
      </c>
      <c r="H665" s="1">
        <v>1</v>
      </c>
      <c r="I665" s="1">
        <v>1</v>
      </c>
      <c r="J665" s="1">
        <v>1.2</v>
      </c>
      <c r="K665" s="1">
        <v>2.4</v>
      </c>
      <c r="L665" s="1">
        <v>1.7</v>
      </c>
      <c r="M665" s="1">
        <v>1.7</v>
      </c>
      <c r="N665" s="1">
        <v>1</v>
      </c>
      <c r="O665" s="1">
        <v>1</v>
      </c>
      <c r="P665" s="1">
        <v>1</v>
      </c>
      <c r="Q665" s="1">
        <v>1</v>
      </c>
      <c r="R665" s="1">
        <v>1</v>
      </c>
      <c r="S665" s="1">
        <v>1</v>
      </c>
      <c r="T665" s="1">
        <v>1</v>
      </c>
      <c r="U665" s="1">
        <v>1</v>
      </c>
      <c r="V665" s="1">
        <v>1.08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20</v>
      </c>
      <c r="AD665" s="1">
        <v>20</v>
      </c>
      <c r="AE665" s="1">
        <v>1.95</v>
      </c>
      <c r="AF665" s="1">
        <v>1</v>
      </c>
      <c r="AG665" s="1">
        <v>1.7</v>
      </c>
      <c r="AH665" s="1">
        <v>1</v>
      </c>
      <c r="AI665" s="1">
        <v>3.5</v>
      </c>
      <c r="AJ665" s="1">
        <v>1</v>
      </c>
      <c r="AK665" s="1">
        <v>0</v>
      </c>
      <c r="AL665" s="1">
        <v>1</v>
      </c>
      <c r="AM665" s="1">
        <v>1</v>
      </c>
      <c r="AN665" s="1">
        <v>3.4</v>
      </c>
    </row>
    <row r="666" spans="1:40">
      <c r="A666" s="1">
        <v>5021</v>
      </c>
      <c r="C666" s="1">
        <v>2</v>
      </c>
      <c r="D666" s="1">
        <v>2</v>
      </c>
      <c r="E666" s="1">
        <v>2</v>
      </c>
      <c r="F666" s="1">
        <v>2</v>
      </c>
      <c r="G666" s="1">
        <v>2</v>
      </c>
      <c r="H666" s="1">
        <v>1</v>
      </c>
      <c r="I666" s="1">
        <v>1</v>
      </c>
      <c r="J666" s="1">
        <v>1.22</v>
      </c>
      <c r="K666" s="1">
        <v>2.42</v>
      </c>
      <c r="L666" s="1">
        <v>1.72</v>
      </c>
      <c r="M666" s="1">
        <v>1.72</v>
      </c>
      <c r="N666" s="1">
        <v>1</v>
      </c>
      <c r="O666" s="1">
        <v>1</v>
      </c>
      <c r="P666" s="1">
        <v>1</v>
      </c>
      <c r="Q666" s="1">
        <v>1</v>
      </c>
      <c r="R666" s="1">
        <v>1</v>
      </c>
      <c r="S666" s="1">
        <v>1</v>
      </c>
      <c r="T666" s="1">
        <v>1</v>
      </c>
      <c r="U666" s="1">
        <v>1</v>
      </c>
      <c r="V666" s="1">
        <v>1.08</v>
      </c>
      <c r="W666" s="1">
        <v>0</v>
      </c>
      <c r="X666" s="1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21</v>
      </c>
      <c r="AD666" s="1">
        <v>21</v>
      </c>
      <c r="AE666" s="1">
        <v>2</v>
      </c>
      <c r="AF666" s="1">
        <v>1</v>
      </c>
      <c r="AG666" s="1">
        <v>1.72</v>
      </c>
      <c r="AH666" s="1">
        <v>1</v>
      </c>
      <c r="AI666" s="1">
        <v>4</v>
      </c>
      <c r="AJ666" s="1">
        <v>1</v>
      </c>
      <c r="AK666" s="1">
        <v>0</v>
      </c>
      <c r="AL666" s="1">
        <v>1</v>
      </c>
      <c r="AM666" s="1">
        <v>1</v>
      </c>
      <c r="AN666" s="1">
        <v>3.52</v>
      </c>
    </row>
    <row r="667" spans="1:40">
      <c r="A667" s="1">
        <v>5022</v>
      </c>
      <c r="C667" s="1">
        <v>2.0499999999999998</v>
      </c>
      <c r="D667" s="1">
        <v>2.0499999999999998</v>
      </c>
      <c r="E667" s="1">
        <v>2.0499999999999998</v>
      </c>
      <c r="F667" s="1">
        <v>2.0499999999999998</v>
      </c>
      <c r="G667" s="1">
        <v>2.0499999999999998</v>
      </c>
      <c r="H667" s="1">
        <v>1</v>
      </c>
      <c r="I667" s="1">
        <v>1</v>
      </c>
      <c r="J667" s="1">
        <v>1.24</v>
      </c>
      <c r="K667" s="1">
        <v>2.44</v>
      </c>
      <c r="L667" s="1">
        <v>1.74</v>
      </c>
      <c r="M667" s="1">
        <v>1.74</v>
      </c>
      <c r="N667" s="1">
        <v>1</v>
      </c>
      <c r="O667" s="1">
        <v>1</v>
      </c>
      <c r="P667" s="1">
        <v>1</v>
      </c>
      <c r="Q667" s="1">
        <v>1</v>
      </c>
      <c r="R667" s="1">
        <v>1</v>
      </c>
      <c r="S667" s="1">
        <v>1</v>
      </c>
      <c r="T667" s="1">
        <v>1</v>
      </c>
      <c r="U667" s="1">
        <v>1</v>
      </c>
      <c r="V667" s="1">
        <v>1.0900000000000001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22</v>
      </c>
      <c r="AD667" s="1">
        <v>22</v>
      </c>
      <c r="AE667" s="1">
        <v>2.0499999999999998</v>
      </c>
      <c r="AF667" s="1">
        <v>1</v>
      </c>
      <c r="AG667" s="1">
        <v>1.74</v>
      </c>
      <c r="AH667" s="1">
        <v>1</v>
      </c>
      <c r="AI667" s="1">
        <v>3</v>
      </c>
      <c r="AJ667" s="1">
        <v>1</v>
      </c>
      <c r="AK667" s="1">
        <v>0</v>
      </c>
      <c r="AL667" s="1">
        <v>1</v>
      </c>
      <c r="AM667" s="1">
        <v>1</v>
      </c>
      <c r="AN667" s="1">
        <v>3.64</v>
      </c>
    </row>
    <row r="668" spans="1:40">
      <c r="A668" s="1">
        <v>5023</v>
      </c>
      <c r="C668" s="1">
        <v>2.1</v>
      </c>
      <c r="D668" s="1">
        <v>2.1</v>
      </c>
      <c r="E668" s="1">
        <v>2.1</v>
      </c>
      <c r="F668" s="1">
        <v>2.1</v>
      </c>
      <c r="G668" s="1">
        <v>2.1</v>
      </c>
      <c r="H668" s="1">
        <v>1</v>
      </c>
      <c r="I668" s="1">
        <v>1</v>
      </c>
      <c r="J668" s="1">
        <v>1.26</v>
      </c>
      <c r="K668" s="1">
        <v>2.46</v>
      </c>
      <c r="L668" s="1">
        <v>1.76</v>
      </c>
      <c r="M668" s="1">
        <v>1.76</v>
      </c>
      <c r="N668" s="1">
        <v>1</v>
      </c>
      <c r="O668" s="1">
        <v>1</v>
      </c>
      <c r="P668" s="1">
        <v>1</v>
      </c>
      <c r="Q668" s="1">
        <v>1</v>
      </c>
      <c r="R668" s="1">
        <v>1</v>
      </c>
      <c r="S668" s="1">
        <v>1</v>
      </c>
      <c r="T668" s="1">
        <v>1</v>
      </c>
      <c r="U668" s="1">
        <v>1</v>
      </c>
      <c r="V668" s="1">
        <v>1.0900000000000001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23</v>
      </c>
      <c r="AD668" s="1">
        <v>23</v>
      </c>
      <c r="AE668" s="1">
        <v>2.1</v>
      </c>
      <c r="AF668" s="1">
        <v>1</v>
      </c>
      <c r="AG668" s="1">
        <v>1.76</v>
      </c>
      <c r="AH668" s="1">
        <v>1</v>
      </c>
      <c r="AI668" s="1">
        <v>3.25</v>
      </c>
      <c r="AJ668" s="1">
        <v>1</v>
      </c>
      <c r="AK668" s="1">
        <v>0</v>
      </c>
      <c r="AL668" s="1">
        <v>1</v>
      </c>
      <c r="AM668" s="1">
        <v>1</v>
      </c>
      <c r="AN668" s="1">
        <v>3.76</v>
      </c>
    </row>
    <row r="669" spans="1:40">
      <c r="A669" s="1">
        <v>5024</v>
      </c>
      <c r="C669" s="1">
        <v>2.15</v>
      </c>
      <c r="D669" s="1">
        <v>2.15</v>
      </c>
      <c r="E669" s="1">
        <v>2.15</v>
      </c>
      <c r="F669" s="1">
        <v>2.15</v>
      </c>
      <c r="G669" s="1">
        <v>2.15</v>
      </c>
      <c r="H669" s="1">
        <v>1</v>
      </c>
      <c r="I669" s="1">
        <v>1</v>
      </c>
      <c r="J669" s="1">
        <v>1.28</v>
      </c>
      <c r="K669" s="1">
        <v>2.48</v>
      </c>
      <c r="L669" s="1">
        <v>1.78</v>
      </c>
      <c r="M669" s="1">
        <v>1.78</v>
      </c>
      <c r="N669" s="1">
        <v>1</v>
      </c>
      <c r="O669" s="1">
        <v>1</v>
      </c>
      <c r="P669" s="1">
        <v>1</v>
      </c>
      <c r="Q669" s="1">
        <v>1</v>
      </c>
      <c r="R669" s="1">
        <v>1</v>
      </c>
      <c r="S669" s="1">
        <v>1</v>
      </c>
      <c r="T669" s="1">
        <v>1</v>
      </c>
      <c r="U669" s="1">
        <v>1</v>
      </c>
      <c r="V669" s="1">
        <v>1.0900000000000001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24</v>
      </c>
      <c r="AD669" s="1">
        <v>24</v>
      </c>
      <c r="AE669" s="1">
        <v>2.15</v>
      </c>
      <c r="AF669" s="1">
        <v>1</v>
      </c>
      <c r="AG669" s="1">
        <v>1.78</v>
      </c>
      <c r="AH669" s="1">
        <v>1</v>
      </c>
      <c r="AI669" s="1">
        <v>3.5</v>
      </c>
      <c r="AJ669" s="1">
        <v>1</v>
      </c>
      <c r="AK669" s="1">
        <v>0</v>
      </c>
      <c r="AL669" s="1">
        <v>1</v>
      </c>
      <c r="AM669" s="1">
        <v>1</v>
      </c>
      <c r="AN669" s="1">
        <v>3.88</v>
      </c>
    </row>
    <row r="670" spans="1:40">
      <c r="A670" s="1">
        <v>5025</v>
      </c>
      <c r="C670" s="1">
        <v>2.2000000000000002</v>
      </c>
      <c r="D670" s="1">
        <v>2.2000000000000002</v>
      </c>
      <c r="E670" s="1">
        <v>2.2000000000000002</v>
      </c>
      <c r="F670" s="1">
        <v>2.2000000000000002</v>
      </c>
      <c r="G670" s="1">
        <v>2.2000000000000002</v>
      </c>
      <c r="H670" s="1">
        <v>1</v>
      </c>
      <c r="I670" s="1">
        <v>1</v>
      </c>
      <c r="J670" s="1">
        <v>1.3</v>
      </c>
      <c r="K670" s="1">
        <v>2.5</v>
      </c>
      <c r="L670" s="1">
        <v>1.8</v>
      </c>
      <c r="M670" s="1">
        <v>1.8</v>
      </c>
      <c r="N670" s="1">
        <v>1</v>
      </c>
      <c r="O670" s="1">
        <v>1</v>
      </c>
      <c r="P670" s="1">
        <v>1</v>
      </c>
      <c r="Q670" s="1">
        <v>1</v>
      </c>
      <c r="R670" s="1">
        <v>1</v>
      </c>
      <c r="S670" s="1">
        <v>1</v>
      </c>
      <c r="T670" s="1">
        <v>1</v>
      </c>
      <c r="U670" s="1">
        <v>1</v>
      </c>
      <c r="V670" s="1">
        <v>1.1000000000000001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25</v>
      </c>
      <c r="AD670" s="1">
        <v>25</v>
      </c>
      <c r="AE670" s="1">
        <v>2.2000000000000002</v>
      </c>
      <c r="AF670" s="1">
        <v>1</v>
      </c>
      <c r="AG670" s="1">
        <v>1.8</v>
      </c>
      <c r="AH670" s="1">
        <v>1</v>
      </c>
      <c r="AI670" s="1">
        <v>4</v>
      </c>
      <c r="AJ670" s="1">
        <v>1</v>
      </c>
      <c r="AK670" s="1">
        <v>0</v>
      </c>
      <c r="AL670" s="1">
        <v>1</v>
      </c>
      <c r="AM670" s="1">
        <v>1</v>
      </c>
      <c r="AN670" s="1">
        <v>4</v>
      </c>
    </row>
    <row r="671" spans="1:40">
      <c r="A671" s="1">
        <v>6000</v>
      </c>
      <c r="C671" s="1">
        <v>0.95</v>
      </c>
      <c r="D671" s="1">
        <v>0.95</v>
      </c>
      <c r="E671" s="1">
        <v>0.95</v>
      </c>
      <c r="F671" s="1">
        <v>0.95</v>
      </c>
      <c r="G671" s="1">
        <v>0.95</v>
      </c>
      <c r="H671" s="1">
        <v>1</v>
      </c>
      <c r="I671" s="1">
        <v>1</v>
      </c>
      <c r="J671" s="1">
        <v>1.4</v>
      </c>
      <c r="K671" s="1">
        <v>0.5</v>
      </c>
      <c r="L671" s="1">
        <v>1</v>
      </c>
      <c r="M671" s="1">
        <v>1</v>
      </c>
      <c r="N671" s="1">
        <v>1</v>
      </c>
      <c r="O671" s="1">
        <v>1</v>
      </c>
      <c r="P671" s="1">
        <v>1</v>
      </c>
      <c r="Q671" s="1">
        <v>1</v>
      </c>
      <c r="R671" s="1">
        <v>1</v>
      </c>
      <c r="S671" s="1">
        <v>1</v>
      </c>
      <c r="T671" s="1">
        <v>1</v>
      </c>
      <c r="U671" s="1">
        <v>1</v>
      </c>
      <c r="V671" s="1">
        <v>1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0.95</v>
      </c>
      <c r="AF671" s="1">
        <v>1</v>
      </c>
      <c r="AG671" s="1">
        <v>1</v>
      </c>
      <c r="AH671" s="1">
        <v>1</v>
      </c>
      <c r="AI671" s="1">
        <v>1.5</v>
      </c>
      <c r="AJ671" s="1">
        <v>1</v>
      </c>
      <c r="AK671" s="1">
        <v>0</v>
      </c>
      <c r="AL671" s="1">
        <v>1</v>
      </c>
      <c r="AM671" s="1">
        <v>1</v>
      </c>
      <c r="AN671" s="1">
        <v>1</v>
      </c>
    </row>
    <row r="672" spans="1:40">
      <c r="A672" s="1">
        <v>6001</v>
      </c>
      <c r="C672" s="1">
        <v>1</v>
      </c>
      <c r="D672" s="1">
        <v>1</v>
      </c>
      <c r="E672" s="1">
        <v>1</v>
      </c>
      <c r="F672" s="1">
        <v>1</v>
      </c>
      <c r="G672" s="1">
        <v>1</v>
      </c>
      <c r="H672" s="1">
        <v>1</v>
      </c>
      <c r="I672" s="1">
        <v>1</v>
      </c>
      <c r="J672" s="1">
        <v>1.46</v>
      </c>
      <c r="K672" s="1">
        <v>0.53</v>
      </c>
      <c r="L672" s="1">
        <v>1.04</v>
      </c>
      <c r="M672" s="1">
        <v>1.04</v>
      </c>
      <c r="N672" s="1">
        <v>1</v>
      </c>
      <c r="O672" s="1">
        <v>1</v>
      </c>
      <c r="P672" s="1">
        <v>1</v>
      </c>
      <c r="Q672" s="1">
        <v>1</v>
      </c>
      <c r="R672" s="1">
        <v>1</v>
      </c>
      <c r="S672" s="1">
        <v>1</v>
      </c>
      <c r="T672" s="1">
        <v>1</v>
      </c>
      <c r="U672" s="1">
        <v>1</v>
      </c>
      <c r="V672" s="1">
        <v>1.01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1</v>
      </c>
      <c r="AD672" s="1">
        <v>1</v>
      </c>
      <c r="AE672" s="1">
        <v>1</v>
      </c>
      <c r="AF672" s="1">
        <v>1</v>
      </c>
      <c r="AG672" s="1">
        <v>1.04</v>
      </c>
      <c r="AH672" s="1">
        <v>1</v>
      </c>
      <c r="AI672" s="1">
        <v>1.5</v>
      </c>
      <c r="AJ672" s="1">
        <v>1</v>
      </c>
      <c r="AK672" s="1">
        <v>0</v>
      </c>
      <c r="AL672" s="1">
        <v>1</v>
      </c>
      <c r="AM672" s="1">
        <v>1</v>
      </c>
      <c r="AN672" s="1">
        <v>1.1200000000000001</v>
      </c>
    </row>
    <row r="673" spans="1:40">
      <c r="A673" s="1">
        <v>6002</v>
      </c>
      <c r="C673" s="1">
        <v>1.05</v>
      </c>
      <c r="D673" s="1">
        <v>1.05</v>
      </c>
      <c r="E673" s="1">
        <v>1.05</v>
      </c>
      <c r="F673" s="1">
        <v>1.05</v>
      </c>
      <c r="G673" s="1">
        <v>1.05</v>
      </c>
      <c r="H673" s="1">
        <v>1</v>
      </c>
      <c r="I673" s="1">
        <v>1</v>
      </c>
      <c r="J673" s="1">
        <v>1.52</v>
      </c>
      <c r="K673" s="1">
        <v>0.56000000000000005</v>
      </c>
      <c r="L673" s="1">
        <v>1.08</v>
      </c>
      <c r="M673" s="1">
        <v>1.08</v>
      </c>
      <c r="N673" s="1">
        <v>1</v>
      </c>
      <c r="O673" s="1">
        <v>1</v>
      </c>
      <c r="P673" s="1">
        <v>1</v>
      </c>
      <c r="Q673" s="1">
        <v>1</v>
      </c>
      <c r="R673" s="1">
        <v>1</v>
      </c>
      <c r="S673" s="1">
        <v>1</v>
      </c>
      <c r="T673" s="1">
        <v>1</v>
      </c>
      <c r="U673" s="1">
        <v>1</v>
      </c>
      <c r="V673" s="1">
        <v>1.01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2</v>
      </c>
      <c r="AD673" s="1">
        <v>2</v>
      </c>
      <c r="AE673" s="1">
        <v>1.05</v>
      </c>
      <c r="AF673" s="1">
        <v>1</v>
      </c>
      <c r="AG673" s="1">
        <v>1.08</v>
      </c>
      <c r="AH673" s="1">
        <v>1</v>
      </c>
      <c r="AI673" s="1">
        <v>1.75</v>
      </c>
      <c r="AJ673" s="1">
        <v>1</v>
      </c>
      <c r="AK673" s="1">
        <v>0</v>
      </c>
      <c r="AL673" s="1">
        <v>1</v>
      </c>
      <c r="AM673" s="1">
        <v>1</v>
      </c>
      <c r="AN673" s="1">
        <v>1.24</v>
      </c>
    </row>
    <row r="674" spans="1:40">
      <c r="A674" s="1">
        <v>6003</v>
      </c>
      <c r="C674" s="1">
        <v>1.1000000000000001</v>
      </c>
      <c r="D674" s="1">
        <v>1.1000000000000001</v>
      </c>
      <c r="E674" s="1">
        <v>1.1000000000000001</v>
      </c>
      <c r="F674" s="1">
        <v>1.1000000000000001</v>
      </c>
      <c r="G674" s="1">
        <v>1.1000000000000001</v>
      </c>
      <c r="H674" s="1">
        <v>1</v>
      </c>
      <c r="I674" s="1">
        <v>1</v>
      </c>
      <c r="J674" s="1">
        <v>1.58</v>
      </c>
      <c r="K674" s="1">
        <v>0.59</v>
      </c>
      <c r="L674" s="1">
        <v>1.1200000000000001</v>
      </c>
      <c r="M674" s="1">
        <v>1.1200000000000001</v>
      </c>
      <c r="N674" s="1">
        <v>1</v>
      </c>
      <c r="O674" s="1">
        <v>1</v>
      </c>
      <c r="P674" s="1">
        <v>1</v>
      </c>
      <c r="Q674" s="1">
        <v>1</v>
      </c>
      <c r="R674" s="1">
        <v>1</v>
      </c>
      <c r="S674" s="1">
        <v>1</v>
      </c>
      <c r="T674" s="1">
        <v>1</v>
      </c>
      <c r="U674" s="1">
        <v>1</v>
      </c>
      <c r="V674" s="1">
        <v>1.02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3</v>
      </c>
      <c r="AD674" s="1">
        <v>3</v>
      </c>
      <c r="AE674" s="1">
        <v>1.1000000000000001</v>
      </c>
      <c r="AF674" s="1">
        <v>1</v>
      </c>
      <c r="AG674" s="1">
        <v>1.1200000000000001</v>
      </c>
      <c r="AH674" s="1">
        <v>1</v>
      </c>
      <c r="AI674" s="1">
        <v>2</v>
      </c>
      <c r="AJ674" s="1">
        <v>1</v>
      </c>
      <c r="AK674" s="1">
        <v>0</v>
      </c>
      <c r="AL674" s="1">
        <v>1</v>
      </c>
      <c r="AM674" s="1">
        <v>1</v>
      </c>
      <c r="AN674" s="1">
        <v>1.36</v>
      </c>
    </row>
    <row r="675" spans="1:40">
      <c r="A675" s="1">
        <v>6004</v>
      </c>
      <c r="C675" s="1">
        <v>1.1499999999999999</v>
      </c>
      <c r="D675" s="1">
        <v>1.1499999999999999</v>
      </c>
      <c r="E675" s="1">
        <v>1.1499999999999999</v>
      </c>
      <c r="F675" s="1">
        <v>1.1499999999999999</v>
      </c>
      <c r="G675" s="1">
        <v>1.1499999999999999</v>
      </c>
      <c r="H675" s="1">
        <v>1</v>
      </c>
      <c r="I675" s="1">
        <v>1</v>
      </c>
      <c r="J675" s="1">
        <v>1.64</v>
      </c>
      <c r="K675" s="1">
        <v>0.62</v>
      </c>
      <c r="L675" s="1">
        <v>1.1599999999999999</v>
      </c>
      <c r="M675" s="1">
        <v>1.1599999999999999</v>
      </c>
      <c r="N675" s="1">
        <v>1</v>
      </c>
      <c r="O675" s="1">
        <v>1</v>
      </c>
      <c r="P675" s="1">
        <v>1</v>
      </c>
      <c r="Q675" s="1">
        <v>1</v>
      </c>
      <c r="R675" s="1">
        <v>1</v>
      </c>
      <c r="S675" s="1">
        <v>1</v>
      </c>
      <c r="T675" s="1">
        <v>1</v>
      </c>
      <c r="U675" s="1">
        <v>1</v>
      </c>
      <c r="V675" s="1">
        <v>1.02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4</v>
      </c>
      <c r="AD675" s="1">
        <v>4</v>
      </c>
      <c r="AE675" s="1">
        <v>1.1499999999999999</v>
      </c>
      <c r="AF675" s="1">
        <v>1</v>
      </c>
      <c r="AG675" s="1">
        <v>1.1599999999999999</v>
      </c>
      <c r="AH675" s="1">
        <v>1</v>
      </c>
      <c r="AI675" s="1">
        <v>2.25</v>
      </c>
      <c r="AJ675" s="1">
        <v>1</v>
      </c>
      <c r="AK675" s="1">
        <v>0</v>
      </c>
      <c r="AL675" s="1">
        <v>1</v>
      </c>
      <c r="AM675" s="1">
        <v>1</v>
      </c>
      <c r="AN675" s="1">
        <v>1.48</v>
      </c>
    </row>
    <row r="676" spans="1:40">
      <c r="A676" s="1">
        <v>6005</v>
      </c>
      <c r="C676" s="1">
        <v>1.2</v>
      </c>
      <c r="D676" s="1">
        <v>1.2</v>
      </c>
      <c r="E676" s="1">
        <v>1.2</v>
      </c>
      <c r="F676" s="1">
        <v>1.2</v>
      </c>
      <c r="G676" s="1">
        <v>1.2</v>
      </c>
      <c r="H676" s="1">
        <v>1</v>
      </c>
      <c r="I676" s="1">
        <v>1</v>
      </c>
      <c r="J676" s="1">
        <v>1.7</v>
      </c>
      <c r="K676" s="1">
        <v>0.65</v>
      </c>
      <c r="L676" s="1">
        <v>1.2</v>
      </c>
      <c r="M676" s="1">
        <v>1.2</v>
      </c>
      <c r="N676" s="1">
        <v>1</v>
      </c>
      <c r="O676" s="1">
        <v>1</v>
      </c>
      <c r="P676" s="1">
        <v>1</v>
      </c>
      <c r="Q676" s="1">
        <v>1</v>
      </c>
      <c r="R676" s="1">
        <v>1</v>
      </c>
      <c r="S676" s="1">
        <v>1</v>
      </c>
      <c r="T676" s="1">
        <v>1</v>
      </c>
      <c r="U676" s="1">
        <v>1</v>
      </c>
      <c r="V676" s="1">
        <v>1.03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5</v>
      </c>
      <c r="AD676" s="1">
        <v>5</v>
      </c>
      <c r="AE676" s="1">
        <v>1.2</v>
      </c>
      <c r="AF676" s="1">
        <v>1</v>
      </c>
      <c r="AG676" s="1">
        <v>1.2</v>
      </c>
      <c r="AH676" s="1">
        <v>1</v>
      </c>
      <c r="AI676" s="1">
        <v>2.5</v>
      </c>
      <c r="AJ676" s="1">
        <v>1</v>
      </c>
      <c r="AK676" s="1">
        <v>0</v>
      </c>
      <c r="AL676" s="1">
        <v>1</v>
      </c>
      <c r="AM676" s="1">
        <v>1</v>
      </c>
      <c r="AN676" s="1">
        <v>1.6</v>
      </c>
    </row>
    <row r="677" spans="1:40">
      <c r="A677" s="1">
        <v>6006</v>
      </c>
      <c r="C677" s="1">
        <v>1.25</v>
      </c>
      <c r="D677" s="1">
        <v>1.25</v>
      </c>
      <c r="E677" s="1">
        <v>1.25</v>
      </c>
      <c r="F677" s="1">
        <v>1.25</v>
      </c>
      <c r="G677" s="1">
        <v>1.25</v>
      </c>
      <c r="H677" s="1">
        <v>1</v>
      </c>
      <c r="I677" s="1">
        <v>1</v>
      </c>
      <c r="J677" s="1">
        <v>1.76</v>
      </c>
      <c r="K677" s="1">
        <v>0.68</v>
      </c>
      <c r="L677" s="1">
        <v>1.24</v>
      </c>
      <c r="M677" s="1">
        <v>1.24</v>
      </c>
      <c r="N677" s="1">
        <v>1</v>
      </c>
      <c r="O677" s="1">
        <v>1</v>
      </c>
      <c r="P677" s="1">
        <v>1</v>
      </c>
      <c r="Q677" s="1">
        <v>1</v>
      </c>
      <c r="R677" s="1">
        <v>1</v>
      </c>
      <c r="S677" s="1">
        <v>1</v>
      </c>
      <c r="T677" s="1">
        <v>1</v>
      </c>
      <c r="U677" s="1">
        <v>1</v>
      </c>
      <c r="V677" s="1">
        <v>1.03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6</v>
      </c>
      <c r="AD677" s="1">
        <v>6</v>
      </c>
      <c r="AE677" s="1">
        <v>1.25</v>
      </c>
      <c r="AF677" s="1">
        <v>1</v>
      </c>
      <c r="AG677" s="1">
        <v>1.24</v>
      </c>
      <c r="AH677" s="1">
        <v>1</v>
      </c>
      <c r="AI677" s="1">
        <v>2.75</v>
      </c>
      <c r="AJ677" s="1">
        <v>1</v>
      </c>
      <c r="AK677" s="1">
        <v>0</v>
      </c>
      <c r="AL677" s="1">
        <v>1</v>
      </c>
      <c r="AM677" s="1">
        <v>1</v>
      </c>
      <c r="AN677" s="1">
        <v>1.72</v>
      </c>
    </row>
    <row r="678" spans="1:40">
      <c r="A678" s="1">
        <v>6007</v>
      </c>
      <c r="C678" s="1">
        <v>1.3</v>
      </c>
      <c r="D678" s="1">
        <v>1.3</v>
      </c>
      <c r="E678" s="1">
        <v>1.3</v>
      </c>
      <c r="F678" s="1">
        <v>1.3</v>
      </c>
      <c r="G678" s="1">
        <v>1.3</v>
      </c>
      <c r="H678" s="1">
        <v>1</v>
      </c>
      <c r="I678" s="1">
        <v>1</v>
      </c>
      <c r="J678" s="1">
        <v>1.82</v>
      </c>
      <c r="K678" s="1">
        <v>0.71</v>
      </c>
      <c r="L678" s="1">
        <v>1.28</v>
      </c>
      <c r="M678" s="1">
        <v>1.28</v>
      </c>
      <c r="N678" s="1">
        <v>1</v>
      </c>
      <c r="O678" s="1">
        <v>1</v>
      </c>
      <c r="P678" s="1">
        <v>1</v>
      </c>
      <c r="Q678" s="1">
        <v>1</v>
      </c>
      <c r="R678" s="1">
        <v>1</v>
      </c>
      <c r="S678" s="1">
        <v>1</v>
      </c>
      <c r="T678" s="1">
        <v>1</v>
      </c>
      <c r="U678" s="1">
        <v>1</v>
      </c>
      <c r="V678" s="1">
        <v>1.04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7</v>
      </c>
      <c r="AD678" s="1">
        <v>7</v>
      </c>
      <c r="AE678" s="1">
        <v>1.3</v>
      </c>
      <c r="AF678" s="1">
        <v>1</v>
      </c>
      <c r="AG678" s="1">
        <v>1.28</v>
      </c>
      <c r="AH678" s="1">
        <v>1</v>
      </c>
      <c r="AI678" s="1">
        <v>3</v>
      </c>
      <c r="AJ678" s="1">
        <v>1</v>
      </c>
      <c r="AK678" s="1">
        <v>0</v>
      </c>
      <c r="AL678" s="1">
        <v>1</v>
      </c>
      <c r="AM678" s="1">
        <v>1</v>
      </c>
      <c r="AN678" s="1">
        <v>1.84</v>
      </c>
    </row>
    <row r="679" spans="1:40">
      <c r="A679" s="1">
        <v>6008</v>
      </c>
      <c r="C679" s="1">
        <v>1.35</v>
      </c>
      <c r="D679" s="1">
        <v>1.35</v>
      </c>
      <c r="E679" s="1">
        <v>1.35</v>
      </c>
      <c r="F679" s="1">
        <v>1.35</v>
      </c>
      <c r="G679" s="1">
        <v>1.35</v>
      </c>
      <c r="H679" s="1">
        <v>1</v>
      </c>
      <c r="I679" s="1">
        <v>1</v>
      </c>
      <c r="J679" s="1">
        <v>1.88</v>
      </c>
      <c r="K679" s="1">
        <v>0.74</v>
      </c>
      <c r="L679" s="1">
        <v>1.32</v>
      </c>
      <c r="M679" s="1">
        <v>1.32</v>
      </c>
      <c r="N679" s="1">
        <v>1</v>
      </c>
      <c r="O679" s="1">
        <v>1</v>
      </c>
      <c r="P679" s="1">
        <v>1</v>
      </c>
      <c r="Q679" s="1">
        <v>1</v>
      </c>
      <c r="R679" s="1">
        <v>1</v>
      </c>
      <c r="S679" s="1">
        <v>1</v>
      </c>
      <c r="T679" s="1">
        <v>1</v>
      </c>
      <c r="U679" s="1">
        <v>1</v>
      </c>
      <c r="V679" s="1">
        <v>1.04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8</v>
      </c>
      <c r="AD679" s="1">
        <v>8</v>
      </c>
      <c r="AE679" s="1">
        <v>1.35</v>
      </c>
      <c r="AF679" s="1">
        <v>1</v>
      </c>
      <c r="AG679" s="1">
        <v>1.32</v>
      </c>
      <c r="AH679" s="1">
        <v>1</v>
      </c>
      <c r="AI679" s="1">
        <v>3.25</v>
      </c>
      <c r="AJ679" s="1">
        <v>1</v>
      </c>
      <c r="AK679" s="1">
        <v>0</v>
      </c>
      <c r="AL679" s="1">
        <v>1</v>
      </c>
      <c r="AM679" s="1">
        <v>1</v>
      </c>
      <c r="AN679" s="1">
        <v>1.96</v>
      </c>
    </row>
    <row r="680" spans="1:40">
      <c r="A680" s="1">
        <v>6009</v>
      </c>
      <c r="C680" s="1">
        <v>1.4</v>
      </c>
      <c r="D680" s="1">
        <v>1.4</v>
      </c>
      <c r="E680" s="1">
        <v>1.4</v>
      </c>
      <c r="F680" s="1">
        <v>1.4</v>
      </c>
      <c r="G680" s="1">
        <v>1.4</v>
      </c>
      <c r="H680" s="1">
        <v>1</v>
      </c>
      <c r="I680" s="1">
        <v>1</v>
      </c>
      <c r="J680" s="1">
        <v>1.94</v>
      </c>
      <c r="K680" s="1">
        <v>0.77</v>
      </c>
      <c r="L680" s="1">
        <v>1.36</v>
      </c>
      <c r="M680" s="1">
        <v>1.36</v>
      </c>
      <c r="N680" s="1">
        <v>1</v>
      </c>
      <c r="O680" s="1">
        <v>1</v>
      </c>
      <c r="P680" s="1">
        <v>1</v>
      </c>
      <c r="Q680" s="1">
        <v>1</v>
      </c>
      <c r="R680" s="1">
        <v>1</v>
      </c>
      <c r="S680" s="1">
        <v>1</v>
      </c>
      <c r="T680" s="1">
        <v>1</v>
      </c>
      <c r="U680" s="1">
        <v>1</v>
      </c>
      <c r="V680" s="1">
        <v>1.04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9</v>
      </c>
      <c r="AD680" s="1">
        <v>9</v>
      </c>
      <c r="AE680" s="1">
        <v>1.4</v>
      </c>
      <c r="AF680" s="1">
        <v>1</v>
      </c>
      <c r="AG680" s="1">
        <v>1.36</v>
      </c>
      <c r="AH680" s="1">
        <v>1</v>
      </c>
      <c r="AI680" s="1">
        <v>3.5</v>
      </c>
      <c r="AJ680" s="1">
        <v>1</v>
      </c>
      <c r="AK680" s="1">
        <v>0</v>
      </c>
      <c r="AL680" s="1">
        <v>1</v>
      </c>
      <c r="AM680" s="1">
        <v>1</v>
      </c>
      <c r="AN680" s="1">
        <v>2.08</v>
      </c>
    </row>
    <row r="681" spans="1:40">
      <c r="A681" s="1">
        <v>6010</v>
      </c>
      <c r="C681" s="1">
        <v>1.45</v>
      </c>
      <c r="D681" s="1">
        <v>1.45</v>
      </c>
      <c r="E681" s="1">
        <v>1.45</v>
      </c>
      <c r="F681" s="1">
        <v>1.45</v>
      </c>
      <c r="G681" s="1">
        <v>1.45</v>
      </c>
      <c r="H681" s="1">
        <v>1</v>
      </c>
      <c r="I681" s="1">
        <v>1</v>
      </c>
      <c r="J681" s="1">
        <v>2</v>
      </c>
      <c r="K681" s="1">
        <v>0.8</v>
      </c>
      <c r="L681" s="1">
        <v>1.4</v>
      </c>
      <c r="M681" s="1">
        <v>1.4</v>
      </c>
      <c r="N681" s="1">
        <v>1</v>
      </c>
      <c r="O681" s="1">
        <v>1</v>
      </c>
      <c r="P681" s="1">
        <v>1</v>
      </c>
      <c r="Q681" s="1">
        <v>1</v>
      </c>
      <c r="R681" s="1">
        <v>1</v>
      </c>
      <c r="S681" s="1">
        <v>1</v>
      </c>
      <c r="T681" s="1">
        <v>1</v>
      </c>
      <c r="U681" s="1">
        <v>1</v>
      </c>
      <c r="V681" s="1">
        <v>1.05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10</v>
      </c>
      <c r="AD681" s="1">
        <v>10</v>
      </c>
      <c r="AE681" s="1">
        <v>1.45</v>
      </c>
      <c r="AF681" s="1">
        <v>1</v>
      </c>
      <c r="AG681" s="1">
        <v>1.4</v>
      </c>
      <c r="AH681" s="1">
        <v>1</v>
      </c>
      <c r="AI681" s="1">
        <v>4</v>
      </c>
      <c r="AJ681" s="1">
        <v>1</v>
      </c>
      <c r="AK681" s="1">
        <v>0</v>
      </c>
      <c r="AL681" s="1">
        <v>1</v>
      </c>
      <c r="AM681" s="1">
        <v>1</v>
      </c>
      <c r="AN681" s="1">
        <v>2.2000000000000002</v>
      </c>
    </row>
    <row r="682" spans="1:40">
      <c r="A682" s="1">
        <v>6011</v>
      </c>
      <c r="C682" s="1">
        <v>1.5</v>
      </c>
      <c r="D682" s="1">
        <v>1.5</v>
      </c>
      <c r="E682" s="1">
        <v>1.5</v>
      </c>
      <c r="F682" s="1">
        <v>1.5</v>
      </c>
      <c r="G682" s="1">
        <v>1.5</v>
      </c>
      <c r="H682" s="1">
        <v>1</v>
      </c>
      <c r="I682" s="1">
        <v>1</v>
      </c>
      <c r="J682" s="1">
        <v>2.0499999999999998</v>
      </c>
      <c r="K682" s="1">
        <v>0.83</v>
      </c>
      <c r="L682" s="1">
        <v>1.43</v>
      </c>
      <c r="M682" s="1">
        <v>1.43</v>
      </c>
      <c r="N682" s="1">
        <v>1</v>
      </c>
      <c r="O682" s="1">
        <v>1</v>
      </c>
      <c r="P682" s="1">
        <v>1</v>
      </c>
      <c r="Q682" s="1">
        <v>1</v>
      </c>
      <c r="R682" s="1">
        <v>1</v>
      </c>
      <c r="S682" s="1">
        <v>1</v>
      </c>
      <c r="T682" s="1">
        <v>1</v>
      </c>
      <c r="U682" s="1">
        <v>1</v>
      </c>
      <c r="V682" s="1">
        <v>1.05</v>
      </c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11</v>
      </c>
      <c r="AD682" s="1">
        <v>11</v>
      </c>
      <c r="AE682" s="1">
        <v>1.5</v>
      </c>
      <c r="AF682" s="1">
        <v>1</v>
      </c>
      <c r="AG682" s="1">
        <v>1.43</v>
      </c>
      <c r="AH682" s="1">
        <v>1</v>
      </c>
      <c r="AI682" s="1">
        <v>1.5</v>
      </c>
      <c r="AJ682" s="1">
        <v>1</v>
      </c>
      <c r="AK682" s="1">
        <v>0</v>
      </c>
      <c r="AL682" s="1">
        <v>1</v>
      </c>
      <c r="AM682" s="1">
        <v>1</v>
      </c>
      <c r="AN682" s="1">
        <v>2.3199999999999998</v>
      </c>
    </row>
    <row r="683" spans="1:40">
      <c r="A683" s="1">
        <v>6012</v>
      </c>
      <c r="C683" s="1">
        <v>1.55</v>
      </c>
      <c r="D683" s="1">
        <v>1.55</v>
      </c>
      <c r="E683" s="1">
        <v>1.55</v>
      </c>
      <c r="F683" s="1">
        <v>1.55</v>
      </c>
      <c r="G683" s="1">
        <v>1.55</v>
      </c>
      <c r="H683" s="1">
        <v>1</v>
      </c>
      <c r="I683" s="1">
        <v>1</v>
      </c>
      <c r="J683" s="1">
        <v>2.1</v>
      </c>
      <c r="K683" s="1">
        <v>0.86</v>
      </c>
      <c r="L683" s="1">
        <v>1.46</v>
      </c>
      <c r="M683" s="1">
        <v>1.46</v>
      </c>
      <c r="N683" s="1">
        <v>1</v>
      </c>
      <c r="O683" s="1">
        <v>1</v>
      </c>
      <c r="P683" s="1">
        <v>1</v>
      </c>
      <c r="Q683" s="1">
        <v>1</v>
      </c>
      <c r="R683" s="1">
        <v>1</v>
      </c>
      <c r="S683" s="1">
        <v>1</v>
      </c>
      <c r="T683" s="1">
        <v>1</v>
      </c>
      <c r="U683" s="1">
        <v>1</v>
      </c>
      <c r="V683" s="1">
        <v>1.05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12</v>
      </c>
      <c r="AD683" s="1">
        <v>12</v>
      </c>
      <c r="AE683" s="1">
        <v>1.55</v>
      </c>
      <c r="AF683" s="1">
        <v>1</v>
      </c>
      <c r="AG683" s="1">
        <v>1.46</v>
      </c>
      <c r="AH683" s="1">
        <v>1</v>
      </c>
      <c r="AI683" s="1">
        <v>1.5</v>
      </c>
      <c r="AJ683" s="1">
        <v>1</v>
      </c>
      <c r="AK683" s="1">
        <v>0</v>
      </c>
      <c r="AL683" s="1">
        <v>1</v>
      </c>
      <c r="AM683" s="1">
        <v>1</v>
      </c>
      <c r="AN683" s="1">
        <v>2.44</v>
      </c>
    </row>
    <row r="684" spans="1:40">
      <c r="A684" s="1">
        <v>6013</v>
      </c>
      <c r="C684" s="1">
        <v>1.6</v>
      </c>
      <c r="D684" s="1">
        <v>1.6</v>
      </c>
      <c r="E684" s="1">
        <v>1.6</v>
      </c>
      <c r="F684" s="1">
        <v>1.6</v>
      </c>
      <c r="G684" s="1">
        <v>1.6</v>
      </c>
      <c r="H684" s="1">
        <v>1</v>
      </c>
      <c r="I684" s="1">
        <v>1</v>
      </c>
      <c r="J684" s="1">
        <v>2.15</v>
      </c>
      <c r="K684" s="1">
        <v>0.89</v>
      </c>
      <c r="L684" s="1">
        <v>1.49</v>
      </c>
      <c r="M684" s="1">
        <v>1.49</v>
      </c>
      <c r="N684" s="1">
        <v>1</v>
      </c>
      <c r="O684" s="1">
        <v>1</v>
      </c>
      <c r="P684" s="1">
        <v>1</v>
      </c>
      <c r="Q684" s="1">
        <v>1</v>
      </c>
      <c r="R684" s="1">
        <v>1</v>
      </c>
      <c r="S684" s="1">
        <v>1</v>
      </c>
      <c r="T684" s="1">
        <v>1</v>
      </c>
      <c r="U684" s="1">
        <v>1</v>
      </c>
      <c r="V684" s="1">
        <v>1.06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13</v>
      </c>
      <c r="AD684" s="1">
        <v>13</v>
      </c>
      <c r="AE684" s="1">
        <v>1.6</v>
      </c>
      <c r="AF684" s="1">
        <v>1</v>
      </c>
      <c r="AG684" s="1">
        <v>1.49</v>
      </c>
      <c r="AH684" s="1">
        <v>1</v>
      </c>
      <c r="AI684" s="1">
        <v>1.75</v>
      </c>
      <c r="AJ684" s="1">
        <v>1</v>
      </c>
      <c r="AK684" s="1">
        <v>0</v>
      </c>
      <c r="AL684" s="1">
        <v>1</v>
      </c>
      <c r="AM684" s="1">
        <v>1</v>
      </c>
      <c r="AN684" s="1">
        <v>2.56</v>
      </c>
    </row>
    <row r="685" spans="1:40">
      <c r="A685" s="1">
        <v>6014</v>
      </c>
      <c r="C685" s="1">
        <v>1.65</v>
      </c>
      <c r="D685" s="1">
        <v>1.65</v>
      </c>
      <c r="E685" s="1">
        <v>1.65</v>
      </c>
      <c r="F685" s="1">
        <v>1.65</v>
      </c>
      <c r="G685" s="1">
        <v>1.65</v>
      </c>
      <c r="H685" s="1">
        <v>1</v>
      </c>
      <c r="I685" s="1">
        <v>1</v>
      </c>
      <c r="J685" s="1">
        <v>2.2000000000000002</v>
      </c>
      <c r="K685" s="1">
        <v>0.92</v>
      </c>
      <c r="L685" s="1">
        <v>1.52</v>
      </c>
      <c r="M685" s="1">
        <v>1.52</v>
      </c>
      <c r="N685" s="1">
        <v>1</v>
      </c>
      <c r="O685" s="1">
        <v>1</v>
      </c>
      <c r="P685" s="1">
        <v>1</v>
      </c>
      <c r="Q685" s="1">
        <v>1</v>
      </c>
      <c r="R685" s="1">
        <v>1</v>
      </c>
      <c r="S685" s="1">
        <v>1</v>
      </c>
      <c r="T685" s="1">
        <v>1</v>
      </c>
      <c r="U685" s="1">
        <v>1</v>
      </c>
      <c r="V685" s="1">
        <v>1.06</v>
      </c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14</v>
      </c>
      <c r="AD685" s="1">
        <v>14</v>
      </c>
      <c r="AE685" s="1">
        <v>1.65</v>
      </c>
      <c r="AF685" s="1">
        <v>1</v>
      </c>
      <c r="AG685" s="1">
        <v>1.52</v>
      </c>
      <c r="AH685" s="1">
        <v>1</v>
      </c>
      <c r="AI685" s="1">
        <v>2</v>
      </c>
      <c r="AJ685" s="1">
        <v>1</v>
      </c>
      <c r="AK685" s="1">
        <v>0</v>
      </c>
      <c r="AL685" s="1">
        <v>1</v>
      </c>
      <c r="AM685" s="1">
        <v>1</v>
      </c>
      <c r="AN685" s="1">
        <v>2.68</v>
      </c>
    </row>
    <row r="686" spans="1:40">
      <c r="A686" s="1">
        <v>6015</v>
      </c>
      <c r="C686" s="1">
        <v>1.7</v>
      </c>
      <c r="D686" s="1">
        <v>1.7</v>
      </c>
      <c r="E686" s="1">
        <v>1.7</v>
      </c>
      <c r="F686" s="1">
        <v>1.7</v>
      </c>
      <c r="G686" s="1">
        <v>1.7</v>
      </c>
      <c r="H686" s="1">
        <v>1</v>
      </c>
      <c r="I686" s="1">
        <v>1</v>
      </c>
      <c r="J686" s="1">
        <v>2.25</v>
      </c>
      <c r="K686" s="1">
        <v>0.95</v>
      </c>
      <c r="L686" s="1">
        <v>1.55</v>
      </c>
      <c r="M686" s="1">
        <v>1.55</v>
      </c>
      <c r="N686" s="1">
        <v>1</v>
      </c>
      <c r="O686" s="1">
        <v>1</v>
      </c>
      <c r="P686" s="1">
        <v>1</v>
      </c>
      <c r="Q686" s="1">
        <v>1</v>
      </c>
      <c r="R686" s="1">
        <v>1</v>
      </c>
      <c r="S686" s="1">
        <v>1</v>
      </c>
      <c r="T686" s="1">
        <v>1</v>
      </c>
      <c r="U686" s="1">
        <v>1</v>
      </c>
      <c r="V686" s="1">
        <v>1.06</v>
      </c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15</v>
      </c>
      <c r="AD686" s="1">
        <v>15</v>
      </c>
      <c r="AE686" s="1">
        <v>1.7</v>
      </c>
      <c r="AF686" s="1">
        <v>1</v>
      </c>
      <c r="AG686" s="1">
        <v>1.55</v>
      </c>
      <c r="AH686" s="1">
        <v>1</v>
      </c>
      <c r="AI686" s="1">
        <v>2.25</v>
      </c>
      <c r="AJ686" s="1">
        <v>1</v>
      </c>
      <c r="AK686" s="1">
        <v>0</v>
      </c>
      <c r="AL686" s="1">
        <v>1</v>
      </c>
      <c r="AM686" s="1">
        <v>1</v>
      </c>
      <c r="AN686" s="1">
        <v>2.8</v>
      </c>
    </row>
    <row r="687" spans="1:40">
      <c r="A687" s="1">
        <v>6016</v>
      </c>
      <c r="C687" s="1">
        <v>1.75</v>
      </c>
      <c r="D687" s="1">
        <v>1.75</v>
      </c>
      <c r="E687" s="1">
        <v>1.75</v>
      </c>
      <c r="F687" s="1">
        <v>1.75</v>
      </c>
      <c r="G687" s="1">
        <v>1.75</v>
      </c>
      <c r="H687" s="1">
        <v>1</v>
      </c>
      <c r="I687" s="1">
        <v>1</v>
      </c>
      <c r="J687" s="1">
        <v>2.2999999999999998</v>
      </c>
      <c r="K687" s="1">
        <v>0.98</v>
      </c>
      <c r="L687" s="1">
        <v>1.58</v>
      </c>
      <c r="M687" s="1">
        <v>1.58</v>
      </c>
      <c r="N687" s="1">
        <v>1</v>
      </c>
      <c r="O687" s="1">
        <v>1</v>
      </c>
      <c r="P687" s="1">
        <v>1</v>
      </c>
      <c r="Q687" s="1">
        <v>1</v>
      </c>
      <c r="R687" s="1">
        <v>1</v>
      </c>
      <c r="S687" s="1">
        <v>1</v>
      </c>
      <c r="T687" s="1">
        <v>1</v>
      </c>
      <c r="U687" s="1">
        <v>1</v>
      </c>
      <c r="V687" s="1">
        <v>1.07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16</v>
      </c>
      <c r="AD687" s="1">
        <v>16</v>
      </c>
      <c r="AE687" s="1">
        <v>1.75</v>
      </c>
      <c r="AF687" s="1">
        <v>1</v>
      </c>
      <c r="AG687" s="1">
        <v>1.58</v>
      </c>
      <c r="AH687" s="1">
        <v>1</v>
      </c>
      <c r="AI687" s="1">
        <v>2.5</v>
      </c>
      <c r="AJ687" s="1">
        <v>1</v>
      </c>
      <c r="AK687" s="1">
        <v>0</v>
      </c>
      <c r="AL687" s="1">
        <v>1</v>
      </c>
      <c r="AM687" s="1">
        <v>1</v>
      </c>
      <c r="AN687" s="1">
        <v>2.92</v>
      </c>
    </row>
    <row r="688" spans="1:40">
      <c r="A688" s="1">
        <v>6017</v>
      </c>
      <c r="C688" s="1">
        <v>1.8</v>
      </c>
      <c r="D688" s="1">
        <v>1.8</v>
      </c>
      <c r="E688" s="1">
        <v>1.8</v>
      </c>
      <c r="F688" s="1">
        <v>1.8</v>
      </c>
      <c r="G688" s="1">
        <v>1.8</v>
      </c>
      <c r="H688" s="1">
        <v>1</v>
      </c>
      <c r="I688" s="1">
        <v>1</v>
      </c>
      <c r="J688" s="1">
        <v>2.35</v>
      </c>
      <c r="K688" s="1">
        <v>1.01</v>
      </c>
      <c r="L688" s="1">
        <v>1.61</v>
      </c>
      <c r="M688" s="1">
        <v>1.61</v>
      </c>
      <c r="N688" s="1">
        <v>1</v>
      </c>
      <c r="O688" s="1">
        <v>1</v>
      </c>
      <c r="P688" s="1">
        <v>1</v>
      </c>
      <c r="Q688" s="1">
        <v>1</v>
      </c>
      <c r="R688" s="1">
        <v>1</v>
      </c>
      <c r="S688" s="1">
        <v>1</v>
      </c>
      <c r="T688" s="1">
        <v>1</v>
      </c>
      <c r="U688" s="1">
        <v>1</v>
      </c>
      <c r="V688" s="1">
        <v>1.07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17</v>
      </c>
      <c r="AD688" s="1">
        <v>17</v>
      </c>
      <c r="AE688" s="1">
        <v>1.8</v>
      </c>
      <c r="AF688" s="1">
        <v>1</v>
      </c>
      <c r="AG688" s="1">
        <v>1.61</v>
      </c>
      <c r="AH688" s="1">
        <v>1</v>
      </c>
      <c r="AI688" s="1">
        <v>2.75</v>
      </c>
      <c r="AJ688" s="1">
        <v>1</v>
      </c>
      <c r="AK688" s="1">
        <v>0</v>
      </c>
      <c r="AL688" s="1">
        <v>1</v>
      </c>
      <c r="AM688" s="1">
        <v>1</v>
      </c>
      <c r="AN688" s="1">
        <v>3.04</v>
      </c>
    </row>
    <row r="689" spans="1:40">
      <c r="A689" s="1">
        <v>6018</v>
      </c>
      <c r="C689" s="1">
        <v>1.85</v>
      </c>
      <c r="D689" s="1">
        <v>1.85</v>
      </c>
      <c r="E689" s="1">
        <v>1.85</v>
      </c>
      <c r="F689" s="1">
        <v>1.85</v>
      </c>
      <c r="G689" s="1">
        <v>1.85</v>
      </c>
      <c r="H689" s="1">
        <v>1</v>
      </c>
      <c r="I689" s="1">
        <v>1</v>
      </c>
      <c r="J689" s="1">
        <v>2.4</v>
      </c>
      <c r="K689" s="1">
        <v>1.04</v>
      </c>
      <c r="L689" s="1">
        <v>1.64</v>
      </c>
      <c r="M689" s="1">
        <v>1.64</v>
      </c>
      <c r="N689" s="1">
        <v>1</v>
      </c>
      <c r="O689" s="1">
        <v>1</v>
      </c>
      <c r="P689" s="1">
        <v>1</v>
      </c>
      <c r="Q689" s="1">
        <v>1</v>
      </c>
      <c r="R689" s="1">
        <v>1</v>
      </c>
      <c r="S689" s="1">
        <v>1</v>
      </c>
      <c r="T689" s="1">
        <v>1</v>
      </c>
      <c r="U689" s="1">
        <v>1</v>
      </c>
      <c r="V689" s="1">
        <v>1.07</v>
      </c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18</v>
      </c>
      <c r="AD689" s="1">
        <v>18</v>
      </c>
      <c r="AE689" s="1">
        <v>1.85</v>
      </c>
      <c r="AF689" s="1">
        <v>1</v>
      </c>
      <c r="AG689" s="1">
        <v>1.64</v>
      </c>
      <c r="AH689" s="1">
        <v>1</v>
      </c>
      <c r="AI689" s="1">
        <v>3</v>
      </c>
      <c r="AJ689" s="1">
        <v>1</v>
      </c>
      <c r="AK689" s="1">
        <v>0</v>
      </c>
      <c r="AL689" s="1">
        <v>1</v>
      </c>
      <c r="AM689" s="1">
        <v>1</v>
      </c>
      <c r="AN689" s="1">
        <v>3.16</v>
      </c>
    </row>
    <row r="690" spans="1:40">
      <c r="A690" s="1">
        <v>6019</v>
      </c>
      <c r="C690" s="1">
        <v>1.9</v>
      </c>
      <c r="D690" s="1">
        <v>1.9</v>
      </c>
      <c r="E690" s="1">
        <v>1.9</v>
      </c>
      <c r="F690" s="1">
        <v>1.9</v>
      </c>
      <c r="G690" s="1">
        <v>1.9</v>
      </c>
      <c r="H690" s="1">
        <v>1</v>
      </c>
      <c r="I690" s="1">
        <v>1</v>
      </c>
      <c r="J690" s="1">
        <v>2.4500000000000002</v>
      </c>
      <c r="K690" s="1">
        <v>1.07</v>
      </c>
      <c r="L690" s="1">
        <v>1.67</v>
      </c>
      <c r="M690" s="1">
        <v>1.67</v>
      </c>
      <c r="N690" s="1">
        <v>1</v>
      </c>
      <c r="O690" s="1">
        <v>1</v>
      </c>
      <c r="P690" s="1">
        <v>1</v>
      </c>
      <c r="Q690" s="1">
        <v>1</v>
      </c>
      <c r="R690" s="1">
        <v>1</v>
      </c>
      <c r="S690" s="1">
        <v>1</v>
      </c>
      <c r="T690" s="1">
        <v>1</v>
      </c>
      <c r="U690" s="1">
        <v>1</v>
      </c>
      <c r="V690" s="1">
        <v>1.08</v>
      </c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19</v>
      </c>
      <c r="AD690" s="1">
        <v>19</v>
      </c>
      <c r="AE690" s="1">
        <v>1.9</v>
      </c>
      <c r="AF690" s="1">
        <v>1</v>
      </c>
      <c r="AG690" s="1">
        <v>1.67</v>
      </c>
      <c r="AH690" s="1">
        <v>1</v>
      </c>
      <c r="AI690" s="1">
        <v>3.25</v>
      </c>
      <c r="AJ690" s="1">
        <v>1</v>
      </c>
      <c r="AK690" s="1">
        <v>0</v>
      </c>
      <c r="AL690" s="1">
        <v>1</v>
      </c>
      <c r="AM690" s="1">
        <v>1</v>
      </c>
      <c r="AN690" s="1">
        <v>3.28</v>
      </c>
    </row>
    <row r="691" spans="1:40">
      <c r="A691" s="1">
        <v>6020</v>
      </c>
      <c r="C691" s="1">
        <v>1.95</v>
      </c>
      <c r="D691" s="1">
        <v>1.95</v>
      </c>
      <c r="E691" s="1">
        <v>1.95</v>
      </c>
      <c r="F691" s="1">
        <v>1.95</v>
      </c>
      <c r="G691" s="1">
        <v>1.95</v>
      </c>
      <c r="H691" s="1">
        <v>1</v>
      </c>
      <c r="I691" s="1">
        <v>1</v>
      </c>
      <c r="J691" s="1">
        <v>2.5</v>
      </c>
      <c r="K691" s="1">
        <v>1.1000000000000001</v>
      </c>
      <c r="L691" s="1">
        <v>1.7</v>
      </c>
      <c r="M691" s="1">
        <v>1.7</v>
      </c>
      <c r="N691" s="1">
        <v>1</v>
      </c>
      <c r="O691" s="1">
        <v>1</v>
      </c>
      <c r="P691" s="1">
        <v>1</v>
      </c>
      <c r="Q691" s="1">
        <v>1</v>
      </c>
      <c r="R691" s="1">
        <v>1</v>
      </c>
      <c r="S691" s="1">
        <v>1</v>
      </c>
      <c r="T691" s="1">
        <v>1</v>
      </c>
      <c r="U691" s="1">
        <v>1</v>
      </c>
      <c r="V691" s="1">
        <v>1.08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20</v>
      </c>
      <c r="AD691" s="1">
        <v>20</v>
      </c>
      <c r="AE691" s="1">
        <v>1.95</v>
      </c>
      <c r="AF691" s="1">
        <v>1</v>
      </c>
      <c r="AG691" s="1">
        <v>1.7</v>
      </c>
      <c r="AH691" s="1">
        <v>1</v>
      </c>
      <c r="AI691" s="1">
        <v>3.5</v>
      </c>
      <c r="AJ691" s="1">
        <v>1</v>
      </c>
      <c r="AK691" s="1">
        <v>0</v>
      </c>
      <c r="AL691" s="1">
        <v>1</v>
      </c>
      <c r="AM691" s="1">
        <v>1</v>
      </c>
      <c r="AN691" s="1">
        <v>3.4</v>
      </c>
    </row>
    <row r="692" spans="1:40">
      <c r="A692" s="1">
        <v>6021</v>
      </c>
      <c r="C692" s="1">
        <v>2</v>
      </c>
      <c r="D692" s="1">
        <v>2</v>
      </c>
      <c r="E692" s="1">
        <v>2</v>
      </c>
      <c r="F692" s="1">
        <v>2</v>
      </c>
      <c r="G692" s="1">
        <v>2</v>
      </c>
      <c r="H692" s="1">
        <v>1</v>
      </c>
      <c r="I692" s="1">
        <v>1</v>
      </c>
      <c r="J692" s="1">
        <v>2.52</v>
      </c>
      <c r="K692" s="1">
        <v>1.1200000000000001</v>
      </c>
      <c r="L692" s="1">
        <v>1.72</v>
      </c>
      <c r="M692" s="1">
        <v>1.72</v>
      </c>
      <c r="N692" s="1">
        <v>1</v>
      </c>
      <c r="O692" s="1">
        <v>1</v>
      </c>
      <c r="P692" s="1">
        <v>1</v>
      </c>
      <c r="Q692" s="1">
        <v>1</v>
      </c>
      <c r="R692" s="1">
        <v>1</v>
      </c>
      <c r="S692" s="1">
        <v>1</v>
      </c>
      <c r="T692" s="1">
        <v>1</v>
      </c>
      <c r="U692" s="1">
        <v>1</v>
      </c>
      <c r="V692" s="1">
        <v>1.08</v>
      </c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21</v>
      </c>
      <c r="AD692" s="1">
        <v>21</v>
      </c>
      <c r="AE692" s="1">
        <v>2</v>
      </c>
      <c r="AF692" s="1">
        <v>1</v>
      </c>
      <c r="AG692" s="1">
        <v>1.72</v>
      </c>
      <c r="AH692" s="1">
        <v>1</v>
      </c>
      <c r="AI692" s="1">
        <v>4</v>
      </c>
      <c r="AJ692" s="1">
        <v>1</v>
      </c>
      <c r="AK692" s="1">
        <v>0</v>
      </c>
      <c r="AL692" s="1">
        <v>1</v>
      </c>
      <c r="AM692" s="1">
        <v>1</v>
      </c>
      <c r="AN692" s="1">
        <v>3.52</v>
      </c>
    </row>
    <row r="693" spans="1:40">
      <c r="A693" s="1">
        <v>6022</v>
      </c>
      <c r="C693" s="1">
        <v>2.0499999999999998</v>
      </c>
      <c r="D693" s="1">
        <v>2.0499999999999998</v>
      </c>
      <c r="E693" s="1">
        <v>2.0499999999999998</v>
      </c>
      <c r="F693" s="1">
        <v>2.0499999999999998</v>
      </c>
      <c r="G693" s="1">
        <v>2.0499999999999998</v>
      </c>
      <c r="H693" s="1">
        <v>1</v>
      </c>
      <c r="I693" s="1">
        <v>1</v>
      </c>
      <c r="J693" s="1">
        <v>2.54</v>
      </c>
      <c r="K693" s="1">
        <v>1.1399999999999999</v>
      </c>
      <c r="L693" s="1">
        <v>1.74</v>
      </c>
      <c r="M693" s="1">
        <v>1.74</v>
      </c>
      <c r="N693" s="1">
        <v>1</v>
      </c>
      <c r="O693" s="1">
        <v>1</v>
      </c>
      <c r="P693" s="1">
        <v>1</v>
      </c>
      <c r="Q693" s="1">
        <v>1</v>
      </c>
      <c r="R693" s="1">
        <v>1</v>
      </c>
      <c r="S693" s="1">
        <v>1</v>
      </c>
      <c r="T693" s="1">
        <v>1</v>
      </c>
      <c r="U693" s="1">
        <v>1</v>
      </c>
      <c r="V693" s="1">
        <v>1.0900000000000001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22</v>
      </c>
      <c r="AD693" s="1">
        <v>22</v>
      </c>
      <c r="AE693" s="1">
        <v>2.0499999999999998</v>
      </c>
      <c r="AF693" s="1">
        <v>1</v>
      </c>
      <c r="AG693" s="1">
        <v>1.74</v>
      </c>
      <c r="AH693" s="1">
        <v>1</v>
      </c>
      <c r="AI693" s="1">
        <v>3</v>
      </c>
      <c r="AJ693" s="1">
        <v>1</v>
      </c>
      <c r="AK693" s="1">
        <v>0</v>
      </c>
      <c r="AL693" s="1">
        <v>1</v>
      </c>
      <c r="AM693" s="1">
        <v>1</v>
      </c>
      <c r="AN693" s="1">
        <v>3.64</v>
      </c>
    </row>
    <row r="694" spans="1:40">
      <c r="A694" s="1">
        <v>6023</v>
      </c>
      <c r="C694" s="1">
        <v>2.1</v>
      </c>
      <c r="D694" s="1">
        <v>2.1</v>
      </c>
      <c r="E694" s="1">
        <v>2.1</v>
      </c>
      <c r="F694" s="1">
        <v>2.1</v>
      </c>
      <c r="G694" s="1">
        <v>2.1</v>
      </c>
      <c r="H694" s="1">
        <v>1</v>
      </c>
      <c r="I694" s="1">
        <v>1</v>
      </c>
      <c r="J694" s="1">
        <v>2.56</v>
      </c>
      <c r="K694" s="1">
        <v>1.1599999999999999</v>
      </c>
      <c r="L694" s="1">
        <v>1.76</v>
      </c>
      <c r="M694" s="1">
        <v>1.76</v>
      </c>
      <c r="N694" s="1">
        <v>1</v>
      </c>
      <c r="O694" s="1">
        <v>1</v>
      </c>
      <c r="P694" s="1">
        <v>1</v>
      </c>
      <c r="Q694" s="1">
        <v>1</v>
      </c>
      <c r="R694" s="1">
        <v>1</v>
      </c>
      <c r="S694" s="1">
        <v>1</v>
      </c>
      <c r="T694" s="1">
        <v>1</v>
      </c>
      <c r="U694" s="1">
        <v>1</v>
      </c>
      <c r="V694" s="1">
        <v>1.0900000000000001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23</v>
      </c>
      <c r="AD694" s="1">
        <v>23</v>
      </c>
      <c r="AE694" s="1">
        <v>2.1</v>
      </c>
      <c r="AF694" s="1">
        <v>1</v>
      </c>
      <c r="AG694" s="1">
        <v>1.76</v>
      </c>
      <c r="AH694" s="1">
        <v>1</v>
      </c>
      <c r="AI694" s="1">
        <v>3.25</v>
      </c>
      <c r="AJ694" s="1">
        <v>1</v>
      </c>
      <c r="AK694" s="1">
        <v>0</v>
      </c>
      <c r="AL694" s="1">
        <v>1</v>
      </c>
      <c r="AM694" s="1">
        <v>1</v>
      </c>
      <c r="AN694" s="1">
        <v>3.76</v>
      </c>
    </row>
    <row r="695" spans="1:40">
      <c r="A695" s="1">
        <v>6024</v>
      </c>
      <c r="C695" s="1">
        <v>2.15</v>
      </c>
      <c r="D695" s="1">
        <v>2.15</v>
      </c>
      <c r="E695" s="1">
        <v>2.15</v>
      </c>
      <c r="F695" s="1">
        <v>2.15</v>
      </c>
      <c r="G695" s="1">
        <v>2.15</v>
      </c>
      <c r="H695" s="1">
        <v>1</v>
      </c>
      <c r="I695" s="1">
        <v>1</v>
      </c>
      <c r="J695" s="1">
        <v>2.58</v>
      </c>
      <c r="K695" s="1">
        <v>1.18</v>
      </c>
      <c r="L695" s="1">
        <v>1.78</v>
      </c>
      <c r="M695" s="1">
        <v>1.78</v>
      </c>
      <c r="N695" s="1">
        <v>1</v>
      </c>
      <c r="O695" s="1">
        <v>1</v>
      </c>
      <c r="P695" s="1">
        <v>1</v>
      </c>
      <c r="Q695" s="1">
        <v>1</v>
      </c>
      <c r="R695" s="1">
        <v>1</v>
      </c>
      <c r="S695" s="1">
        <v>1</v>
      </c>
      <c r="T695" s="1">
        <v>1</v>
      </c>
      <c r="U695" s="1">
        <v>1</v>
      </c>
      <c r="V695" s="1">
        <v>1.0900000000000001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24</v>
      </c>
      <c r="AD695" s="1">
        <v>24</v>
      </c>
      <c r="AE695" s="1">
        <v>2.15</v>
      </c>
      <c r="AF695" s="1">
        <v>1</v>
      </c>
      <c r="AG695" s="1">
        <v>1.78</v>
      </c>
      <c r="AH695" s="1">
        <v>1</v>
      </c>
      <c r="AI695" s="1">
        <v>3.5</v>
      </c>
      <c r="AJ695" s="1">
        <v>1</v>
      </c>
      <c r="AK695" s="1">
        <v>0</v>
      </c>
      <c r="AL695" s="1">
        <v>1</v>
      </c>
      <c r="AM695" s="1">
        <v>1</v>
      </c>
      <c r="AN695" s="1">
        <v>3.88</v>
      </c>
    </row>
    <row r="696" spans="1:40">
      <c r="A696" s="1">
        <v>6025</v>
      </c>
      <c r="C696" s="1">
        <v>2.2000000000000002</v>
      </c>
      <c r="D696" s="1">
        <v>2.2000000000000002</v>
      </c>
      <c r="E696" s="1">
        <v>2.2000000000000002</v>
      </c>
      <c r="F696" s="1">
        <v>2.2000000000000002</v>
      </c>
      <c r="G696" s="1">
        <v>2.2000000000000002</v>
      </c>
      <c r="H696" s="1">
        <v>1</v>
      </c>
      <c r="I696" s="1">
        <v>1</v>
      </c>
      <c r="J696" s="1">
        <v>2.6</v>
      </c>
      <c r="K696" s="1">
        <v>1.2</v>
      </c>
      <c r="L696" s="1">
        <v>1.8</v>
      </c>
      <c r="M696" s="1">
        <v>1.8</v>
      </c>
      <c r="N696" s="1">
        <v>1</v>
      </c>
      <c r="O696" s="1">
        <v>1</v>
      </c>
      <c r="P696" s="1">
        <v>1</v>
      </c>
      <c r="Q696" s="1">
        <v>1</v>
      </c>
      <c r="R696" s="1">
        <v>1</v>
      </c>
      <c r="S696" s="1">
        <v>1</v>
      </c>
      <c r="T696" s="1">
        <v>1</v>
      </c>
      <c r="U696" s="1">
        <v>1</v>
      </c>
      <c r="V696" s="1">
        <v>1.1000000000000001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25</v>
      </c>
      <c r="AD696" s="1">
        <v>25</v>
      </c>
      <c r="AE696" s="1">
        <v>2.2000000000000002</v>
      </c>
      <c r="AF696" s="1">
        <v>1</v>
      </c>
      <c r="AG696" s="1">
        <v>1.8</v>
      </c>
      <c r="AH696" s="1">
        <v>1</v>
      </c>
      <c r="AI696" s="1">
        <v>4</v>
      </c>
      <c r="AJ696" s="1">
        <v>1</v>
      </c>
      <c r="AK696" s="1">
        <v>0</v>
      </c>
      <c r="AL696" s="1">
        <v>1</v>
      </c>
      <c r="AM696" s="1">
        <v>1</v>
      </c>
      <c r="AN696" s="1">
        <v>4</v>
      </c>
    </row>
    <row r="697" spans="1:40">
      <c r="A697" s="1">
        <v>6100</v>
      </c>
      <c r="C697" s="1">
        <v>0.95</v>
      </c>
      <c r="D697" s="1">
        <v>1</v>
      </c>
      <c r="E697" s="1">
        <v>1</v>
      </c>
      <c r="F697" s="1">
        <v>1</v>
      </c>
      <c r="G697" s="1">
        <v>1</v>
      </c>
      <c r="H697" s="1">
        <v>1</v>
      </c>
      <c r="I697" s="1">
        <v>1</v>
      </c>
      <c r="J697" s="1">
        <v>1.3</v>
      </c>
      <c r="K697" s="1">
        <v>1.3</v>
      </c>
      <c r="L697" s="1">
        <v>1</v>
      </c>
      <c r="M697" s="1">
        <v>1</v>
      </c>
      <c r="N697" s="1">
        <v>1</v>
      </c>
      <c r="O697" s="1">
        <v>1</v>
      </c>
      <c r="P697" s="1">
        <v>1</v>
      </c>
      <c r="Q697" s="1">
        <v>1</v>
      </c>
      <c r="R697" s="1">
        <v>1</v>
      </c>
      <c r="S697" s="1">
        <v>1</v>
      </c>
      <c r="T697" s="1">
        <v>1</v>
      </c>
      <c r="U697" s="1">
        <v>1</v>
      </c>
      <c r="V697" s="1">
        <v>1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0</v>
      </c>
      <c r="AD697" s="1">
        <v>0</v>
      </c>
      <c r="AE697" s="1">
        <v>1</v>
      </c>
      <c r="AF697" s="1">
        <v>1</v>
      </c>
      <c r="AG697" s="1">
        <v>1</v>
      </c>
      <c r="AH697" s="1">
        <v>1</v>
      </c>
      <c r="AI697" s="1">
        <v>1.5</v>
      </c>
      <c r="AJ697" s="1">
        <v>1</v>
      </c>
      <c r="AK697" s="1">
        <v>0</v>
      </c>
      <c r="AL697" s="1">
        <v>1</v>
      </c>
      <c r="AM697" s="1">
        <v>1</v>
      </c>
      <c r="AN697" s="1">
        <v>1</v>
      </c>
    </row>
    <row r="698" spans="1:40">
      <c r="A698" s="1">
        <v>6101</v>
      </c>
      <c r="C698" s="1">
        <v>1.03</v>
      </c>
      <c r="D698" s="1">
        <v>1.1000000000000001</v>
      </c>
      <c r="E698" s="1">
        <v>1.1000000000000001</v>
      </c>
      <c r="F698" s="1">
        <v>1.1000000000000001</v>
      </c>
      <c r="G698" s="1">
        <v>1.1000000000000001</v>
      </c>
      <c r="H698" s="1">
        <v>1</v>
      </c>
      <c r="I698" s="1">
        <v>1</v>
      </c>
      <c r="J698" s="1">
        <v>1.39</v>
      </c>
      <c r="K698" s="1">
        <v>1.39</v>
      </c>
      <c r="L698" s="1">
        <v>1</v>
      </c>
      <c r="M698" s="1">
        <v>1</v>
      </c>
      <c r="N698" s="1">
        <v>1</v>
      </c>
      <c r="O698" s="1">
        <v>1</v>
      </c>
      <c r="P698" s="1">
        <v>1</v>
      </c>
      <c r="Q698" s="1">
        <v>1</v>
      </c>
      <c r="R698" s="1">
        <v>1</v>
      </c>
      <c r="S698" s="1">
        <v>1</v>
      </c>
      <c r="T698" s="1">
        <v>1</v>
      </c>
      <c r="U698" s="1">
        <v>1</v>
      </c>
      <c r="V698" s="1">
        <v>1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1</v>
      </c>
      <c r="AD698" s="1">
        <v>2</v>
      </c>
      <c r="AE698" s="1">
        <v>1.1000000000000001</v>
      </c>
      <c r="AF698" s="1">
        <v>1</v>
      </c>
      <c r="AG698" s="1">
        <v>1</v>
      </c>
      <c r="AH698" s="1">
        <v>1</v>
      </c>
      <c r="AI698" s="1">
        <v>1.5</v>
      </c>
      <c r="AJ698" s="1">
        <v>1</v>
      </c>
      <c r="AK698" s="1">
        <v>0</v>
      </c>
      <c r="AL698" s="1">
        <v>1</v>
      </c>
      <c r="AM698" s="1">
        <v>1</v>
      </c>
      <c r="AN698" s="1">
        <v>1.3</v>
      </c>
    </row>
    <row r="699" spans="1:40">
      <c r="A699" s="1">
        <v>6102</v>
      </c>
      <c r="C699" s="1">
        <v>1.1100000000000001</v>
      </c>
      <c r="D699" s="1">
        <v>1.2</v>
      </c>
      <c r="E699" s="1">
        <v>1.2</v>
      </c>
      <c r="F699" s="1">
        <v>1.2</v>
      </c>
      <c r="G699" s="1">
        <v>1.2</v>
      </c>
      <c r="H699" s="1">
        <v>1</v>
      </c>
      <c r="I699" s="1">
        <v>1</v>
      </c>
      <c r="J699" s="1">
        <v>1.48</v>
      </c>
      <c r="K699" s="1">
        <v>1.48</v>
      </c>
      <c r="L699" s="1">
        <v>1</v>
      </c>
      <c r="M699" s="1">
        <v>1</v>
      </c>
      <c r="N699" s="1">
        <v>1</v>
      </c>
      <c r="O699" s="1">
        <v>1</v>
      </c>
      <c r="P699" s="1">
        <v>1</v>
      </c>
      <c r="Q699" s="1">
        <v>1</v>
      </c>
      <c r="R699" s="1">
        <v>1</v>
      </c>
      <c r="S699" s="1">
        <v>1</v>
      </c>
      <c r="T699" s="1">
        <v>1</v>
      </c>
      <c r="U699" s="1">
        <v>1</v>
      </c>
      <c r="V699" s="1">
        <v>1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2</v>
      </c>
      <c r="AD699" s="1">
        <v>5</v>
      </c>
      <c r="AE699" s="1">
        <v>1.2</v>
      </c>
      <c r="AF699" s="1">
        <v>1</v>
      </c>
      <c r="AG699" s="1">
        <v>1</v>
      </c>
      <c r="AH699" s="1">
        <v>1</v>
      </c>
      <c r="AI699" s="1">
        <v>1.75</v>
      </c>
      <c r="AJ699" s="1">
        <v>1</v>
      </c>
      <c r="AK699" s="1">
        <v>0</v>
      </c>
      <c r="AL699" s="1">
        <v>1</v>
      </c>
      <c r="AM699" s="1">
        <v>1</v>
      </c>
      <c r="AN699" s="1">
        <v>1.6</v>
      </c>
    </row>
    <row r="700" spans="1:40">
      <c r="A700" s="1">
        <v>6103</v>
      </c>
      <c r="C700" s="1">
        <v>1.19</v>
      </c>
      <c r="D700" s="1">
        <v>1.3</v>
      </c>
      <c r="E700" s="1">
        <v>1.3</v>
      </c>
      <c r="F700" s="1">
        <v>1.3</v>
      </c>
      <c r="G700" s="1">
        <v>1.3</v>
      </c>
      <c r="H700" s="1">
        <v>1</v>
      </c>
      <c r="I700" s="1">
        <v>1</v>
      </c>
      <c r="J700" s="1">
        <v>1.57</v>
      </c>
      <c r="K700" s="1">
        <v>1.57</v>
      </c>
      <c r="L700" s="1">
        <v>1</v>
      </c>
      <c r="M700" s="1">
        <v>1</v>
      </c>
      <c r="N700" s="1">
        <v>1</v>
      </c>
      <c r="O700" s="1">
        <v>1</v>
      </c>
      <c r="P700" s="1">
        <v>1</v>
      </c>
      <c r="Q700" s="1">
        <v>1</v>
      </c>
      <c r="R700" s="1">
        <v>1</v>
      </c>
      <c r="S700" s="1">
        <v>1</v>
      </c>
      <c r="T700" s="1">
        <v>1</v>
      </c>
      <c r="U700" s="1">
        <v>1</v>
      </c>
      <c r="V700" s="1">
        <v>1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3</v>
      </c>
      <c r="AD700" s="1">
        <v>7</v>
      </c>
      <c r="AE700" s="1">
        <v>1.3</v>
      </c>
      <c r="AF700" s="1">
        <v>1</v>
      </c>
      <c r="AG700" s="1">
        <v>1</v>
      </c>
      <c r="AH700" s="1">
        <v>1</v>
      </c>
      <c r="AI700" s="1">
        <v>2</v>
      </c>
      <c r="AJ700" s="1">
        <v>1</v>
      </c>
      <c r="AK700" s="1">
        <v>0</v>
      </c>
      <c r="AL700" s="1">
        <v>1</v>
      </c>
      <c r="AM700" s="1">
        <v>1</v>
      </c>
      <c r="AN700" s="1">
        <v>1.9</v>
      </c>
    </row>
    <row r="701" spans="1:40">
      <c r="A701" s="1">
        <v>6104</v>
      </c>
      <c r="C701" s="1">
        <v>1.27</v>
      </c>
      <c r="D701" s="1">
        <v>1.4</v>
      </c>
      <c r="E701" s="1">
        <v>1.4</v>
      </c>
      <c r="F701" s="1">
        <v>1.4</v>
      </c>
      <c r="G701" s="1">
        <v>1.4</v>
      </c>
      <c r="H701" s="1">
        <v>1</v>
      </c>
      <c r="I701" s="1">
        <v>1</v>
      </c>
      <c r="J701" s="1">
        <v>1.66</v>
      </c>
      <c r="K701" s="1">
        <v>1.66</v>
      </c>
      <c r="L701" s="1">
        <v>1</v>
      </c>
      <c r="M701" s="1">
        <v>1</v>
      </c>
      <c r="N701" s="1">
        <v>1</v>
      </c>
      <c r="O701" s="1">
        <v>1</v>
      </c>
      <c r="P701" s="1">
        <v>1</v>
      </c>
      <c r="Q701" s="1">
        <v>1</v>
      </c>
      <c r="R701" s="1">
        <v>1</v>
      </c>
      <c r="S701" s="1">
        <v>1</v>
      </c>
      <c r="T701" s="1"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4</v>
      </c>
      <c r="AD701" s="1">
        <v>10</v>
      </c>
      <c r="AE701" s="1">
        <v>1.4</v>
      </c>
      <c r="AF701" s="1">
        <v>1</v>
      </c>
      <c r="AG701" s="1">
        <v>1</v>
      </c>
      <c r="AH701" s="1">
        <v>1</v>
      </c>
      <c r="AI701" s="1">
        <v>2.25</v>
      </c>
      <c r="AJ701" s="1">
        <v>1</v>
      </c>
      <c r="AK701" s="1">
        <v>0</v>
      </c>
      <c r="AL701" s="1">
        <v>1</v>
      </c>
      <c r="AM701" s="1">
        <v>1</v>
      </c>
      <c r="AN701" s="1">
        <v>2.2000000000000002</v>
      </c>
    </row>
    <row r="702" spans="1:40">
      <c r="A702" s="1">
        <v>6105</v>
      </c>
      <c r="C702" s="1">
        <v>1.35</v>
      </c>
      <c r="D702" s="1">
        <v>1.5</v>
      </c>
      <c r="E702" s="1">
        <v>1.5</v>
      </c>
      <c r="F702" s="1">
        <v>1.5</v>
      </c>
      <c r="G702" s="1">
        <v>1.5</v>
      </c>
      <c r="H702" s="1">
        <v>1</v>
      </c>
      <c r="I702" s="1">
        <v>1</v>
      </c>
      <c r="J702" s="1">
        <v>1.68</v>
      </c>
      <c r="K702" s="1">
        <v>1.68</v>
      </c>
      <c r="L702" s="1">
        <v>1</v>
      </c>
      <c r="M702" s="1">
        <v>1</v>
      </c>
      <c r="N702" s="1">
        <v>1</v>
      </c>
      <c r="O702" s="1">
        <v>1</v>
      </c>
      <c r="P702" s="1">
        <v>1</v>
      </c>
      <c r="Q702" s="1">
        <v>1</v>
      </c>
      <c r="R702" s="1">
        <v>1</v>
      </c>
      <c r="S702" s="1">
        <v>1</v>
      </c>
      <c r="T702" s="1">
        <v>1</v>
      </c>
      <c r="U702" s="1">
        <v>1</v>
      </c>
      <c r="V702" s="1">
        <v>1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5</v>
      </c>
      <c r="AD702" s="1">
        <v>12</v>
      </c>
      <c r="AE702" s="1">
        <v>1.5</v>
      </c>
      <c r="AF702" s="1">
        <v>1</v>
      </c>
      <c r="AG702" s="1">
        <v>1</v>
      </c>
      <c r="AH702" s="1">
        <v>1</v>
      </c>
      <c r="AI702" s="1">
        <v>2.5</v>
      </c>
      <c r="AJ702" s="1">
        <v>1</v>
      </c>
      <c r="AK702" s="1">
        <v>0</v>
      </c>
      <c r="AL702" s="1">
        <v>1</v>
      </c>
      <c r="AM702" s="1">
        <v>1</v>
      </c>
      <c r="AN702" s="1">
        <v>2.5</v>
      </c>
    </row>
    <row r="703" spans="1:40">
      <c r="A703" s="1">
        <v>6106</v>
      </c>
      <c r="C703" s="1">
        <v>1.43</v>
      </c>
      <c r="D703" s="1">
        <v>1.6</v>
      </c>
      <c r="E703" s="1">
        <v>1.6</v>
      </c>
      <c r="F703" s="1">
        <v>1.6</v>
      </c>
      <c r="G703" s="1">
        <v>1.6</v>
      </c>
      <c r="H703" s="1">
        <v>1</v>
      </c>
      <c r="I703" s="1">
        <v>1</v>
      </c>
      <c r="J703" s="1">
        <v>1.7</v>
      </c>
      <c r="K703" s="1">
        <v>1.7</v>
      </c>
      <c r="L703" s="1">
        <v>1</v>
      </c>
      <c r="M703" s="1">
        <v>1</v>
      </c>
      <c r="N703" s="1">
        <v>1</v>
      </c>
      <c r="O703" s="1">
        <v>1</v>
      </c>
      <c r="P703" s="1">
        <v>1</v>
      </c>
      <c r="Q703" s="1">
        <v>1</v>
      </c>
      <c r="R703" s="1">
        <v>1</v>
      </c>
      <c r="S703" s="1">
        <v>1</v>
      </c>
      <c r="T703" s="1">
        <v>1</v>
      </c>
      <c r="U703" s="1">
        <v>1</v>
      </c>
      <c r="V703" s="1">
        <v>1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6</v>
      </c>
      <c r="AD703" s="1">
        <v>15</v>
      </c>
      <c r="AE703" s="1">
        <v>1.6</v>
      </c>
      <c r="AF703" s="1">
        <v>1</v>
      </c>
      <c r="AG703" s="1">
        <v>1</v>
      </c>
      <c r="AH703" s="1">
        <v>1</v>
      </c>
      <c r="AI703" s="1">
        <v>2.75</v>
      </c>
      <c r="AJ703" s="1">
        <v>1</v>
      </c>
      <c r="AK703" s="1">
        <v>0</v>
      </c>
      <c r="AL703" s="1">
        <v>1</v>
      </c>
      <c r="AM703" s="1">
        <v>1</v>
      </c>
      <c r="AN703" s="1">
        <v>2.8</v>
      </c>
    </row>
    <row r="704" spans="1:40">
      <c r="A704" s="1">
        <v>6107</v>
      </c>
      <c r="C704" s="1">
        <v>1.51</v>
      </c>
      <c r="D704" s="1">
        <v>1.7</v>
      </c>
      <c r="E704" s="1">
        <v>1.7</v>
      </c>
      <c r="F704" s="1">
        <v>1.7</v>
      </c>
      <c r="G704" s="1">
        <v>1.7</v>
      </c>
      <c r="H704" s="1">
        <v>1</v>
      </c>
      <c r="I704" s="1">
        <v>1</v>
      </c>
      <c r="J704" s="1">
        <v>1.72</v>
      </c>
      <c r="K704" s="1">
        <v>1.72</v>
      </c>
      <c r="L704" s="1">
        <v>1</v>
      </c>
      <c r="M704" s="1">
        <v>1</v>
      </c>
      <c r="N704" s="1">
        <v>1</v>
      </c>
      <c r="O704" s="1">
        <v>1</v>
      </c>
      <c r="P704" s="1">
        <v>1</v>
      </c>
      <c r="Q704" s="1">
        <v>1</v>
      </c>
      <c r="R704" s="1">
        <v>1</v>
      </c>
      <c r="S704" s="1">
        <v>1</v>
      </c>
      <c r="T704" s="1">
        <v>1</v>
      </c>
      <c r="U704" s="1">
        <v>1</v>
      </c>
      <c r="V704" s="1">
        <v>1</v>
      </c>
      <c r="W704" s="1">
        <v>0</v>
      </c>
      <c r="X704" s="1">
        <v>0</v>
      </c>
      <c r="Y704" s="1">
        <v>0</v>
      </c>
      <c r="Z704" s="1">
        <v>0</v>
      </c>
      <c r="AA704" s="1">
        <v>0</v>
      </c>
      <c r="AB704" s="1">
        <v>0</v>
      </c>
      <c r="AC704" s="1">
        <v>7</v>
      </c>
      <c r="AD704" s="1">
        <v>17</v>
      </c>
      <c r="AE704" s="1">
        <v>1.7</v>
      </c>
      <c r="AF704" s="1">
        <v>1</v>
      </c>
      <c r="AG704" s="1">
        <v>1</v>
      </c>
      <c r="AH704" s="1">
        <v>1</v>
      </c>
      <c r="AI704" s="1">
        <v>3</v>
      </c>
      <c r="AJ704" s="1">
        <v>1</v>
      </c>
      <c r="AK704" s="1">
        <v>0</v>
      </c>
      <c r="AL704" s="1">
        <v>1</v>
      </c>
      <c r="AM704" s="1">
        <v>1</v>
      </c>
      <c r="AN704" s="1">
        <v>3.1</v>
      </c>
    </row>
    <row r="705" spans="1:40">
      <c r="A705" s="1">
        <v>6108</v>
      </c>
      <c r="C705" s="1">
        <v>1.59</v>
      </c>
      <c r="D705" s="1">
        <v>1.8</v>
      </c>
      <c r="E705" s="1">
        <v>1.8</v>
      </c>
      <c r="F705" s="1">
        <v>1.8</v>
      </c>
      <c r="G705" s="1">
        <v>1.8</v>
      </c>
      <c r="H705" s="1">
        <v>1</v>
      </c>
      <c r="I705" s="1">
        <v>1</v>
      </c>
      <c r="J705" s="1">
        <v>1.74</v>
      </c>
      <c r="K705" s="1">
        <v>1.74</v>
      </c>
      <c r="L705" s="1">
        <v>1</v>
      </c>
      <c r="M705" s="1">
        <v>1</v>
      </c>
      <c r="N705" s="1">
        <v>1</v>
      </c>
      <c r="O705" s="1">
        <v>1</v>
      </c>
      <c r="P705" s="1">
        <v>1</v>
      </c>
      <c r="Q705" s="1">
        <v>1</v>
      </c>
      <c r="R705" s="1">
        <v>1</v>
      </c>
      <c r="S705" s="1">
        <v>1</v>
      </c>
      <c r="T705" s="1">
        <v>1</v>
      </c>
      <c r="U705" s="1">
        <v>1</v>
      </c>
      <c r="V705" s="1">
        <v>1</v>
      </c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8</v>
      </c>
      <c r="AD705" s="1">
        <v>20</v>
      </c>
      <c r="AE705" s="1">
        <v>1.8</v>
      </c>
      <c r="AF705" s="1">
        <v>1</v>
      </c>
      <c r="AG705" s="1">
        <v>1</v>
      </c>
      <c r="AH705" s="1">
        <v>1</v>
      </c>
      <c r="AI705" s="1">
        <v>3.25</v>
      </c>
      <c r="AJ705" s="1">
        <v>1</v>
      </c>
      <c r="AK705" s="1">
        <v>0</v>
      </c>
      <c r="AL705" s="1">
        <v>1</v>
      </c>
      <c r="AM705" s="1">
        <v>1</v>
      </c>
      <c r="AN705" s="1">
        <v>3.4</v>
      </c>
    </row>
    <row r="706" spans="1:40">
      <c r="A706" s="1">
        <v>6109</v>
      </c>
      <c r="C706" s="1">
        <v>1.67</v>
      </c>
      <c r="D706" s="1">
        <v>1.9</v>
      </c>
      <c r="E706" s="1">
        <v>1.9</v>
      </c>
      <c r="F706" s="1">
        <v>1.9</v>
      </c>
      <c r="G706" s="1">
        <v>1.9</v>
      </c>
      <c r="H706" s="1">
        <v>1</v>
      </c>
      <c r="I706" s="1">
        <v>1</v>
      </c>
      <c r="J706" s="1">
        <v>1.76</v>
      </c>
      <c r="K706" s="1">
        <v>1.76</v>
      </c>
      <c r="L706" s="1">
        <v>1</v>
      </c>
      <c r="M706" s="1">
        <v>1</v>
      </c>
      <c r="N706" s="1">
        <v>1</v>
      </c>
      <c r="O706" s="1">
        <v>1</v>
      </c>
      <c r="P706" s="1">
        <v>1</v>
      </c>
      <c r="Q706" s="1">
        <v>1</v>
      </c>
      <c r="R706" s="1">
        <v>1</v>
      </c>
      <c r="S706" s="1">
        <v>1</v>
      </c>
      <c r="T706" s="1">
        <v>1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9</v>
      </c>
      <c r="AD706" s="1">
        <v>22</v>
      </c>
      <c r="AE706" s="1">
        <v>1.9</v>
      </c>
      <c r="AF706" s="1">
        <v>1</v>
      </c>
      <c r="AG706" s="1">
        <v>1</v>
      </c>
      <c r="AH706" s="1">
        <v>1</v>
      </c>
      <c r="AI706" s="1">
        <v>3.5</v>
      </c>
      <c r="AJ706" s="1">
        <v>1</v>
      </c>
      <c r="AK706" s="1">
        <v>0</v>
      </c>
      <c r="AL706" s="1">
        <v>1</v>
      </c>
      <c r="AM706" s="1">
        <v>1</v>
      </c>
      <c r="AN706" s="1">
        <v>3.7</v>
      </c>
    </row>
    <row r="707" spans="1:40">
      <c r="A707" s="1">
        <v>6110</v>
      </c>
      <c r="C707" s="1">
        <v>1.75</v>
      </c>
      <c r="D707" s="1">
        <v>2</v>
      </c>
      <c r="E707" s="1">
        <v>2</v>
      </c>
      <c r="F707" s="1">
        <v>2</v>
      </c>
      <c r="G707" s="1">
        <v>2</v>
      </c>
      <c r="H707" s="1">
        <v>1</v>
      </c>
      <c r="I707" s="1">
        <v>1</v>
      </c>
      <c r="J707" s="1">
        <v>1.8</v>
      </c>
      <c r="K707" s="1">
        <v>1.8</v>
      </c>
      <c r="L707" s="1">
        <v>1</v>
      </c>
      <c r="M707" s="1">
        <v>1</v>
      </c>
      <c r="N707" s="1">
        <v>1</v>
      </c>
      <c r="O707" s="1">
        <v>1</v>
      </c>
      <c r="P707" s="1">
        <v>1</v>
      </c>
      <c r="Q707" s="1">
        <v>1</v>
      </c>
      <c r="R707" s="1">
        <v>1</v>
      </c>
      <c r="S707" s="1">
        <v>1</v>
      </c>
      <c r="T707" s="1">
        <v>1</v>
      </c>
      <c r="U707" s="1">
        <v>1</v>
      </c>
      <c r="V707" s="1">
        <v>1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10</v>
      </c>
      <c r="AD707" s="1">
        <v>25</v>
      </c>
      <c r="AE707" s="1">
        <v>2</v>
      </c>
      <c r="AF707" s="1">
        <v>1</v>
      </c>
      <c r="AG707" s="1">
        <v>1</v>
      </c>
      <c r="AH707" s="1">
        <v>1</v>
      </c>
      <c r="AI707" s="1">
        <v>4</v>
      </c>
      <c r="AJ707" s="1">
        <v>1</v>
      </c>
      <c r="AK707" s="1">
        <v>0</v>
      </c>
      <c r="AL707" s="1">
        <v>1</v>
      </c>
      <c r="AM707" s="1">
        <v>1</v>
      </c>
      <c r="AN707" s="1">
        <v>4</v>
      </c>
    </row>
    <row r="708" spans="1:40">
      <c r="A708" s="1">
        <v>6200</v>
      </c>
      <c r="C708" s="1">
        <v>0.95</v>
      </c>
      <c r="D708" s="1">
        <v>1</v>
      </c>
      <c r="E708" s="1">
        <v>1</v>
      </c>
      <c r="F708" s="1">
        <v>1</v>
      </c>
      <c r="G708" s="1">
        <v>1</v>
      </c>
      <c r="H708" s="1">
        <v>1</v>
      </c>
      <c r="I708" s="1">
        <v>1</v>
      </c>
      <c r="J708" s="1">
        <v>1.5</v>
      </c>
      <c r="K708" s="1">
        <v>0</v>
      </c>
      <c r="L708" s="1">
        <v>1</v>
      </c>
      <c r="M708" s="1">
        <v>1</v>
      </c>
      <c r="N708" s="1">
        <v>1</v>
      </c>
      <c r="O708" s="1">
        <v>1</v>
      </c>
      <c r="P708" s="1">
        <v>1</v>
      </c>
      <c r="Q708" s="1">
        <v>1</v>
      </c>
      <c r="R708" s="1">
        <v>1</v>
      </c>
      <c r="S708" s="1">
        <v>1</v>
      </c>
      <c r="T708" s="1">
        <v>1</v>
      </c>
      <c r="U708" s="1">
        <v>1</v>
      </c>
      <c r="V708" s="1">
        <v>1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1</v>
      </c>
      <c r="AF708" s="1">
        <v>1</v>
      </c>
      <c r="AG708" s="1">
        <v>1</v>
      </c>
      <c r="AH708" s="1">
        <v>1</v>
      </c>
      <c r="AI708" s="1">
        <v>1.5</v>
      </c>
      <c r="AJ708" s="1">
        <v>1</v>
      </c>
      <c r="AK708" s="1">
        <v>0</v>
      </c>
      <c r="AL708" s="1">
        <v>1</v>
      </c>
      <c r="AM708" s="1">
        <v>1</v>
      </c>
      <c r="AN708" s="1">
        <v>1</v>
      </c>
    </row>
    <row r="709" spans="1:40">
      <c r="A709" s="1">
        <v>6201</v>
      </c>
      <c r="C709" s="1">
        <v>1.04</v>
      </c>
      <c r="D709" s="1">
        <v>1.1000000000000001</v>
      </c>
      <c r="E709" s="1">
        <v>1.1000000000000001</v>
      </c>
      <c r="F709" s="1">
        <v>1.1000000000000001</v>
      </c>
      <c r="G709" s="1">
        <v>1.1000000000000001</v>
      </c>
      <c r="H709" s="1">
        <v>1</v>
      </c>
      <c r="I709" s="1">
        <v>1</v>
      </c>
      <c r="J709" s="1">
        <v>1.63</v>
      </c>
      <c r="K709" s="1">
        <v>0</v>
      </c>
      <c r="L709" s="1">
        <v>1</v>
      </c>
      <c r="M709" s="1">
        <v>1</v>
      </c>
      <c r="N709" s="1">
        <v>1</v>
      </c>
      <c r="O709" s="1">
        <v>1</v>
      </c>
      <c r="P709" s="1">
        <v>1</v>
      </c>
      <c r="Q709" s="1">
        <v>1</v>
      </c>
      <c r="R709" s="1">
        <v>1</v>
      </c>
      <c r="S709" s="1">
        <v>1</v>
      </c>
      <c r="T709" s="1">
        <v>1</v>
      </c>
      <c r="U709" s="1">
        <v>1</v>
      </c>
      <c r="V709" s="1">
        <v>1</v>
      </c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1</v>
      </c>
      <c r="AD709" s="1">
        <v>2</v>
      </c>
      <c r="AE709" s="1">
        <v>1.1000000000000001</v>
      </c>
      <c r="AF709" s="1">
        <v>1</v>
      </c>
      <c r="AG709" s="1">
        <v>1</v>
      </c>
      <c r="AH709" s="1">
        <v>1</v>
      </c>
      <c r="AI709" s="1">
        <v>1.5</v>
      </c>
      <c r="AJ709" s="1">
        <v>1</v>
      </c>
      <c r="AK709" s="1">
        <v>0</v>
      </c>
      <c r="AL709" s="1">
        <v>1</v>
      </c>
      <c r="AM709" s="1">
        <v>1</v>
      </c>
      <c r="AN709" s="1">
        <v>1.3</v>
      </c>
    </row>
    <row r="710" spans="1:40">
      <c r="A710" s="1">
        <v>6202</v>
      </c>
      <c r="C710" s="1">
        <v>1.1299999999999999</v>
      </c>
      <c r="D710" s="1">
        <v>1.2</v>
      </c>
      <c r="E710" s="1">
        <v>1.2</v>
      </c>
      <c r="F710" s="1">
        <v>1.2</v>
      </c>
      <c r="G710" s="1">
        <v>1.2</v>
      </c>
      <c r="H710" s="1">
        <v>1</v>
      </c>
      <c r="I710" s="1">
        <v>1</v>
      </c>
      <c r="J710" s="1">
        <v>1.76</v>
      </c>
      <c r="K710" s="1">
        <v>0</v>
      </c>
      <c r="L710" s="1">
        <v>1</v>
      </c>
      <c r="M710" s="1">
        <v>1</v>
      </c>
      <c r="N710" s="1">
        <v>1</v>
      </c>
      <c r="O710" s="1">
        <v>1</v>
      </c>
      <c r="P710" s="1">
        <v>1</v>
      </c>
      <c r="Q710" s="1">
        <v>1</v>
      </c>
      <c r="R710" s="1">
        <v>1</v>
      </c>
      <c r="S710" s="1">
        <v>1</v>
      </c>
      <c r="T710" s="1">
        <v>1</v>
      </c>
      <c r="U710" s="1">
        <v>1</v>
      </c>
      <c r="V710" s="1">
        <v>1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2</v>
      </c>
      <c r="AD710" s="1">
        <v>5</v>
      </c>
      <c r="AE710" s="1">
        <v>1.2</v>
      </c>
      <c r="AF710" s="1">
        <v>1</v>
      </c>
      <c r="AG710" s="1">
        <v>1</v>
      </c>
      <c r="AH710" s="1">
        <v>1</v>
      </c>
      <c r="AI710" s="1">
        <v>1.75</v>
      </c>
      <c r="AJ710" s="1">
        <v>1</v>
      </c>
      <c r="AK710" s="1">
        <v>0</v>
      </c>
      <c r="AL710" s="1">
        <v>1</v>
      </c>
      <c r="AM710" s="1">
        <v>1</v>
      </c>
      <c r="AN710" s="1">
        <v>1.6</v>
      </c>
    </row>
    <row r="711" spans="1:40">
      <c r="A711" s="1">
        <v>6203</v>
      </c>
      <c r="C711" s="1">
        <v>1.22</v>
      </c>
      <c r="D711" s="1">
        <v>1.3</v>
      </c>
      <c r="E711" s="1">
        <v>1.3</v>
      </c>
      <c r="F711" s="1">
        <v>1.3</v>
      </c>
      <c r="G711" s="1">
        <v>1.3</v>
      </c>
      <c r="H711" s="1">
        <v>1</v>
      </c>
      <c r="I711" s="1">
        <v>1</v>
      </c>
      <c r="J711" s="1">
        <v>1.89</v>
      </c>
      <c r="K711" s="1">
        <v>0</v>
      </c>
      <c r="L711" s="1">
        <v>1</v>
      </c>
      <c r="M711" s="1">
        <v>1</v>
      </c>
      <c r="N711" s="1">
        <v>1</v>
      </c>
      <c r="O711" s="1">
        <v>1</v>
      </c>
      <c r="P711" s="1">
        <v>1</v>
      </c>
      <c r="Q711" s="1">
        <v>1</v>
      </c>
      <c r="R711" s="1">
        <v>1</v>
      </c>
      <c r="S711" s="1">
        <v>1</v>
      </c>
      <c r="T711" s="1">
        <v>1</v>
      </c>
      <c r="U711" s="1">
        <v>1</v>
      </c>
      <c r="V711" s="1">
        <v>1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3</v>
      </c>
      <c r="AD711" s="1">
        <v>7</v>
      </c>
      <c r="AE711" s="1">
        <v>1.3</v>
      </c>
      <c r="AF711" s="1">
        <v>1</v>
      </c>
      <c r="AG711" s="1">
        <v>1</v>
      </c>
      <c r="AH711" s="1">
        <v>1</v>
      </c>
      <c r="AI711" s="1">
        <v>2</v>
      </c>
      <c r="AJ711" s="1">
        <v>1</v>
      </c>
      <c r="AK711" s="1">
        <v>0</v>
      </c>
      <c r="AL711" s="1">
        <v>1</v>
      </c>
      <c r="AM711" s="1">
        <v>1</v>
      </c>
      <c r="AN711" s="1">
        <v>1.9</v>
      </c>
    </row>
    <row r="712" spans="1:40">
      <c r="A712" s="1">
        <v>6204</v>
      </c>
      <c r="C712" s="1">
        <v>1.31</v>
      </c>
      <c r="D712" s="1">
        <v>1.4</v>
      </c>
      <c r="E712" s="1">
        <v>1.4</v>
      </c>
      <c r="F712" s="1">
        <v>1.4</v>
      </c>
      <c r="G712" s="1">
        <v>1.4</v>
      </c>
      <c r="H712" s="1">
        <v>1</v>
      </c>
      <c r="I712" s="1">
        <v>1</v>
      </c>
      <c r="J712" s="1">
        <v>2.0299999999999998</v>
      </c>
      <c r="K712" s="1">
        <v>0</v>
      </c>
      <c r="L712" s="1">
        <v>1</v>
      </c>
      <c r="M712" s="1">
        <v>1</v>
      </c>
      <c r="N712" s="1">
        <v>1</v>
      </c>
      <c r="O712" s="1">
        <v>1</v>
      </c>
      <c r="P712" s="1">
        <v>1</v>
      </c>
      <c r="Q712" s="1">
        <v>1</v>
      </c>
      <c r="R712" s="1">
        <v>1</v>
      </c>
      <c r="S712" s="1">
        <v>1</v>
      </c>
      <c r="T712" s="1">
        <v>1</v>
      </c>
      <c r="U712" s="1">
        <v>1</v>
      </c>
      <c r="V712" s="1">
        <v>1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4</v>
      </c>
      <c r="AD712" s="1">
        <v>10</v>
      </c>
      <c r="AE712" s="1">
        <v>1.4</v>
      </c>
      <c r="AF712" s="1">
        <v>1</v>
      </c>
      <c r="AG712" s="1">
        <v>1</v>
      </c>
      <c r="AH712" s="1">
        <v>1</v>
      </c>
      <c r="AI712" s="1">
        <v>2.25</v>
      </c>
      <c r="AJ712" s="1">
        <v>1</v>
      </c>
      <c r="AK712" s="1">
        <v>0</v>
      </c>
      <c r="AL712" s="1">
        <v>1</v>
      </c>
      <c r="AM712" s="1">
        <v>1</v>
      </c>
      <c r="AN712" s="1">
        <v>2.2000000000000002</v>
      </c>
    </row>
    <row r="713" spans="1:40">
      <c r="A713" s="1">
        <v>6205</v>
      </c>
      <c r="C713" s="1">
        <v>1.4</v>
      </c>
      <c r="D713" s="1">
        <v>1.5</v>
      </c>
      <c r="E713" s="1">
        <v>1.5</v>
      </c>
      <c r="F713" s="1">
        <v>1.5</v>
      </c>
      <c r="G713" s="1">
        <v>1.5</v>
      </c>
      <c r="H713" s="1">
        <v>1</v>
      </c>
      <c r="I713" s="1">
        <v>1</v>
      </c>
      <c r="J713" s="1">
        <v>2.09</v>
      </c>
      <c r="K713" s="1">
        <v>0</v>
      </c>
      <c r="L713" s="1">
        <v>1</v>
      </c>
      <c r="M713" s="1">
        <v>1</v>
      </c>
      <c r="N713" s="1">
        <v>1</v>
      </c>
      <c r="O713" s="1">
        <v>1</v>
      </c>
      <c r="P713" s="1">
        <v>1</v>
      </c>
      <c r="Q713" s="1">
        <v>1</v>
      </c>
      <c r="R713" s="1">
        <v>1</v>
      </c>
      <c r="S713" s="1">
        <v>1</v>
      </c>
      <c r="T713" s="1">
        <v>1</v>
      </c>
      <c r="U713" s="1">
        <v>1</v>
      </c>
      <c r="V713" s="1">
        <v>1</v>
      </c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B713" s="1">
        <v>0</v>
      </c>
      <c r="AC713" s="1">
        <v>5</v>
      </c>
      <c r="AD713" s="1">
        <v>12</v>
      </c>
      <c r="AE713" s="1">
        <v>1.5</v>
      </c>
      <c r="AF713" s="1">
        <v>1</v>
      </c>
      <c r="AG713" s="1">
        <v>1</v>
      </c>
      <c r="AH713" s="1">
        <v>1</v>
      </c>
      <c r="AI713" s="1">
        <v>2.5</v>
      </c>
      <c r="AJ713" s="1">
        <v>1</v>
      </c>
      <c r="AK713" s="1">
        <v>0</v>
      </c>
      <c r="AL713" s="1">
        <v>1</v>
      </c>
      <c r="AM713" s="1">
        <v>1</v>
      </c>
      <c r="AN713" s="1">
        <v>2.5</v>
      </c>
    </row>
    <row r="714" spans="1:40">
      <c r="A714" s="1">
        <v>6206</v>
      </c>
      <c r="C714" s="1">
        <v>1.49</v>
      </c>
      <c r="D714" s="1">
        <v>1.6</v>
      </c>
      <c r="E714" s="1">
        <v>1.6</v>
      </c>
      <c r="F714" s="1">
        <v>1.6</v>
      </c>
      <c r="G714" s="1">
        <v>1.6</v>
      </c>
      <c r="H714" s="1">
        <v>1</v>
      </c>
      <c r="I714" s="1">
        <v>1</v>
      </c>
      <c r="J714" s="1">
        <v>2.15</v>
      </c>
      <c r="K714" s="1">
        <v>0</v>
      </c>
      <c r="L714" s="1">
        <v>1</v>
      </c>
      <c r="M714" s="1">
        <v>1</v>
      </c>
      <c r="N714" s="1">
        <v>1</v>
      </c>
      <c r="O714" s="1">
        <v>1</v>
      </c>
      <c r="P714" s="1">
        <v>1</v>
      </c>
      <c r="Q714" s="1">
        <v>1</v>
      </c>
      <c r="R714" s="1">
        <v>1</v>
      </c>
      <c r="S714" s="1">
        <v>1</v>
      </c>
      <c r="T714" s="1">
        <v>1</v>
      </c>
      <c r="U714" s="1">
        <v>1</v>
      </c>
      <c r="V714" s="1">
        <v>1</v>
      </c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6</v>
      </c>
      <c r="AD714" s="1">
        <v>15</v>
      </c>
      <c r="AE714" s="1">
        <v>1.6</v>
      </c>
      <c r="AF714" s="1">
        <v>1</v>
      </c>
      <c r="AG714" s="1">
        <v>1</v>
      </c>
      <c r="AH714" s="1">
        <v>1</v>
      </c>
      <c r="AI714" s="1">
        <v>2.75</v>
      </c>
      <c r="AJ714" s="1">
        <v>1</v>
      </c>
      <c r="AK714" s="1">
        <v>0</v>
      </c>
      <c r="AL714" s="1">
        <v>1</v>
      </c>
      <c r="AM714" s="1">
        <v>1</v>
      </c>
      <c r="AN714" s="1">
        <v>2.8</v>
      </c>
    </row>
    <row r="715" spans="1:40">
      <c r="A715" s="1">
        <v>6207</v>
      </c>
      <c r="C715" s="1">
        <v>1.58</v>
      </c>
      <c r="D715" s="1">
        <v>1.7</v>
      </c>
      <c r="E715" s="1">
        <v>1.7</v>
      </c>
      <c r="F715" s="1">
        <v>1.7</v>
      </c>
      <c r="G715" s="1">
        <v>1.7</v>
      </c>
      <c r="H715" s="1">
        <v>1</v>
      </c>
      <c r="I715" s="1">
        <v>1</v>
      </c>
      <c r="J715" s="1">
        <v>2.21</v>
      </c>
      <c r="K715" s="1">
        <v>0</v>
      </c>
      <c r="L715" s="1">
        <v>1</v>
      </c>
      <c r="M715" s="1">
        <v>1</v>
      </c>
      <c r="N715" s="1">
        <v>1</v>
      </c>
      <c r="O715" s="1">
        <v>1</v>
      </c>
      <c r="P715" s="1">
        <v>1</v>
      </c>
      <c r="Q715" s="1">
        <v>1</v>
      </c>
      <c r="R715" s="1">
        <v>1</v>
      </c>
      <c r="S715" s="1">
        <v>1</v>
      </c>
      <c r="T715" s="1">
        <v>1</v>
      </c>
      <c r="U715" s="1">
        <v>1</v>
      </c>
      <c r="V715" s="1">
        <v>1</v>
      </c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7</v>
      </c>
      <c r="AD715" s="1">
        <v>17</v>
      </c>
      <c r="AE715" s="1">
        <v>1.7</v>
      </c>
      <c r="AF715" s="1">
        <v>1</v>
      </c>
      <c r="AG715" s="1">
        <v>1</v>
      </c>
      <c r="AH715" s="1">
        <v>1</v>
      </c>
      <c r="AI715" s="1">
        <v>3</v>
      </c>
      <c r="AJ715" s="1">
        <v>1</v>
      </c>
      <c r="AK715" s="1">
        <v>0</v>
      </c>
      <c r="AL715" s="1">
        <v>1</v>
      </c>
      <c r="AM715" s="1">
        <v>1</v>
      </c>
      <c r="AN715" s="1">
        <v>3.1</v>
      </c>
    </row>
    <row r="716" spans="1:40">
      <c r="A716" s="1">
        <v>6208</v>
      </c>
      <c r="C716" s="1">
        <v>1.67</v>
      </c>
      <c r="D716" s="1">
        <v>1.8</v>
      </c>
      <c r="E716" s="1">
        <v>1.8</v>
      </c>
      <c r="F716" s="1">
        <v>1.8</v>
      </c>
      <c r="G716" s="1">
        <v>1.8</v>
      </c>
      <c r="H716" s="1">
        <v>1</v>
      </c>
      <c r="I716" s="1">
        <v>1</v>
      </c>
      <c r="J716" s="1">
        <v>2.27</v>
      </c>
      <c r="K716" s="1">
        <v>0</v>
      </c>
      <c r="L716" s="1">
        <v>1</v>
      </c>
      <c r="M716" s="1">
        <v>1</v>
      </c>
      <c r="N716" s="1">
        <v>1</v>
      </c>
      <c r="O716" s="1">
        <v>1</v>
      </c>
      <c r="P716" s="1">
        <v>1</v>
      </c>
      <c r="Q716" s="1">
        <v>1</v>
      </c>
      <c r="R716" s="1">
        <v>1</v>
      </c>
      <c r="S716" s="1">
        <v>1</v>
      </c>
      <c r="T716" s="1">
        <v>1</v>
      </c>
      <c r="U716" s="1">
        <v>1</v>
      </c>
      <c r="V716" s="1">
        <v>1</v>
      </c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8</v>
      </c>
      <c r="AD716" s="1">
        <v>20</v>
      </c>
      <c r="AE716" s="1">
        <v>1.8</v>
      </c>
      <c r="AF716" s="1">
        <v>1</v>
      </c>
      <c r="AG716" s="1">
        <v>1</v>
      </c>
      <c r="AH716" s="1">
        <v>1</v>
      </c>
      <c r="AI716" s="1">
        <v>3.25</v>
      </c>
      <c r="AJ716" s="1">
        <v>1</v>
      </c>
      <c r="AK716" s="1">
        <v>0</v>
      </c>
      <c r="AL716" s="1">
        <v>1</v>
      </c>
      <c r="AM716" s="1">
        <v>1</v>
      </c>
      <c r="AN716" s="1">
        <v>3.4</v>
      </c>
    </row>
    <row r="717" spans="1:40">
      <c r="A717" s="1">
        <v>6209</v>
      </c>
      <c r="C717" s="1">
        <v>1.76</v>
      </c>
      <c r="D717" s="1">
        <v>1.9</v>
      </c>
      <c r="E717" s="1">
        <v>1.9</v>
      </c>
      <c r="F717" s="1">
        <v>1.9</v>
      </c>
      <c r="G717" s="1">
        <v>1.9</v>
      </c>
      <c r="H717" s="1">
        <v>1</v>
      </c>
      <c r="I717" s="1">
        <v>1</v>
      </c>
      <c r="J717" s="1">
        <v>2.33</v>
      </c>
      <c r="K717" s="1">
        <v>0</v>
      </c>
      <c r="L717" s="1">
        <v>1</v>
      </c>
      <c r="M717" s="1">
        <v>1</v>
      </c>
      <c r="N717" s="1">
        <v>1</v>
      </c>
      <c r="O717" s="1">
        <v>1</v>
      </c>
      <c r="P717" s="1">
        <v>1</v>
      </c>
      <c r="Q717" s="1">
        <v>1</v>
      </c>
      <c r="R717" s="1">
        <v>1</v>
      </c>
      <c r="S717" s="1">
        <v>1</v>
      </c>
      <c r="T717" s="1">
        <v>1</v>
      </c>
      <c r="U717" s="1">
        <v>1</v>
      </c>
      <c r="V717" s="1">
        <v>1</v>
      </c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9</v>
      </c>
      <c r="AD717" s="1">
        <v>22</v>
      </c>
      <c r="AE717" s="1">
        <v>1.9</v>
      </c>
      <c r="AF717" s="1">
        <v>1</v>
      </c>
      <c r="AG717" s="1">
        <v>1</v>
      </c>
      <c r="AH717" s="1">
        <v>1</v>
      </c>
      <c r="AI717" s="1">
        <v>3.5</v>
      </c>
      <c r="AJ717" s="1">
        <v>1</v>
      </c>
      <c r="AK717" s="1">
        <v>0</v>
      </c>
      <c r="AL717" s="1">
        <v>1</v>
      </c>
      <c r="AM717" s="1">
        <v>1</v>
      </c>
      <c r="AN717" s="1">
        <v>3.7</v>
      </c>
    </row>
    <row r="718" spans="1:40">
      <c r="A718" s="1">
        <v>6210</v>
      </c>
      <c r="C718" s="1">
        <v>1.85</v>
      </c>
      <c r="D718" s="1">
        <v>2</v>
      </c>
      <c r="E718" s="1">
        <v>2</v>
      </c>
      <c r="F718" s="1">
        <v>2</v>
      </c>
      <c r="G718" s="1">
        <v>2</v>
      </c>
      <c r="H718" s="1">
        <v>1</v>
      </c>
      <c r="I718" s="1">
        <v>1</v>
      </c>
      <c r="J718" s="1">
        <v>2.4</v>
      </c>
      <c r="K718" s="1">
        <v>0</v>
      </c>
      <c r="L718" s="1">
        <v>1</v>
      </c>
      <c r="M718" s="1">
        <v>1</v>
      </c>
      <c r="N718" s="1">
        <v>1</v>
      </c>
      <c r="O718" s="1">
        <v>1</v>
      </c>
      <c r="P718" s="1">
        <v>1</v>
      </c>
      <c r="Q718" s="1">
        <v>1</v>
      </c>
      <c r="R718" s="1">
        <v>1</v>
      </c>
      <c r="S718" s="1">
        <v>1</v>
      </c>
      <c r="T718" s="1">
        <v>1</v>
      </c>
      <c r="U718" s="1">
        <v>1</v>
      </c>
      <c r="V718" s="1">
        <v>1</v>
      </c>
      <c r="W718" s="1">
        <v>0</v>
      </c>
      <c r="X718" s="1">
        <v>0</v>
      </c>
      <c r="Y718" s="1">
        <v>0</v>
      </c>
      <c r="Z718" s="1">
        <v>0</v>
      </c>
      <c r="AA718" s="1">
        <v>0</v>
      </c>
      <c r="AB718" s="1">
        <v>0</v>
      </c>
      <c r="AC718" s="1">
        <v>10</v>
      </c>
      <c r="AD718" s="1">
        <v>25</v>
      </c>
      <c r="AE718" s="1">
        <v>2</v>
      </c>
      <c r="AF718" s="1">
        <v>1</v>
      </c>
      <c r="AG718" s="1">
        <v>1</v>
      </c>
      <c r="AH718" s="1">
        <v>1</v>
      </c>
      <c r="AI718" s="1">
        <v>4</v>
      </c>
      <c r="AJ718" s="1">
        <v>1</v>
      </c>
      <c r="AK718" s="1">
        <v>0</v>
      </c>
      <c r="AL718" s="1">
        <v>1</v>
      </c>
      <c r="AM718" s="1">
        <v>1</v>
      </c>
      <c r="AN718" s="1">
        <v>4</v>
      </c>
    </row>
    <row r="719" spans="1:40">
      <c r="A719" s="1">
        <v>6300</v>
      </c>
      <c r="C719" s="1">
        <v>0.95</v>
      </c>
      <c r="D719" s="1">
        <v>1</v>
      </c>
      <c r="E719" s="1">
        <v>1</v>
      </c>
      <c r="F719" s="1">
        <v>1</v>
      </c>
      <c r="G719" s="1">
        <v>1</v>
      </c>
      <c r="H719" s="1">
        <v>1</v>
      </c>
      <c r="I719" s="1">
        <v>1</v>
      </c>
      <c r="J719" s="1">
        <v>0.95</v>
      </c>
      <c r="K719" s="1">
        <v>1.5</v>
      </c>
      <c r="L719" s="1">
        <v>1</v>
      </c>
      <c r="M719" s="1">
        <v>1</v>
      </c>
      <c r="N719" s="1">
        <v>1</v>
      </c>
      <c r="O719" s="1">
        <v>1</v>
      </c>
      <c r="P719" s="1">
        <v>1</v>
      </c>
      <c r="Q719" s="1">
        <v>1</v>
      </c>
      <c r="R719" s="1">
        <v>1</v>
      </c>
      <c r="S719" s="1">
        <v>1</v>
      </c>
      <c r="T719" s="1">
        <v>1</v>
      </c>
      <c r="U719" s="1">
        <v>1</v>
      </c>
      <c r="V719" s="1">
        <v>1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1</v>
      </c>
      <c r="AF719" s="1">
        <v>1</v>
      </c>
      <c r="AG719" s="1">
        <v>1</v>
      </c>
      <c r="AH719" s="1">
        <v>1</v>
      </c>
      <c r="AI719" s="1">
        <v>1.5</v>
      </c>
      <c r="AJ719" s="1">
        <v>1</v>
      </c>
      <c r="AK719" s="1">
        <v>0</v>
      </c>
      <c r="AL719" s="1">
        <v>1</v>
      </c>
      <c r="AM719" s="1">
        <v>1</v>
      </c>
      <c r="AN719" s="1">
        <v>1</v>
      </c>
    </row>
    <row r="720" spans="1:40">
      <c r="A720" s="1">
        <v>6301</v>
      </c>
      <c r="C720" s="1">
        <v>1.04</v>
      </c>
      <c r="D720" s="1">
        <v>1.1000000000000001</v>
      </c>
      <c r="E720" s="1">
        <v>1.1000000000000001</v>
      </c>
      <c r="F720" s="1">
        <v>1.1000000000000001</v>
      </c>
      <c r="G720" s="1">
        <v>1.1000000000000001</v>
      </c>
      <c r="H720" s="1">
        <v>1</v>
      </c>
      <c r="I720" s="1">
        <v>1</v>
      </c>
      <c r="J720" s="1">
        <v>0.98</v>
      </c>
      <c r="K720" s="1">
        <v>1.61</v>
      </c>
      <c r="L720" s="1">
        <v>1.07</v>
      </c>
      <c r="M720" s="1">
        <v>1.07</v>
      </c>
      <c r="N720" s="1">
        <v>1</v>
      </c>
      <c r="O720" s="1">
        <v>1</v>
      </c>
      <c r="P720" s="1">
        <v>1</v>
      </c>
      <c r="Q720" s="1">
        <v>1</v>
      </c>
      <c r="R720" s="1">
        <v>1</v>
      </c>
      <c r="S720" s="1">
        <v>1</v>
      </c>
      <c r="T720" s="1">
        <v>1</v>
      </c>
      <c r="U720" s="1">
        <v>1</v>
      </c>
      <c r="V720" s="1">
        <v>1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1</v>
      </c>
      <c r="AD720" s="1">
        <v>2</v>
      </c>
      <c r="AE720" s="1">
        <v>1.1000000000000001</v>
      </c>
      <c r="AF720" s="1">
        <v>1</v>
      </c>
      <c r="AG720" s="1">
        <v>1</v>
      </c>
      <c r="AH720" s="1">
        <v>1</v>
      </c>
      <c r="AI720" s="1">
        <v>1.5</v>
      </c>
      <c r="AJ720" s="1">
        <v>1</v>
      </c>
      <c r="AK720" s="1">
        <v>0</v>
      </c>
      <c r="AL720" s="1">
        <v>1</v>
      </c>
      <c r="AM720" s="1">
        <v>1</v>
      </c>
      <c r="AN720" s="1">
        <v>1.3</v>
      </c>
    </row>
    <row r="721" spans="1:40">
      <c r="A721" s="1">
        <v>6302</v>
      </c>
      <c r="C721" s="1">
        <v>1.1299999999999999</v>
      </c>
      <c r="D721" s="1">
        <v>1.2</v>
      </c>
      <c r="E721" s="1">
        <v>1.2</v>
      </c>
      <c r="F721" s="1">
        <v>1.2</v>
      </c>
      <c r="G721" s="1">
        <v>1.2</v>
      </c>
      <c r="H721" s="1">
        <v>1</v>
      </c>
      <c r="I721" s="1">
        <v>1</v>
      </c>
      <c r="J721" s="1">
        <v>1.01</v>
      </c>
      <c r="K721" s="1">
        <v>1.72</v>
      </c>
      <c r="L721" s="1">
        <v>1.1399999999999999</v>
      </c>
      <c r="M721" s="1">
        <v>1.1399999999999999</v>
      </c>
      <c r="N721" s="1">
        <v>1</v>
      </c>
      <c r="O721" s="1">
        <v>1</v>
      </c>
      <c r="P721" s="1">
        <v>1</v>
      </c>
      <c r="Q721" s="1">
        <v>1</v>
      </c>
      <c r="R721" s="1">
        <v>1</v>
      </c>
      <c r="S721" s="1">
        <v>1</v>
      </c>
      <c r="T721" s="1">
        <v>1</v>
      </c>
      <c r="U721" s="1">
        <v>1</v>
      </c>
      <c r="V721" s="1">
        <v>1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2</v>
      </c>
      <c r="AD721" s="1">
        <v>5</v>
      </c>
      <c r="AE721" s="1">
        <v>1.2</v>
      </c>
      <c r="AF721" s="1">
        <v>1</v>
      </c>
      <c r="AG721" s="1">
        <v>1</v>
      </c>
      <c r="AH721" s="1">
        <v>1</v>
      </c>
      <c r="AI721" s="1">
        <v>1.75</v>
      </c>
      <c r="AJ721" s="1">
        <v>1</v>
      </c>
      <c r="AK721" s="1">
        <v>0</v>
      </c>
      <c r="AL721" s="1">
        <v>1</v>
      </c>
      <c r="AM721" s="1">
        <v>1</v>
      </c>
      <c r="AN721" s="1">
        <v>1.6</v>
      </c>
    </row>
    <row r="722" spans="1:40">
      <c r="A722" s="1">
        <v>6303</v>
      </c>
      <c r="C722" s="1">
        <v>1.22</v>
      </c>
      <c r="D722" s="1">
        <v>1.3</v>
      </c>
      <c r="E722" s="1">
        <v>1.3</v>
      </c>
      <c r="F722" s="1">
        <v>1.3</v>
      </c>
      <c r="G722" s="1">
        <v>1.3</v>
      </c>
      <c r="H722" s="1">
        <v>1</v>
      </c>
      <c r="I722" s="1">
        <v>1</v>
      </c>
      <c r="J722" s="1">
        <v>1.04</v>
      </c>
      <c r="K722" s="1">
        <v>1.83</v>
      </c>
      <c r="L722" s="1">
        <v>1.21</v>
      </c>
      <c r="M722" s="1">
        <v>1.21</v>
      </c>
      <c r="N722" s="1">
        <v>1</v>
      </c>
      <c r="O722" s="1">
        <v>1</v>
      </c>
      <c r="P722" s="1">
        <v>1</v>
      </c>
      <c r="Q722" s="1">
        <v>1</v>
      </c>
      <c r="R722" s="1">
        <v>1</v>
      </c>
      <c r="S722" s="1">
        <v>1</v>
      </c>
      <c r="T722" s="1">
        <v>1</v>
      </c>
      <c r="U722" s="1">
        <v>1</v>
      </c>
      <c r="V722" s="1">
        <v>1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3</v>
      </c>
      <c r="AD722" s="1">
        <v>7</v>
      </c>
      <c r="AE722" s="1">
        <v>1.3</v>
      </c>
      <c r="AF722" s="1">
        <v>1</v>
      </c>
      <c r="AG722" s="1">
        <v>1</v>
      </c>
      <c r="AH722" s="1">
        <v>1</v>
      </c>
      <c r="AI722" s="1">
        <v>2</v>
      </c>
      <c r="AJ722" s="1">
        <v>1</v>
      </c>
      <c r="AK722" s="1">
        <v>0</v>
      </c>
      <c r="AL722" s="1">
        <v>1</v>
      </c>
      <c r="AM722" s="1">
        <v>1</v>
      </c>
      <c r="AN722" s="1">
        <v>1.9</v>
      </c>
    </row>
    <row r="723" spans="1:40">
      <c r="A723" s="1">
        <v>6304</v>
      </c>
      <c r="C723" s="1">
        <v>1.31</v>
      </c>
      <c r="D723" s="1">
        <v>1.4</v>
      </c>
      <c r="E723" s="1">
        <v>1.4</v>
      </c>
      <c r="F723" s="1">
        <v>1.4</v>
      </c>
      <c r="G723" s="1">
        <v>1.4</v>
      </c>
      <c r="H723" s="1">
        <v>1</v>
      </c>
      <c r="I723" s="1">
        <v>1</v>
      </c>
      <c r="J723" s="1">
        <v>1.06</v>
      </c>
      <c r="K723" s="1">
        <v>1.93</v>
      </c>
      <c r="L723" s="1">
        <v>1.29</v>
      </c>
      <c r="M723" s="1">
        <v>1.29</v>
      </c>
      <c r="N723" s="1">
        <v>1</v>
      </c>
      <c r="O723" s="1">
        <v>1</v>
      </c>
      <c r="P723" s="1">
        <v>1</v>
      </c>
      <c r="Q723" s="1">
        <v>1</v>
      </c>
      <c r="R723" s="1">
        <v>1</v>
      </c>
      <c r="S723" s="1">
        <v>1</v>
      </c>
      <c r="T723" s="1">
        <v>1</v>
      </c>
      <c r="U723" s="1">
        <v>1</v>
      </c>
      <c r="V723" s="1">
        <v>1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4</v>
      </c>
      <c r="AD723" s="1">
        <v>10</v>
      </c>
      <c r="AE723" s="1">
        <v>1.4</v>
      </c>
      <c r="AF723" s="1">
        <v>1</v>
      </c>
      <c r="AG723" s="1">
        <v>1</v>
      </c>
      <c r="AH723" s="1">
        <v>1</v>
      </c>
      <c r="AI723" s="1">
        <v>2.25</v>
      </c>
      <c r="AJ723" s="1">
        <v>1</v>
      </c>
      <c r="AK723" s="1">
        <v>0</v>
      </c>
      <c r="AL723" s="1">
        <v>1</v>
      </c>
      <c r="AM723" s="1">
        <v>1</v>
      </c>
      <c r="AN723" s="1">
        <v>2.2000000000000002</v>
      </c>
    </row>
    <row r="724" spans="1:40">
      <c r="A724" s="1">
        <v>6305</v>
      </c>
      <c r="C724" s="1">
        <v>1.4</v>
      </c>
      <c r="D724" s="1">
        <v>1.5</v>
      </c>
      <c r="E724" s="1">
        <v>1.5</v>
      </c>
      <c r="F724" s="1">
        <v>1.5</v>
      </c>
      <c r="G724" s="1">
        <v>1.5</v>
      </c>
      <c r="H724" s="1">
        <v>1</v>
      </c>
      <c r="I724" s="1">
        <v>1</v>
      </c>
      <c r="J724" s="1">
        <v>1.07</v>
      </c>
      <c r="K724" s="1">
        <v>1.96</v>
      </c>
      <c r="L724" s="1">
        <v>1.31</v>
      </c>
      <c r="M724" s="1">
        <v>1.31</v>
      </c>
      <c r="N724" s="1">
        <v>1</v>
      </c>
      <c r="O724" s="1">
        <v>1</v>
      </c>
      <c r="P724" s="1">
        <v>1</v>
      </c>
      <c r="Q724" s="1">
        <v>1</v>
      </c>
      <c r="R724" s="1">
        <v>1</v>
      </c>
      <c r="S724" s="1">
        <v>1</v>
      </c>
      <c r="T724" s="1">
        <v>1</v>
      </c>
      <c r="U724" s="1">
        <v>1</v>
      </c>
      <c r="V724" s="1">
        <v>1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B724" s="1">
        <v>0</v>
      </c>
      <c r="AC724" s="1">
        <v>5</v>
      </c>
      <c r="AD724" s="1">
        <v>12</v>
      </c>
      <c r="AE724" s="1">
        <v>1.5</v>
      </c>
      <c r="AF724" s="1">
        <v>1</v>
      </c>
      <c r="AG724" s="1">
        <v>1</v>
      </c>
      <c r="AH724" s="1">
        <v>1</v>
      </c>
      <c r="AI724" s="1">
        <v>2.5</v>
      </c>
      <c r="AJ724" s="1">
        <v>1</v>
      </c>
      <c r="AK724" s="1">
        <v>0</v>
      </c>
      <c r="AL724" s="1">
        <v>1</v>
      </c>
      <c r="AM724" s="1">
        <v>1</v>
      </c>
      <c r="AN724" s="1">
        <v>2.5</v>
      </c>
    </row>
    <row r="725" spans="1:40">
      <c r="A725" s="1">
        <v>6306</v>
      </c>
      <c r="C725" s="1">
        <v>1.49</v>
      </c>
      <c r="D725" s="1">
        <v>1.6</v>
      </c>
      <c r="E725" s="1">
        <v>1.6</v>
      </c>
      <c r="F725" s="1">
        <v>1.6</v>
      </c>
      <c r="G725" s="1">
        <v>1.6</v>
      </c>
      <c r="H725" s="1">
        <v>1</v>
      </c>
      <c r="I725" s="1">
        <v>1</v>
      </c>
      <c r="J725" s="1">
        <v>1.08</v>
      </c>
      <c r="K725" s="1">
        <v>1.99</v>
      </c>
      <c r="L725" s="1">
        <v>1.33</v>
      </c>
      <c r="M725" s="1">
        <v>1.33</v>
      </c>
      <c r="N725" s="1">
        <v>1</v>
      </c>
      <c r="O725" s="1">
        <v>1</v>
      </c>
      <c r="P725" s="1">
        <v>1</v>
      </c>
      <c r="Q725" s="1">
        <v>1</v>
      </c>
      <c r="R725" s="1">
        <v>1</v>
      </c>
      <c r="S725" s="1">
        <v>1</v>
      </c>
      <c r="T725" s="1">
        <v>1</v>
      </c>
      <c r="U725" s="1">
        <v>1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6</v>
      </c>
      <c r="AD725" s="1">
        <v>15</v>
      </c>
      <c r="AE725" s="1">
        <v>1.6</v>
      </c>
      <c r="AF725" s="1">
        <v>1</v>
      </c>
      <c r="AG725" s="1">
        <v>1</v>
      </c>
      <c r="AH725" s="1">
        <v>1</v>
      </c>
      <c r="AI725" s="1">
        <v>2.75</v>
      </c>
      <c r="AJ725" s="1">
        <v>1</v>
      </c>
      <c r="AK725" s="1">
        <v>0</v>
      </c>
      <c r="AL725" s="1">
        <v>1</v>
      </c>
      <c r="AM725" s="1">
        <v>1</v>
      </c>
      <c r="AN725" s="1">
        <v>2.8</v>
      </c>
    </row>
    <row r="726" spans="1:40">
      <c r="A726" s="1">
        <v>6307</v>
      </c>
      <c r="C726" s="1">
        <v>1.58</v>
      </c>
      <c r="D726" s="1">
        <v>1.7</v>
      </c>
      <c r="E726" s="1">
        <v>1.7</v>
      </c>
      <c r="F726" s="1">
        <v>1.7</v>
      </c>
      <c r="G726" s="1">
        <v>1.7</v>
      </c>
      <c r="H726" s="1">
        <v>1</v>
      </c>
      <c r="I726" s="1">
        <v>1</v>
      </c>
      <c r="J726" s="1">
        <v>1.0900000000000001</v>
      </c>
      <c r="K726" s="1">
        <v>2.02</v>
      </c>
      <c r="L726" s="1">
        <v>1.35</v>
      </c>
      <c r="M726" s="1">
        <v>1.35</v>
      </c>
      <c r="N726" s="1">
        <v>1</v>
      </c>
      <c r="O726" s="1">
        <v>1</v>
      </c>
      <c r="P726" s="1">
        <v>1</v>
      </c>
      <c r="Q726" s="1">
        <v>1</v>
      </c>
      <c r="R726" s="1">
        <v>1</v>
      </c>
      <c r="S726" s="1">
        <v>1</v>
      </c>
      <c r="T726" s="1">
        <v>1</v>
      </c>
      <c r="U726" s="1">
        <v>1</v>
      </c>
      <c r="V726" s="1">
        <v>1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7</v>
      </c>
      <c r="AD726" s="1">
        <v>17</v>
      </c>
      <c r="AE726" s="1">
        <v>1.7</v>
      </c>
      <c r="AF726" s="1">
        <v>1</v>
      </c>
      <c r="AG726" s="1">
        <v>1</v>
      </c>
      <c r="AH726" s="1">
        <v>1</v>
      </c>
      <c r="AI726" s="1">
        <v>3</v>
      </c>
      <c r="AJ726" s="1">
        <v>1</v>
      </c>
      <c r="AK726" s="1">
        <v>0</v>
      </c>
      <c r="AL726" s="1">
        <v>1</v>
      </c>
      <c r="AM726" s="1">
        <v>1</v>
      </c>
      <c r="AN726" s="1">
        <v>3.1</v>
      </c>
    </row>
    <row r="727" spans="1:40">
      <c r="A727" s="1">
        <v>6308</v>
      </c>
      <c r="C727" s="1">
        <v>1.67</v>
      </c>
      <c r="D727" s="1">
        <v>1.8</v>
      </c>
      <c r="E727" s="1">
        <v>1.8</v>
      </c>
      <c r="F727" s="1">
        <v>1.8</v>
      </c>
      <c r="G727" s="1">
        <v>1.8</v>
      </c>
      <c r="H727" s="1">
        <v>1</v>
      </c>
      <c r="I727" s="1">
        <v>1</v>
      </c>
      <c r="J727" s="1">
        <v>1.1000000000000001</v>
      </c>
      <c r="K727" s="1">
        <v>2.0499999999999998</v>
      </c>
      <c r="L727" s="1">
        <v>1.37</v>
      </c>
      <c r="M727" s="1">
        <v>1.37</v>
      </c>
      <c r="N727" s="1">
        <v>1</v>
      </c>
      <c r="O727" s="1">
        <v>1</v>
      </c>
      <c r="P727" s="1">
        <v>1</v>
      </c>
      <c r="Q727" s="1">
        <v>1</v>
      </c>
      <c r="R727" s="1">
        <v>1</v>
      </c>
      <c r="S727" s="1">
        <v>1</v>
      </c>
      <c r="T727" s="1">
        <v>1</v>
      </c>
      <c r="U727" s="1">
        <v>1</v>
      </c>
      <c r="V727" s="1">
        <v>1</v>
      </c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8</v>
      </c>
      <c r="AD727" s="1">
        <v>20</v>
      </c>
      <c r="AE727" s="1">
        <v>1.8</v>
      </c>
      <c r="AF727" s="1">
        <v>1</v>
      </c>
      <c r="AG727" s="1">
        <v>1</v>
      </c>
      <c r="AH727" s="1">
        <v>1</v>
      </c>
      <c r="AI727" s="1">
        <v>3.25</v>
      </c>
      <c r="AJ727" s="1">
        <v>1</v>
      </c>
      <c r="AK727" s="1">
        <v>0</v>
      </c>
      <c r="AL727" s="1">
        <v>1</v>
      </c>
      <c r="AM727" s="1">
        <v>1</v>
      </c>
      <c r="AN727" s="1">
        <v>3.4</v>
      </c>
    </row>
    <row r="728" spans="1:40">
      <c r="A728" s="1">
        <v>6309</v>
      </c>
      <c r="C728" s="1">
        <v>1.76</v>
      </c>
      <c r="D728" s="1">
        <v>1.9</v>
      </c>
      <c r="E728" s="1">
        <v>1.9</v>
      </c>
      <c r="F728" s="1">
        <v>1.9</v>
      </c>
      <c r="G728" s="1">
        <v>1.9</v>
      </c>
      <c r="H728" s="1">
        <v>1</v>
      </c>
      <c r="I728" s="1">
        <v>1</v>
      </c>
      <c r="J728" s="1">
        <v>1.1100000000000001</v>
      </c>
      <c r="K728" s="1">
        <v>2.08</v>
      </c>
      <c r="L728" s="1">
        <v>1.39</v>
      </c>
      <c r="M728" s="1">
        <v>1.39</v>
      </c>
      <c r="N728" s="1">
        <v>1</v>
      </c>
      <c r="O728" s="1">
        <v>1</v>
      </c>
      <c r="P728" s="1">
        <v>1</v>
      </c>
      <c r="Q728" s="1">
        <v>1</v>
      </c>
      <c r="R728" s="1">
        <v>1</v>
      </c>
      <c r="S728" s="1">
        <v>1</v>
      </c>
      <c r="T728" s="1">
        <v>1</v>
      </c>
      <c r="U728" s="1">
        <v>1</v>
      </c>
      <c r="V728" s="1">
        <v>1</v>
      </c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9</v>
      </c>
      <c r="AD728" s="1">
        <v>22</v>
      </c>
      <c r="AE728" s="1">
        <v>1.9</v>
      </c>
      <c r="AF728" s="1">
        <v>1</v>
      </c>
      <c r="AG728" s="1">
        <v>1</v>
      </c>
      <c r="AH728" s="1">
        <v>1</v>
      </c>
      <c r="AI728" s="1">
        <v>3.5</v>
      </c>
      <c r="AJ728" s="1">
        <v>1</v>
      </c>
      <c r="AK728" s="1">
        <v>0</v>
      </c>
      <c r="AL728" s="1">
        <v>1</v>
      </c>
      <c r="AM728" s="1">
        <v>1</v>
      </c>
      <c r="AN728" s="1">
        <v>3.7</v>
      </c>
    </row>
    <row r="729" spans="1:40">
      <c r="A729" s="1">
        <v>6310</v>
      </c>
      <c r="C729" s="1">
        <v>1.85</v>
      </c>
      <c r="D729" s="1">
        <v>2</v>
      </c>
      <c r="E729" s="1">
        <v>2</v>
      </c>
      <c r="F729" s="1">
        <v>2</v>
      </c>
      <c r="G729" s="1">
        <v>2</v>
      </c>
      <c r="H729" s="1">
        <v>1</v>
      </c>
      <c r="I729" s="1">
        <v>1</v>
      </c>
      <c r="J729" s="1">
        <v>1.1000000000000001</v>
      </c>
      <c r="K729" s="1">
        <v>2.1</v>
      </c>
      <c r="L729" s="1">
        <v>1.4</v>
      </c>
      <c r="M729" s="1">
        <v>1.4</v>
      </c>
      <c r="N729" s="1">
        <v>1</v>
      </c>
      <c r="O729" s="1">
        <v>1</v>
      </c>
      <c r="P729" s="1">
        <v>1</v>
      </c>
      <c r="Q729" s="1">
        <v>1</v>
      </c>
      <c r="R729" s="1">
        <v>1</v>
      </c>
      <c r="S729" s="1">
        <v>1</v>
      </c>
      <c r="T729" s="1">
        <v>1</v>
      </c>
      <c r="U729" s="1">
        <v>1</v>
      </c>
      <c r="V729" s="1">
        <v>1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10</v>
      </c>
      <c r="AD729" s="1">
        <v>25</v>
      </c>
      <c r="AE729" s="1">
        <v>2</v>
      </c>
      <c r="AF729" s="1">
        <v>1</v>
      </c>
      <c r="AG729" s="1">
        <v>1</v>
      </c>
      <c r="AH729" s="1">
        <v>1</v>
      </c>
      <c r="AI729" s="1">
        <v>4</v>
      </c>
      <c r="AJ729" s="1">
        <v>1</v>
      </c>
      <c r="AK729" s="1">
        <v>0</v>
      </c>
      <c r="AL729" s="1">
        <v>1</v>
      </c>
      <c r="AM729" s="1">
        <v>1</v>
      </c>
      <c r="AN729" s="1">
        <v>4</v>
      </c>
    </row>
    <row r="730" spans="1:40">
      <c r="A730" s="1">
        <v>7000</v>
      </c>
      <c r="C730" s="1">
        <v>0.98</v>
      </c>
      <c r="D730" s="1">
        <v>1</v>
      </c>
      <c r="E730" s="1">
        <v>1</v>
      </c>
      <c r="F730" s="1">
        <v>1</v>
      </c>
      <c r="G730" s="1">
        <v>1</v>
      </c>
      <c r="H730" s="1">
        <v>1</v>
      </c>
      <c r="I730" s="1">
        <v>1</v>
      </c>
      <c r="J730" s="1">
        <v>1.6</v>
      </c>
      <c r="K730" s="1">
        <v>0</v>
      </c>
      <c r="L730" s="1">
        <v>1</v>
      </c>
      <c r="M730" s="1">
        <v>1</v>
      </c>
      <c r="N730" s="1">
        <v>1</v>
      </c>
      <c r="O730" s="1">
        <v>1</v>
      </c>
      <c r="P730" s="1">
        <v>1</v>
      </c>
      <c r="Q730" s="1">
        <v>1</v>
      </c>
      <c r="R730" s="1">
        <v>1</v>
      </c>
      <c r="S730" s="1">
        <v>1</v>
      </c>
      <c r="T730" s="1">
        <v>1</v>
      </c>
      <c r="U730" s="1">
        <v>1</v>
      </c>
      <c r="V730" s="1">
        <v>1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1</v>
      </c>
      <c r="AF730" s="1">
        <v>1</v>
      </c>
      <c r="AG730" s="1">
        <v>1</v>
      </c>
      <c r="AH730" s="1">
        <v>1</v>
      </c>
      <c r="AI730" s="1">
        <v>1.5</v>
      </c>
      <c r="AJ730" s="1">
        <v>1</v>
      </c>
      <c r="AK730" s="1">
        <v>0</v>
      </c>
      <c r="AL730" s="1">
        <v>1</v>
      </c>
      <c r="AM730" s="1">
        <v>1</v>
      </c>
      <c r="AN730" s="1">
        <v>1</v>
      </c>
    </row>
    <row r="731" spans="1:40">
      <c r="A731" s="1">
        <v>7001</v>
      </c>
      <c r="C731" s="1">
        <v>1.0669999999999999</v>
      </c>
      <c r="D731" s="1">
        <v>1.1000000000000001</v>
      </c>
      <c r="E731" s="1">
        <v>1.1000000000000001</v>
      </c>
      <c r="F731" s="1">
        <v>1.1000000000000001</v>
      </c>
      <c r="G731" s="1">
        <v>1.1000000000000001</v>
      </c>
      <c r="H731" s="1">
        <v>1</v>
      </c>
      <c r="I731" s="1">
        <v>1</v>
      </c>
      <c r="J731" s="1">
        <v>1.66</v>
      </c>
      <c r="K731" s="1">
        <v>0</v>
      </c>
      <c r="L731" s="1">
        <v>1.05</v>
      </c>
      <c r="M731" s="1">
        <v>1.05</v>
      </c>
      <c r="N731" s="1">
        <v>1</v>
      </c>
      <c r="O731" s="1">
        <v>1</v>
      </c>
      <c r="P731" s="1">
        <v>1</v>
      </c>
      <c r="Q731" s="1">
        <v>1</v>
      </c>
      <c r="R731" s="1">
        <v>1</v>
      </c>
      <c r="S731" s="1">
        <v>1</v>
      </c>
      <c r="T731" s="1">
        <v>1</v>
      </c>
      <c r="U731" s="1">
        <v>1</v>
      </c>
      <c r="V731" s="1">
        <v>1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1</v>
      </c>
      <c r="AD731" s="1">
        <v>2</v>
      </c>
      <c r="AE731" s="1">
        <v>1.1000000000000001</v>
      </c>
      <c r="AF731" s="1">
        <v>1</v>
      </c>
      <c r="AG731" s="1">
        <v>1</v>
      </c>
      <c r="AH731" s="1">
        <v>1</v>
      </c>
      <c r="AI731" s="1">
        <v>1.5</v>
      </c>
      <c r="AJ731" s="1">
        <v>1</v>
      </c>
      <c r="AK731" s="1">
        <v>0</v>
      </c>
      <c r="AL731" s="1">
        <v>1</v>
      </c>
      <c r="AM731" s="1">
        <v>1</v>
      </c>
      <c r="AN731" s="1">
        <v>1.3</v>
      </c>
    </row>
    <row r="732" spans="1:40">
      <c r="A732" s="1">
        <v>7002</v>
      </c>
      <c r="C732" s="1">
        <v>1.1539999999999999</v>
      </c>
      <c r="D732" s="1">
        <v>1.2</v>
      </c>
      <c r="E732" s="1">
        <v>1.2</v>
      </c>
      <c r="F732" s="1">
        <v>1.2</v>
      </c>
      <c r="G732" s="1">
        <v>1.2</v>
      </c>
      <c r="H732" s="1">
        <v>1</v>
      </c>
      <c r="I732" s="1">
        <v>1</v>
      </c>
      <c r="J732" s="1">
        <v>1.72</v>
      </c>
      <c r="K732" s="1">
        <v>0</v>
      </c>
      <c r="L732" s="1">
        <v>1.1000000000000001</v>
      </c>
      <c r="M732" s="1">
        <v>1.1000000000000001</v>
      </c>
      <c r="N732" s="1">
        <v>1</v>
      </c>
      <c r="O732" s="1">
        <v>1</v>
      </c>
      <c r="P732" s="1">
        <v>1</v>
      </c>
      <c r="Q732" s="1">
        <v>1</v>
      </c>
      <c r="R732" s="1">
        <v>1</v>
      </c>
      <c r="S732" s="1">
        <v>1</v>
      </c>
      <c r="T732" s="1">
        <v>1</v>
      </c>
      <c r="U732" s="1">
        <v>1</v>
      </c>
      <c r="V732" s="1">
        <v>1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2</v>
      </c>
      <c r="AD732" s="1">
        <v>5</v>
      </c>
      <c r="AE732" s="1">
        <v>1.2</v>
      </c>
      <c r="AF732" s="1">
        <v>1</v>
      </c>
      <c r="AG732" s="1">
        <v>1</v>
      </c>
      <c r="AH732" s="1">
        <v>1</v>
      </c>
      <c r="AI732" s="1">
        <v>1.75</v>
      </c>
      <c r="AJ732" s="1">
        <v>1</v>
      </c>
      <c r="AK732" s="1">
        <v>0</v>
      </c>
      <c r="AL732" s="1">
        <v>1</v>
      </c>
      <c r="AM732" s="1">
        <v>1</v>
      </c>
      <c r="AN732" s="1">
        <v>1.6</v>
      </c>
    </row>
    <row r="733" spans="1:40">
      <c r="A733" s="1">
        <v>7003</v>
      </c>
      <c r="C733" s="1">
        <v>1.2410000000000001</v>
      </c>
      <c r="D733" s="1">
        <v>1.3</v>
      </c>
      <c r="E733" s="1">
        <v>1.3</v>
      </c>
      <c r="F733" s="1">
        <v>1.3</v>
      </c>
      <c r="G733" s="1">
        <v>1.3</v>
      </c>
      <c r="H733" s="1">
        <v>1</v>
      </c>
      <c r="I733" s="1">
        <v>1</v>
      </c>
      <c r="J733" s="1">
        <v>1.78</v>
      </c>
      <c r="K733" s="1">
        <v>0</v>
      </c>
      <c r="L733" s="1">
        <v>1.1499999999999999</v>
      </c>
      <c r="M733" s="1">
        <v>1.1499999999999999</v>
      </c>
      <c r="N733" s="1">
        <v>1</v>
      </c>
      <c r="O733" s="1">
        <v>1</v>
      </c>
      <c r="P733" s="1">
        <v>1</v>
      </c>
      <c r="Q733" s="1">
        <v>1</v>
      </c>
      <c r="R733" s="1">
        <v>1</v>
      </c>
      <c r="S733" s="1">
        <v>1</v>
      </c>
      <c r="T733" s="1">
        <v>1</v>
      </c>
      <c r="U733" s="1">
        <v>1</v>
      </c>
      <c r="V733" s="1">
        <v>1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3</v>
      </c>
      <c r="AD733" s="1">
        <v>7</v>
      </c>
      <c r="AE733" s="1">
        <v>1.3</v>
      </c>
      <c r="AF733" s="1">
        <v>1</v>
      </c>
      <c r="AG733" s="1">
        <v>1</v>
      </c>
      <c r="AH733" s="1">
        <v>1</v>
      </c>
      <c r="AI733" s="1">
        <v>2</v>
      </c>
      <c r="AJ733" s="1">
        <v>1</v>
      </c>
      <c r="AK733" s="1">
        <v>0</v>
      </c>
      <c r="AL733" s="1">
        <v>1</v>
      </c>
      <c r="AM733" s="1">
        <v>1</v>
      </c>
      <c r="AN733" s="1">
        <v>1.9</v>
      </c>
    </row>
    <row r="734" spans="1:40">
      <c r="A734" s="1">
        <v>7004</v>
      </c>
      <c r="C734" s="1">
        <v>1.3280000000000001</v>
      </c>
      <c r="D734" s="1">
        <v>1.4</v>
      </c>
      <c r="E734" s="1">
        <v>1.4</v>
      </c>
      <c r="F734" s="1">
        <v>1.4</v>
      </c>
      <c r="G734" s="1">
        <v>1.4</v>
      </c>
      <c r="H734" s="1">
        <v>1</v>
      </c>
      <c r="I734" s="1">
        <v>1</v>
      </c>
      <c r="J734" s="1">
        <v>1.85</v>
      </c>
      <c r="K734" s="1">
        <v>0</v>
      </c>
      <c r="L734" s="1">
        <v>1.2</v>
      </c>
      <c r="M734" s="1">
        <v>1.2</v>
      </c>
      <c r="N734" s="1">
        <v>1</v>
      </c>
      <c r="O734" s="1">
        <v>1</v>
      </c>
      <c r="P734" s="1">
        <v>1</v>
      </c>
      <c r="Q734" s="1">
        <v>1</v>
      </c>
      <c r="R734" s="1">
        <v>1</v>
      </c>
      <c r="S734" s="1">
        <v>1</v>
      </c>
      <c r="T734" s="1">
        <v>1</v>
      </c>
      <c r="U734" s="1">
        <v>1</v>
      </c>
      <c r="V734" s="1">
        <v>1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4</v>
      </c>
      <c r="AD734" s="1">
        <v>10</v>
      </c>
      <c r="AE734" s="1">
        <v>1.4</v>
      </c>
      <c r="AF734" s="1">
        <v>1</v>
      </c>
      <c r="AG734" s="1">
        <v>1</v>
      </c>
      <c r="AH734" s="1">
        <v>1</v>
      </c>
      <c r="AI734" s="1">
        <v>2.25</v>
      </c>
      <c r="AJ734" s="1">
        <v>1</v>
      </c>
      <c r="AK734" s="1">
        <v>0</v>
      </c>
      <c r="AL734" s="1">
        <v>1</v>
      </c>
      <c r="AM734" s="1">
        <v>1</v>
      </c>
      <c r="AN734" s="1">
        <v>2.2000000000000002</v>
      </c>
    </row>
    <row r="735" spans="1:40">
      <c r="A735" s="1">
        <v>7005</v>
      </c>
      <c r="C735" s="1">
        <v>1.415</v>
      </c>
      <c r="D735" s="1">
        <v>1.5</v>
      </c>
      <c r="E735" s="1">
        <v>1.5</v>
      </c>
      <c r="F735" s="1">
        <v>1.5</v>
      </c>
      <c r="G735" s="1">
        <v>1.5</v>
      </c>
      <c r="H735" s="1">
        <v>1</v>
      </c>
      <c r="I735" s="1">
        <v>1</v>
      </c>
      <c r="J735" s="1">
        <v>1.89</v>
      </c>
      <c r="K735" s="1">
        <v>0</v>
      </c>
      <c r="L735" s="1">
        <v>1.23</v>
      </c>
      <c r="M735" s="1">
        <v>1.23</v>
      </c>
      <c r="N735" s="1">
        <v>1</v>
      </c>
      <c r="O735" s="1">
        <v>1</v>
      </c>
      <c r="P735" s="1">
        <v>1</v>
      </c>
      <c r="Q735" s="1">
        <v>1</v>
      </c>
      <c r="R735" s="1">
        <v>1</v>
      </c>
      <c r="S735" s="1">
        <v>1</v>
      </c>
      <c r="T735" s="1">
        <v>1</v>
      </c>
      <c r="U735" s="1">
        <v>1</v>
      </c>
      <c r="V735" s="1">
        <v>1</v>
      </c>
      <c r="W735" s="1">
        <v>0</v>
      </c>
      <c r="X735" s="1">
        <v>0</v>
      </c>
      <c r="Y735" s="1">
        <v>0</v>
      </c>
      <c r="Z735" s="1">
        <v>0</v>
      </c>
      <c r="AA735" s="1">
        <v>0</v>
      </c>
      <c r="AB735" s="1">
        <v>0</v>
      </c>
      <c r="AC735" s="1">
        <v>5</v>
      </c>
      <c r="AD735" s="1">
        <v>12</v>
      </c>
      <c r="AE735" s="1">
        <v>1.5</v>
      </c>
      <c r="AF735" s="1">
        <v>1</v>
      </c>
      <c r="AG735" s="1">
        <v>1</v>
      </c>
      <c r="AH735" s="1">
        <v>1</v>
      </c>
      <c r="AI735" s="1">
        <v>2.5</v>
      </c>
      <c r="AJ735" s="1">
        <v>1</v>
      </c>
      <c r="AK735" s="1">
        <v>0</v>
      </c>
      <c r="AL735" s="1">
        <v>1</v>
      </c>
      <c r="AM735" s="1">
        <v>1</v>
      </c>
      <c r="AN735" s="1">
        <v>2.5</v>
      </c>
    </row>
    <row r="736" spans="1:40">
      <c r="A736" s="1">
        <v>7006</v>
      </c>
      <c r="C736" s="1">
        <v>1.502</v>
      </c>
      <c r="D736" s="1">
        <v>1.6</v>
      </c>
      <c r="E736" s="1">
        <v>1.6</v>
      </c>
      <c r="F736" s="1">
        <v>1.6</v>
      </c>
      <c r="G736" s="1">
        <v>1.6</v>
      </c>
      <c r="H736" s="1">
        <v>1</v>
      </c>
      <c r="I736" s="1">
        <v>1</v>
      </c>
      <c r="J736" s="1">
        <v>1.93</v>
      </c>
      <c r="K736" s="1">
        <v>0</v>
      </c>
      <c r="L736" s="1">
        <v>1.26</v>
      </c>
      <c r="M736" s="1">
        <v>1.26</v>
      </c>
      <c r="N736" s="1">
        <v>1</v>
      </c>
      <c r="O736" s="1">
        <v>1</v>
      </c>
      <c r="P736" s="1">
        <v>1</v>
      </c>
      <c r="Q736" s="1">
        <v>1</v>
      </c>
      <c r="R736" s="1">
        <v>1</v>
      </c>
      <c r="S736" s="1">
        <v>1</v>
      </c>
      <c r="T736" s="1">
        <v>1</v>
      </c>
      <c r="U736" s="1">
        <v>1</v>
      </c>
      <c r="V736" s="1">
        <v>1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6</v>
      </c>
      <c r="AD736" s="1">
        <v>15</v>
      </c>
      <c r="AE736" s="1">
        <v>1.6</v>
      </c>
      <c r="AF736" s="1">
        <v>1</v>
      </c>
      <c r="AG736" s="1">
        <v>1</v>
      </c>
      <c r="AH736" s="1">
        <v>1</v>
      </c>
      <c r="AI736" s="1">
        <v>2.75</v>
      </c>
      <c r="AJ736" s="1">
        <v>1</v>
      </c>
      <c r="AK736" s="1">
        <v>0</v>
      </c>
      <c r="AL736" s="1">
        <v>1</v>
      </c>
      <c r="AM736" s="1">
        <v>1</v>
      </c>
      <c r="AN736" s="1">
        <v>2.8</v>
      </c>
    </row>
    <row r="737" spans="1:40">
      <c r="A737" s="1">
        <v>7007</v>
      </c>
      <c r="C737" s="1">
        <v>1.589</v>
      </c>
      <c r="D737" s="1">
        <v>1.7</v>
      </c>
      <c r="E737" s="1">
        <v>1.7</v>
      </c>
      <c r="F737" s="1">
        <v>1.7</v>
      </c>
      <c r="G737" s="1">
        <v>1.7</v>
      </c>
      <c r="H737" s="1">
        <v>1</v>
      </c>
      <c r="I737" s="1">
        <v>1</v>
      </c>
      <c r="J737" s="1">
        <v>1.97</v>
      </c>
      <c r="K737" s="1">
        <v>0</v>
      </c>
      <c r="L737" s="1">
        <v>1.29</v>
      </c>
      <c r="M737" s="1">
        <v>1.29</v>
      </c>
      <c r="N737" s="1">
        <v>1</v>
      </c>
      <c r="O737" s="1">
        <v>1</v>
      </c>
      <c r="P737" s="1">
        <v>1</v>
      </c>
      <c r="Q737" s="1">
        <v>1</v>
      </c>
      <c r="R737" s="1">
        <v>1</v>
      </c>
      <c r="S737" s="1">
        <v>1</v>
      </c>
      <c r="T737" s="1">
        <v>1</v>
      </c>
      <c r="U737" s="1">
        <v>1</v>
      </c>
      <c r="V737" s="1">
        <v>1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7</v>
      </c>
      <c r="AD737" s="1">
        <v>17</v>
      </c>
      <c r="AE737" s="1">
        <v>1.7</v>
      </c>
      <c r="AF737" s="1">
        <v>1</v>
      </c>
      <c r="AG737" s="1">
        <v>1</v>
      </c>
      <c r="AH737" s="1">
        <v>1</v>
      </c>
      <c r="AI737" s="1">
        <v>3</v>
      </c>
      <c r="AJ737" s="1">
        <v>1</v>
      </c>
      <c r="AK737" s="1">
        <v>0</v>
      </c>
      <c r="AL737" s="1">
        <v>1</v>
      </c>
      <c r="AM737" s="1">
        <v>1</v>
      </c>
      <c r="AN737" s="1">
        <v>3.1</v>
      </c>
    </row>
    <row r="738" spans="1:40">
      <c r="A738" s="1">
        <v>7008</v>
      </c>
      <c r="C738" s="1">
        <v>1.6759999999999999</v>
      </c>
      <c r="D738" s="1">
        <v>1.8</v>
      </c>
      <c r="E738" s="1">
        <v>1.8</v>
      </c>
      <c r="F738" s="1">
        <v>1.8</v>
      </c>
      <c r="G738" s="1">
        <v>1.8</v>
      </c>
      <c r="H738" s="1">
        <v>1</v>
      </c>
      <c r="I738" s="1">
        <v>1</v>
      </c>
      <c r="J738" s="1">
        <v>2.0099999999999998</v>
      </c>
      <c r="K738" s="1">
        <v>0</v>
      </c>
      <c r="L738" s="1">
        <v>1.32</v>
      </c>
      <c r="M738" s="1">
        <v>1.32</v>
      </c>
      <c r="N738" s="1">
        <v>1</v>
      </c>
      <c r="O738" s="1">
        <v>1</v>
      </c>
      <c r="P738" s="1">
        <v>1</v>
      </c>
      <c r="Q738" s="1">
        <v>1</v>
      </c>
      <c r="R738" s="1">
        <v>1</v>
      </c>
      <c r="S738" s="1">
        <v>1</v>
      </c>
      <c r="T738" s="1">
        <v>1</v>
      </c>
      <c r="U738" s="1">
        <v>1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B738" s="1">
        <v>0</v>
      </c>
      <c r="AC738" s="1">
        <v>8</v>
      </c>
      <c r="AD738" s="1">
        <v>20</v>
      </c>
      <c r="AE738" s="1">
        <v>1.8</v>
      </c>
      <c r="AF738" s="1">
        <v>1</v>
      </c>
      <c r="AG738" s="1">
        <v>1</v>
      </c>
      <c r="AH738" s="1">
        <v>1</v>
      </c>
      <c r="AI738" s="1">
        <v>3.25</v>
      </c>
      <c r="AJ738" s="1">
        <v>1</v>
      </c>
      <c r="AK738" s="1">
        <v>0</v>
      </c>
      <c r="AL738" s="1">
        <v>1</v>
      </c>
      <c r="AM738" s="1">
        <v>1</v>
      </c>
      <c r="AN738" s="1">
        <v>3.4</v>
      </c>
    </row>
    <row r="739" spans="1:40">
      <c r="A739" s="1">
        <v>7009</v>
      </c>
      <c r="C739" s="1">
        <v>1.7629999999999999</v>
      </c>
      <c r="D739" s="1">
        <v>1.9</v>
      </c>
      <c r="E739" s="1">
        <v>1.9</v>
      </c>
      <c r="F739" s="1">
        <v>1.9</v>
      </c>
      <c r="G739" s="1">
        <v>1.9</v>
      </c>
      <c r="H739" s="1">
        <v>1</v>
      </c>
      <c r="I739" s="1">
        <v>1</v>
      </c>
      <c r="J739" s="1">
        <v>2.0499999999999998</v>
      </c>
      <c r="K739" s="1">
        <v>0</v>
      </c>
      <c r="L739" s="1">
        <v>1.35</v>
      </c>
      <c r="M739" s="1">
        <v>1.35</v>
      </c>
      <c r="N739" s="1">
        <v>1</v>
      </c>
      <c r="O739" s="1">
        <v>1</v>
      </c>
      <c r="P739" s="1">
        <v>1</v>
      </c>
      <c r="Q739" s="1">
        <v>1</v>
      </c>
      <c r="R739" s="1">
        <v>1</v>
      </c>
      <c r="S739" s="1">
        <v>1</v>
      </c>
      <c r="T739" s="1">
        <v>1</v>
      </c>
      <c r="U739" s="1">
        <v>1</v>
      </c>
      <c r="V739" s="1">
        <v>1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0</v>
      </c>
      <c r="AC739" s="1">
        <v>9</v>
      </c>
      <c r="AD739" s="1">
        <v>22</v>
      </c>
      <c r="AE739" s="1">
        <v>1.9</v>
      </c>
      <c r="AF739" s="1">
        <v>1</v>
      </c>
      <c r="AG739" s="1">
        <v>1</v>
      </c>
      <c r="AH739" s="1">
        <v>1</v>
      </c>
      <c r="AI739" s="1">
        <v>3.5</v>
      </c>
      <c r="AJ739" s="1">
        <v>1</v>
      </c>
      <c r="AK739" s="1">
        <v>0</v>
      </c>
      <c r="AL739" s="1">
        <v>1</v>
      </c>
      <c r="AM739" s="1">
        <v>1</v>
      </c>
      <c r="AN739" s="1">
        <v>3.7</v>
      </c>
    </row>
    <row r="740" spans="1:40">
      <c r="A740" s="1">
        <v>7010</v>
      </c>
      <c r="C740" s="1">
        <v>1.85</v>
      </c>
      <c r="D740" s="1">
        <v>2</v>
      </c>
      <c r="E740" s="1">
        <v>2</v>
      </c>
      <c r="F740" s="1">
        <v>2</v>
      </c>
      <c r="G740" s="1">
        <v>2</v>
      </c>
      <c r="H740" s="1">
        <v>1</v>
      </c>
      <c r="I740" s="1">
        <v>1</v>
      </c>
      <c r="J740" s="1">
        <v>2.1</v>
      </c>
      <c r="K740" s="1">
        <v>0</v>
      </c>
      <c r="L740" s="1">
        <v>1.4</v>
      </c>
      <c r="M740" s="1">
        <v>1.4</v>
      </c>
      <c r="N740" s="1">
        <v>1</v>
      </c>
      <c r="O740" s="1">
        <v>1</v>
      </c>
      <c r="P740" s="1">
        <v>1</v>
      </c>
      <c r="Q740" s="1">
        <v>1</v>
      </c>
      <c r="R740" s="1">
        <v>1</v>
      </c>
      <c r="S740" s="1">
        <v>1</v>
      </c>
      <c r="T740" s="1">
        <v>1</v>
      </c>
      <c r="U740" s="1">
        <v>1</v>
      </c>
      <c r="V740" s="1">
        <v>1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10</v>
      </c>
      <c r="AD740" s="1">
        <v>25</v>
      </c>
      <c r="AE740" s="1">
        <v>2</v>
      </c>
      <c r="AF740" s="1">
        <v>1</v>
      </c>
      <c r="AG740" s="1">
        <v>1</v>
      </c>
      <c r="AH740" s="1">
        <v>1</v>
      </c>
      <c r="AI740" s="1">
        <v>4</v>
      </c>
      <c r="AJ740" s="1">
        <v>1</v>
      </c>
      <c r="AK740" s="1">
        <v>0</v>
      </c>
      <c r="AL740" s="1">
        <v>1</v>
      </c>
      <c r="AM740" s="1">
        <v>1</v>
      </c>
      <c r="AN740" s="1">
        <v>4</v>
      </c>
    </row>
    <row r="741" spans="1:40">
      <c r="A741" s="1">
        <v>8000</v>
      </c>
      <c r="C741" s="1">
        <v>1</v>
      </c>
      <c r="D741" s="1">
        <v>1</v>
      </c>
      <c r="E741" s="1">
        <v>1</v>
      </c>
      <c r="F741" s="1">
        <v>1</v>
      </c>
      <c r="G741" s="1">
        <v>1</v>
      </c>
      <c r="H741" s="1">
        <v>1</v>
      </c>
      <c r="I741" s="1">
        <v>1</v>
      </c>
      <c r="J741" s="1">
        <v>1</v>
      </c>
      <c r="K741" s="1">
        <v>1</v>
      </c>
      <c r="L741" s="1">
        <v>1</v>
      </c>
      <c r="M741" s="1">
        <v>1</v>
      </c>
      <c r="N741" s="1">
        <v>1</v>
      </c>
      <c r="O741" s="1">
        <v>1</v>
      </c>
      <c r="P741" s="1">
        <v>1</v>
      </c>
      <c r="Q741" s="1">
        <v>1</v>
      </c>
      <c r="R741" s="1">
        <v>1</v>
      </c>
      <c r="S741" s="1">
        <v>1</v>
      </c>
      <c r="T741" s="1">
        <v>1</v>
      </c>
      <c r="U741" s="1">
        <v>1</v>
      </c>
      <c r="V741" s="1">
        <v>1</v>
      </c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1</v>
      </c>
      <c r="AF741" s="1">
        <v>1</v>
      </c>
      <c r="AG741" s="1">
        <v>1</v>
      </c>
      <c r="AH741" s="1">
        <v>1</v>
      </c>
      <c r="AI741" s="1">
        <v>1</v>
      </c>
      <c r="AJ741" s="1">
        <v>1</v>
      </c>
      <c r="AK741" s="1">
        <v>0</v>
      </c>
      <c r="AL741" s="1">
        <v>1</v>
      </c>
      <c r="AM741" s="1">
        <v>1</v>
      </c>
      <c r="AN741" s="1">
        <v>1</v>
      </c>
    </row>
    <row r="742" spans="1:40">
      <c r="A742" s="1">
        <v>8001</v>
      </c>
      <c r="C742" s="1">
        <v>1.0580000000000001</v>
      </c>
      <c r="D742" s="1">
        <v>1.0580000000000001</v>
      </c>
      <c r="E742" s="1">
        <v>1.0580000000000001</v>
      </c>
      <c r="F742" s="1">
        <v>1.0580000000000001</v>
      </c>
      <c r="G742" s="1">
        <v>1.04</v>
      </c>
      <c r="H742" s="1">
        <v>1</v>
      </c>
      <c r="I742" s="1">
        <v>1</v>
      </c>
      <c r="J742" s="1">
        <v>1.04</v>
      </c>
      <c r="K742" s="1">
        <v>1.04</v>
      </c>
      <c r="L742" s="1">
        <v>1.04</v>
      </c>
      <c r="M742" s="1">
        <v>1.04</v>
      </c>
      <c r="N742" s="1">
        <v>1</v>
      </c>
      <c r="O742" s="1">
        <v>1</v>
      </c>
      <c r="P742" s="1">
        <v>1</v>
      </c>
      <c r="Q742" s="1">
        <v>1</v>
      </c>
      <c r="R742" s="1">
        <v>1</v>
      </c>
      <c r="S742" s="1">
        <v>1</v>
      </c>
      <c r="T742" s="1">
        <v>1</v>
      </c>
      <c r="U742" s="1">
        <v>1</v>
      </c>
      <c r="V742" s="1">
        <v>1.02</v>
      </c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1</v>
      </c>
      <c r="AD742" s="1">
        <v>1</v>
      </c>
      <c r="AE742" s="1">
        <v>1.0580000000000001</v>
      </c>
      <c r="AF742" s="1">
        <v>1</v>
      </c>
      <c r="AG742" s="1">
        <v>1.04</v>
      </c>
      <c r="AH742" s="1">
        <v>1</v>
      </c>
      <c r="AI742" s="1">
        <v>1</v>
      </c>
      <c r="AJ742" s="1">
        <v>1</v>
      </c>
      <c r="AK742" s="1">
        <v>0</v>
      </c>
      <c r="AL742" s="1">
        <v>1</v>
      </c>
      <c r="AM742" s="1">
        <v>1</v>
      </c>
      <c r="AN742" s="1">
        <v>1.1200000000000001</v>
      </c>
    </row>
    <row r="743" spans="1:40">
      <c r="A743" s="1">
        <v>8002</v>
      </c>
      <c r="C743" s="1">
        <v>1.1160000000000001</v>
      </c>
      <c r="D743" s="1">
        <v>1.1160000000000001</v>
      </c>
      <c r="E743" s="1">
        <v>1.1160000000000001</v>
      </c>
      <c r="F743" s="1">
        <v>1.1160000000000001</v>
      </c>
      <c r="G743" s="1">
        <v>1.08</v>
      </c>
      <c r="H743" s="1">
        <v>1</v>
      </c>
      <c r="I743" s="1">
        <v>1</v>
      </c>
      <c r="J743" s="1">
        <v>1.08</v>
      </c>
      <c r="K743" s="1">
        <v>1.08</v>
      </c>
      <c r="L743" s="1">
        <v>1.08</v>
      </c>
      <c r="M743" s="1">
        <v>1.08</v>
      </c>
      <c r="N743" s="1">
        <v>1</v>
      </c>
      <c r="O743" s="1">
        <v>1</v>
      </c>
      <c r="P743" s="1">
        <v>1</v>
      </c>
      <c r="Q743" s="1">
        <v>1</v>
      </c>
      <c r="R743" s="1">
        <v>1</v>
      </c>
      <c r="S743" s="1">
        <v>1</v>
      </c>
      <c r="T743" s="1">
        <v>1</v>
      </c>
      <c r="U743" s="1">
        <v>1</v>
      </c>
      <c r="V743" s="1">
        <v>1.04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2</v>
      </c>
      <c r="AD743" s="1">
        <v>2</v>
      </c>
      <c r="AE743" s="1">
        <v>1.1160000000000001</v>
      </c>
      <c r="AF743" s="1">
        <v>1</v>
      </c>
      <c r="AG743" s="1">
        <v>1.08</v>
      </c>
      <c r="AH743" s="1">
        <v>1</v>
      </c>
      <c r="AI743" s="1">
        <v>1.2</v>
      </c>
      <c r="AJ743" s="1">
        <v>1</v>
      </c>
      <c r="AK743" s="1">
        <v>0</v>
      </c>
      <c r="AL743" s="1">
        <v>1</v>
      </c>
      <c r="AM743" s="1">
        <v>1</v>
      </c>
      <c r="AN743" s="1">
        <v>1.24</v>
      </c>
    </row>
    <row r="744" spans="1:40">
      <c r="A744" s="1">
        <v>8003</v>
      </c>
      <c r="C744" s="1">
        <v>1.1739999999999999</v>
      </c>
      <c r="D744" s="1">
        <v>1.1739999999999999</v>
      </c>
      <c r="E744" s="1">
        <v>1.1739999999999999</v>
      </c>
      <c r="F744" s="1">
        <v>1.1739999999999999</v>
      </c>
      <c r="G744" s="1">
        <v>1.1200000000000001</v>
      </c>
      <c r="H744" s="1">
        <v>1</v>
      </c>
      <c r="I744" s="1">
        <v>1</v>
      </c>
      <c r="J744" s="1">
        <v>1.1200000000000001</v>
      </c>
      <c r="K744" s="1">
        <v>1.1200000000000001</v>
      </c>
      <c r="L744" s="1">
        <v>1.1200000000000001</v>
      </c>
      <c r="M744" s="1">
        <v>1.1200000000000001</v>
      </c>
      <c r="N744" s="1">
        <v>1</v>
      </c>
      <c r="O744" s="1">
        <v>1</v>
      </c>
      <c r="P744" s="1">
        <v>1</v>
      </c>
      <c r="Q744" s="1">
        <v>1</v>
      </c>
      <c r="R744" s="1">
        <v>1</v>
      </c>
      <c r="S744" s="1">
        <v>1</v>
      </c>
      <c r="T744" s="1">
        <v>1</v>
      </c>
      <c r="U744" s="1">
        <v>1</v>
      </c>
      <c r="V744" s="1">
        <v>1.06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3</v>
      </c>
      <c r="AD744" s="1">
        <v>3</v>
      </c>
      <c r="AE744" s="1">
        <v>1.1739999999999999</v>
      </c>
      <c r="AF744" s="1">
        <v>1</v>
      </c>
      <c r="AG744" s="1">
        <v>1.1200000000000001</v>
      </c>
      <c r="AH744" s="1">
        <v>1</v>
      </c>
      <c r="AI744" s="1">
        <v>1.4</v>
      </c>
      <c r="AJ744" s="1">
        <v>1</v>
      </c>
      <c r="AK744" s="1">
        <v>0</v>
      </c>
      <c r="AL744" s="1">
        <v>1</v>
      </c>
      <c r="AM744" s="1">
        <v>1</v>
      </c>
      <c r="AN744" s="1">
        <v>1.36</v>
      </c>
    </row>
    <row r="745" spans="1:40">
      <c r="A745" s="1">
        <v>8004</v>
      </c>
      <c r="C745" s="1">
        <v>1.232</v>
      </c>
      <c r="D745" s="1">
        <v>1.232</v>
      </c>
      <c r="E745" s="1">
        <v>1.232</v>
      </c>
      <c r="F745" s="1">
        <v>1.232</v>
      </c>
      <c r="G745" s="1">
        <v>1.1599999999999999</v>
      </c>
      <c r="H745" s="1">
        <v>1</v>
      </c>
      <c r="I745" s="1">
        <v>1</v>
      </c>
      <c r="J745" s="1">
        <v>1.1599999999999999</v>
      </c>
      <c r="K745" s="1">
        <v>1.1599999999999999</v>
      </c>
      <c r="L745" s="1">
        <v>1.1599999999999999</v>
      </c>
      <c r="M745" s="1">
        <v>1.1599999999999999</v>
      </c>
      <c r="N745" s="1">
        <v>1</v>
      </c>
      <c r="O745" s="1">
        <v>1</v>
      </c>
      <c r="P745" s="1">
        <v>1</v>
      </c>
      <c r="Q745" s="1">
        <v>1</v>
      </c>
      <c r="R745" s="1">
        <v>1</v>
      </c>
      <c r="S745" s="1">
        <v>1</v>
      </c>
      <c r="T745" s="1">
        <v>1</v>
      </c>
      <c r="U745" s="1">
        <v>1</v>
      </c>
      <c r="V745" s="1">
        <v>1.08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4</v>
      </c>
      <c r="AD745" s="1">
        <v>4</v>
      </c>
      <c r="AE745" s="1">
        <v>1.232</v>
      </c>
      <c r="AF745" s="1">
        <v>1</v>
      </c>
      <c r="AG745" s="1">
        <v>1.1599999999999999</v>
      </c>
      <c r="AH745" s="1">
        <v>1</v>
      </c>
      <c r="AI745" s="1">
        <v>1.6</v>
      </c>
      <c r="AJ745" s="1">
        <v>1</v>
      </c>
      <c r="AK745" s="1">
        <v>0</v>
      </c>
      <c r="AL745" s="1">
        <v>1</v>
      </c>
      <c r="AM745" s="1">
        <v>1</v>
      </c>
      <c r="AN745" s="1">
        <v>1.48</v>
      </c>
    </row>
    <row r="746" spans="1:40">
      <c r="A746" s="1">
        <v>8005</v>
      </c>
      <c r="C746" s="1">
        <v>1.29</v>
      </c>
      <c r="D746" s="1">
        <v>1.29</v>
      </c>
      <c r="E746" s="1">
        <v>1.29</v>
      </c>
      <c r="F746" s="1">
        <v>1.29</v>
      </c>
      <c r="G746" s="1">
        <v>1.2</v>
      </c>
      <c r="H746" s="1">
        <v>1</v>
      </c>
      <c r="I746" s="1">
        <v>1</v>
      </c>
      <c r="J746" s="1">
        <v>1.2</v>
      </c>
      <c r="K746" s="1">
        <v>1.2</v>
      </c>
      <c r="L746" s="1">
        <v>1.2</v>
      </c>
      <c r="M746" s="1">
        <v>1.2</v>
      </c>
      <c r="N746" s="1">
        <v>1</v>
      </c>
      <c r="O746" s="1">
        <v>1</v>
      </c>
      <c r="P746" s="1">
        <v>1</v>
      </c>
      <c r="Q746" s="1">
        <v>1</v>
      </c>
      <c r="R746" s="1">
        <v>1</v>
      </c>
      <c r="S746" s="1">
        <v>1</v>
      </c>
      <c r="T746" s="1">
        <v>1</v>
      </c>
      <c r="U746" s="1">
        <v>1</v>
      </c>
      <c r="V746" s="1">
        <v>1.1000000000000001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v>5</v>
      </c>
      <c r="AD746" s="1">
        <v>5</v>
      </c>
      <c r="AE746" s="1">
        <v>1.29</v>
      </c>
      <c r="AF746" s="1">
        <v>1</v>
      </c>
      <c r="AG746" s="1">
        <v>1.2</v>
      </c>
      <c r="AH746" s="1">
        <v>1</v>
      </c>
      <c r="AI746" s="1">
        <v>1.8</v>
      </c>
      <c r="AJ746" s="1">
        <v>1</v>
      </c>
      <c r="AK746" s="1">
        <v>0</v>
      </c>
      <c r="AL746" s="1">
        <v>1</v>
      </c>
      <c r="AM746" s="1">
        <v>1</v>
      </c>
      <c r="AN746" s="1">
        <v>1.6</v>
      </c>
    </row>
    <row r="747" spans="1:40">
      <c r="A747" s="1">
        <v>8006</v>
      </c>
      <c r="C747" s="1">
        <v>1.3480000000000001</v>
      </c>
      <c r="D747" s="1">
        <v>1.3480000000000001</v>
      </c>
      <c r="E747" s="1">
        <v>1.3480000000000001</v>
      </c>
      <c r="F747" s="1">
        <v>1.3480000000000001</v>
      </c>
      <c r="G747" s="1">
        <v>1.24</v>
      </c>
      <c r="H747" s="1">
        <v>1</v>
      </c>
      <c r="I747" s="1">
        <v>1</v>
      </c>
      <c r="J747" s="1">
        <v>1.24</v>
      </c>
      <c r="K747" s="1">
        <v>1.24</v>
      </c>
      <c r="L747" s="1">
        <v>1.24</v>
      </c>
      <c r="M747" s="1">
        <v>1.24</v>
      </c>
      <c r="N747" s="1">
        <v>1</v>
      </c>
      <c r="O747" s="1">
        <v>1</v>
      </c>
      <c r="P747" s="1">
        <v>1</v>
      </c>
      <c r="Q747" s="1">
        <v>1</v>
      </c>
      <c r="R747" s="1">
        <v>1</v>
      </c>
      <c r="S747" s="1">
        <v>1</v>
      </c>
      <c r="T747" s="1">
        <v>1</v>
      </c>
      <c r="U747" s="1">
        <v>1</v>
      </c>
      <c r="V747" s="1">
        <v>1.1200000000000001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B747" s="1">
        <v>0</v>
      </c>
      <c r="AC747" s="1">
        <v>6</v>
      </c>
      <c r="AD747" s="1">
        <v>6</v>
      </c>
      <c r="AE747" s="1">
        <v>1.3480000000000001</v>
      </c>
      <c r="AF747" s="1">
        <v>1</v>
      </c>
      <c r="AG747" s="1">
        <v>1.24</v>
      </c>
      <c r="AH747" s="1">
        <v>1</v>
      </c>
      <c r="AI747" s="1">
        <v>2</v>
      </c>
      <c r="AJ747" s="1">
        <v>1</v>
      </c>
      <c r="AK747" s="1">
        <v>0</v>
      </c>
      <c r="AL747" s="1">
        <v>1</v>
      </c>
      <c r="AM747" s="1">
        <v>1</v>
      </c>
      <c r="AN747" s="1">
        <v>1.72</v>
      </c>
    </row>
    <row r="748" spans="1:40">
      <c r="A748" s="1">
        <v>8007</v>
      </c>
      <c r="C748" s="1">
        <v>1.4059999999999999</v>
      </c>
      <c r="D748" s="1">
        <v>1.4059999999999999</v>
      </c>
      <c r="E748" s="1">
        <v>1.4059999999999999</v>
      </c>
      <c r="F748" s="1">
        <v>1.4059999999999999</v>
      </c>
      <c r="G748" s="1">
        <v>1.28</v>
      </c>
      <c r="H748" s="1">
        <v>1</v>
      </c>
      <c r="I748" s="1">
        <v>1</v>
      </c>
      <c r="J748" s="1">
        <v>1.28</v>
      </c>
      <c r="K748" s="1">
        <v>1.28</v>
      </c>
      <c r="L748" s="1">
        <v>1.28</v>
      </c>
      <c r="M748" s="1">
        <v>1.28</v>
      </c>
      <c r="N748" s="1">
        <v>1</v>
      </c>
      <c r="O748" s="1">
        <v>1</v>
      </c>
      <c r="P748" s="1">
        <v>1</v>
      </c>
      <c r="Q748" s="1">
        <v>1</v>
      </c>
      <c r="R748" s="1">
        <v>1</v>
      </c>
      <c r="S748" s="1">
        <v>1</v>
      </c>
      <c r="T748" s="1">
        <v>1</v>
      </c>
      <c r="U748" s="1">
        <v>1</v>
      </c>
      <c r="V748" s="1">
        <v>1.1399999999999999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7</v>
      </c>
      <c r="AD748" s="1">
        <v>7</v>
      </c>
      <c r="AE748" s="1">
        <v>1.4059999999999999</v>
      </c>
      <c r="AF748" s="1">
        <v>1</v>
      </c>
      <c r="AG748" s="1">
        <v>1.28</v>
      </c>
      <c r="AH748" s="1">
        <v>1</v>
      </c>
      <c r="AI748" s="1">
        <v>2.2000000000000002</v>
      </c>
      <c r="AJ748" s="1">
        <v>1</v>
      </c>
      <c r="AK748" s="1">
        <v>0</v>
      </c>
      <c r="AL748" s="1">
        <v>1</v>
      </c>
      <c r="AM748" s="1">
        <v>1</v>
      </c>
      <c r="AN748" s="1">
        <v>1.84</v>
      </c>
    </row>
    <row r="749" spans="1:40">
      <c r="A749" s="1">
        <v>8008</v>
      </c>
      <c r="C749" s="1">
        <v>1.464</v>
      </c>
      <c r="D749" s="1">
        <v>1.464</v>
      </c>
      <c r="E749" s="1">
        <v>1.464</v>
      </c>
      <c r="F749" s="1">
        <v>1.464</v>
      </c>
      <c r="G749" s="1">
        <v>1.32</v>
      </c>
      <c r="H749" s="1">
        <v>1</v>
      </c>
      <c r="I749" s="1">
        <v>1</v>
      </c>
      <c r="J749" s="1">
        <v>1.32</v>
      </c>
      <c r="K749" s="1">
        <v>1.32</v>
      </c>
      <c r="L749" s="1">
        <v>1.32</v>
      </c>
      <c r="M749" s="1">
        <v>1.32</v>
      </c>
      <c r="N749" s="1">
        <v>1</v>
      </c>
      <c r="O749" s="1">
        <v>1</v>
      </c>
      <c r="P749" s="1">
        <v>1</v>
      </c>
      <c r="Q749" s="1">
        <v>1</v>
      </c>
      <c r="R749" s="1">
        <v>1</v>
      </c>
      <c r="S749" s="1">
        <v>1</v>
      </c>
      <c r="T749" s="1">
        <v>1</v>
      </c>
      <c r="U749" s="1">
        <v>1</v>
      </c>
      <c r="V749" s="1">
        <v>1.1499999999999999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8</v>
      </c>
      <c r="AD749" s="1">
        <v>8</v>
      </c>
      <c r="AE749" s="1">
        <v>1.464</v>
      </c>
      <c r="AF749" s="1">
        <v>1</v>
      </c>
      <c r="AG749" s="1">
        <v>1.32</v>
      </c>
      <c r="AH749" s="1">
        <v>1</v>
      </c>
      <c r="AI749" s="1">
        <v>2.4</v>
      </c>
      <c r="AJ749" s="1">
        <v>1</v>
      </c>
      <c r="AK749" s="1">
        <v>0</v>
      </c>
      <c r="AL749" s="1">
        <v>1</v>
      </c>
      <c r="AM749" s="1">
        <v>1</v>
      </c>
      <c r="AN749" s="1">
        <v>1.96</v>
      </c>
    </row>
    <row r="750" spans="1:40">
      <c r="A750" s="1">
        <v>8009</v>
      </c>
      <c r="C750" s="1">
        <v>1.522</v>
      </c>
      <c r="D750" s="1">
        <v>1.522</v>
      </c>
      <c r="E750" s="1">
        <v>1.522</v>
      </c>
      <c r="F750" s="1">
        <v>1.522</v>
      </c>
      <c r="G750" s="1">
        <v>1.36</v>
      </c>
      <c r="H750" s="1">
        <v>1</v>
      </c>
      <c r="I750" s="1">
        <v>1</v>
      </c>
      <c r="J750" s="1">
        <v>1.36</v>
      </c>
      <c r="K750" s="1">
        <v>1.36</v>
      </c>
      <c r="L750" s="1">
        <v>1.36</v>
      </c>
      <c r="M750" s="1">
        <v>1.36</v>
      </c>
      <c r="N750" s="1">
        <v>1</v>
      </c>
      <c r="O750" s="1">
        <v>1</v>
      </c>
      <c r="P750" s="1">
        <v>1</v>
      </c>
      <c r="Q750" s="1">
        <v>1</v>
      </c>
      <c r="R750" s="1">
        <v>1</v>
      </c>
      <c r="S750" s="1">
        <v>1</v>
      </c>
      <c r="T750" s="1">
        <v>1</v>
      </c>
      <c r="U750" s="1">
        <v>1</v>
      </c>
      <c r="V750" s="1">
        <v>1.1599999999999999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9</v>
      </c>
      <c r="AD750" s="1">
        <v>9</v>
      </c>
      <c r="AE750" s="1">
        <v>1.522</v>
      </c>
      <c r="AF750" s="1">
        <v>1</v>
      </c>
      <c r="AG750" s="1">
        <v>1.36</v>
      </c>
      <c r="AH750" s="1">
        <v>1</v>
      </c>
      <c r="AI750" s="1">
        <v>2.6</v>
      </c>
      <c r="AJ750" s="1">
        <v>1</v>
      </c>
      <c r="AK750" s="1">
        <v>0</v>
      </c>
      <c r="AL750" s="1">
        <v>1</v>
      </c>
      <c r="AM750" s="1">
        <v>1</v>
      </c>
      <c r="AN750" s="1">
        <v>2.08</v>
      </c>
    </row>
    <row r="751" spans="1:40">
      <c r="A751" s="1">
        <v>8010</v>
      </c>
      <c r="C751" s="1">
        <v>1.58</v>
      </c>
      <c r="D751" s="1">
        <v>1.58</v>
      </c>
      <c r="E751" s="1">
        <v>1.58</v>
      </c>
      <c r="F751" s="1">
        <v>1.58</v>
      </c>
      <c r="G751" s="1">
        <v>1.4</v>
      </c>
      <c r="H751" s="1">
        <v>1</v>
      </c>
      <c r="I751" s="1">
        <v>1</v>
      </c>
      <c r="J751" s="1">
        <v>1.4</v>
      </c>
      <c r="K751" s="1">
        <v>1.4</v>
      </c>
      <c r="L751" s="1">
        <v>1.4</v>
      </c>
      <c r="M751" s="1">
        <v>1.4</v>
      </c>
      <c r="N751" s="1">
        <v>1</v>
      </c>
      <c r="O751" s="1">
        <v>1</v>
      </c>
      <c r="P751" s="1">
        <v>1</v>
      </c>
      <c r="Q751" s="1">
        <v>1</v>
      </c>
      <c r="R751" s="1">
        <v>1</v>
      </c>
      <c r="S751" s="1">
        <v>1</v>
      </c>
      <c r="T751" s="1">
        <v>1</v>
      </c>
      <c r="U751" s="1">
        <v>1</v>
      </c>
      <c r="V751" s="1">
        <v>1.17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10</v>
      </c>
      <c r="AD751" s="1">
        <v>10</v>
      </c>
      <c r="AE751" s="1">
        <v>1.58</v>
      </c>
      <c r="AF751" s="1">
        <v>1</v>
      </c>
      <c r="AG751" s="1">
        <v>1.4</v>
      </c>
      <c r="AH751" s="1">
        <v>1</v>
      </c>
      <c r="AI751" s="1">
        <v>2.8</v>
      </c>
      <c r="AJ751" s="1">
        <v>1</v>
      </c>
      <c r="AK751" s="1">
        <v>0</v>
      </c>
      <c r="AL751" s="1">
        <v>1</v>
      </c>
      <c r="AM751" s="1">
        <v>1</v>
      </c>
      <c r="AN751" s="1">
        <v>2.2000000000000002</v>
      </c>
    </row>
    <row r="752" spans="1:40">
      <c r="A752" s="1">
        <v>8011</v>
      </c>
      <c r="C752" s="1">
        <v>1.6379999999999999</v>
      </c>
      <c r="D752" s="1">
        <v>1.6379999999999999</v>
      </c>
      <c r="E752" s="1">
        <v>1.6379999999999999</v>
      </c>
      <c r="F752" s="1">
        <v>1.6379999999999999</v>
      </c>
      <c r="G752" s="1">
        <v>1.44</v>
      </c>
      <c r="H752" s="1">
        <v>1</v>
      </c>
      <c r="I752" s="1">
        <v>1</v>
      </c>
      <c r="J752" s="1">
        <v>1.43</v>
      </c>
      <c r="K752" s="1">
        <v>1.43</v>
      </c>
      <c r="L752" s="1">
        <v>1.43</v>
      </c>
      <c r="M752" s="1">
        <v>1.43</v>
      </c>
      <c r="N752" s="1">
        <v>1</v>
      </c>
      <c r="O752" s="1">
        <v>1</v>
      </c>
      <c r="P752" s="1">
        <v>1</v>
      </c>
      <c r="Q752" s="1">
        <v>1</v>
      </c>
      <c r="R752" s="1">
        <v>1</v>
      </c>
      <c r="S752" s="1">
        <v>1</v>
      </c>
      <c r="T752" s="1">
        <v>1</v>
      </c>
      <c r="U752" s="1">
        <v>1</v>
      </c>
      <c r="V752" s="1">
        <v>1.18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11</v>
      </c>
      <c r="AD752" s="1">
        <v>11</v>
      </c>
      <c r="AE752" s="1">
        <v>1.6379999999999999</v>
      </c>
      <c r="AF752" s="1">
        <v>1</v>
      </c>
      <c r="AG752" s="1">
        <v>1.43</v>
      </c>
      <c r="AH752" s="1">
        <v>1</v>
      </c>
      <c r="AI752" s="1">
        <v>3</v>
      </c>
      <c r="AJ752" s="1">
        <v>1</v>
      </c>
      <c r="AK752" s="1">
        <v>0</v>
      </c>
      <c r="AL752" s="1">
        <v>1</v>
      </c>
      <c r="AM752" s="1">
        <v>1</v>
      </c>
      <c r="AN752" s="1">
        <v>2.3199999999999998</v>
      </c>
    </row>
    <row r="753" spans="1:40">
      <c r="A753" s="1">
        <v>8012</v>
      </c>
      <c r="C753" s="1">
        <v>1.696</v>
      </c>
      <c r="D753" s="1">
        <v>1.696</v>
      </c>
      <c r="E753" s="1">
        <v>1.696</v>
      </c>
      <c r="F753" s="1">
        <v>1.696</v>
      </c>
      <c r="G753" s="1">
        <v>1.48</v>
      </c>
      <c r="H753" s="1">
        <v>1</v>
      </c>
      <c r="I753" s="1">
        <v>1</v>
      </c>
      <c r="J753" s="1">
        <v>1.46</v>
      </c>
      <c r="K753" s="1">
        <v>1.46</v>
      </c>
      <c r="L753" s="1">
        <v>1.46</v>
      </c>
      <c r="M753" s="1">
        <v>1.46</v>
      </c>
      <c r="N753" s="1">
        <v>1</v>
      </c>
      <c r="O753" s="1">
        <v>1</v>
      </c>
      <c r="P753" s="1">
        <v>1</v>
      </c>
      <c r="Q753" s="1">
        <v>1</v>
      </c>
      <c r="R753" s="1">
        <v>1</v>
      </c>
      <c r="S753" s="1">
        <v>1</v>
      </c>
      <c r="T753" s="1">
        <v>1</v>
      </c>
      <c r="U753" s="1">
        <v>1</v>
      </c>
      <c r="V753" s="1">
        <v>1.19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12</v>
      </c>
      <c r="AD753" s="1">
        <v>12</v>
      </c>
      <c r="AE753" s="1">
        <v>1.696</v>
      </c>
      <c r="AF753" s="1">
        <v>1</v>
      </c>
      <c r="AG753" s="1">
        <v>1.46</v>
      </c>
      <c r="AH753" s="1">
        <v>1</v>
      </c>
      <c r="AI753" s="1">
        <v>3.2</v>
      </c>
      <c r="AJ753" s="1">
        <v>1</v>
      </c>
      <c r="AK753" s="1">
        <v>0</v>
      </c>
      <c r="AL753" s="1">
        <v>1</v>
      </c>
      <c r="AM753" s="1">
        <v>1</v>
      </c>
      <c r="AN753" s="1">
        <v>2.44</v>
      </c>
    </row>
    <row r="754" spans="1:40">
      <c r="A754" s="1">
        <v>8013</v>
      </c>
      <c r="C754" s="1">
        <v>1.754</v>
      </c>
      <c r="D754" s="1">
        <v>1.754</v>
      </c>
      <c r="E754" s="1">
        <v>1.754</v>
      </c>
      <c r="F754" s="1">
        <v>1.754</v>
      </c>
      <c r="G754" s="1">
        <v>1.52</v>
      </c>
      <c r="H754" s="1">
        <v>1</v>
      </c>
      <c r="I754" s="1">
        <v>1</v>
      </c>
      <c r="J754" s="1">
        <v>1.49</v>
      </c>
      <c r="K754" s="1">
        <v>1.49</v>
      </c>
      <c r="L754" s="1">
        <v>1.49</v>
      </c>
      <c r="M754" s="1">
        <v>1.49</v>
      </c>
      <c r="N754" s="1">
        <v>1</v>
      </c>
      <c r="O754" s="1">
        <v>1</v>
      </c>
      <c r="P754" s="1">
        <v>1</v>
      </c>
      <c r="Q754" s="1">
        <v>1</v>
      </c>
      <c r="R754" s="1">
        <v>1</v>
      </c>
      <c r="S754" s="1">
        <v>1</v>
      </c>
      <c r="T754" s="1">
        <v>1</v>
      </c>
      <c r="U754" s="1">
        <v>1</v>
      </c>
      <c r="V754" s="1">
        <v>1.2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13</v>
      </c>
      <c r="AD754" s="1">
        <v>13</v>
      </c>
      <c r="AE754" s="1">
        <v>1.754</v>
      </c>
      <c r="AF754" s="1">
        <v>1</v>
      </c>
      <c r="AG754" s="1">
        <v>1.49</v>
      </c>
      <c r="AH754" s="1">
        <v>1</v>
      </c>
      <c r="AI754" s="1">
        <v>3.4</v>
      </c>
      <c r="AJ754" s="1">
        <v>1</v>
      </c>
      <c r="AK754" s="1">
        <v>0</v>
      </c>
      <c r="AL754" s="1">
        <v>1</v>
      </c>
      <c r="AM754" s="1">
        <v>1</v>
      </c>
      <c r="AN754" s="1">
        <v>2.56</v>
      </c>
    </row>
    <row r="755" spans="1:40">
      <c r="A755" s="1">
        <v>8014</v>
      </c>
      <c r="C755" s="1">
        <v>1.8120000000000001</v>
      </c>
      <c r="D755" s="1">
        <v>1.8120000000000001</v>
      </c>
      <c r="E755" s="1">
        <v>1.8120000000000001</v>
      </c>
      <c r="F755" s="1">
        <v>1.8120000000000001</v>
      </c>
      <c r="G755" s="1">
        <v>1.56</v>
      </c>
      <c r="H755" s="1">
        <v>1</v>
      </c>
      <c r="I755" s="1">
        <v>1</v>
      </c>
      <c r="J755" s="1">
        <v>1.52</v>
      </c>
      <c r="K755" s="1">
        <v>1.52</v>
      </c>
      <c r="L755" s="1">
        <v>1.52</v>
      </c>
      <c r="M755" s="1">
        <v>1.52</v>
      </c>
      <c r="N755" s="1">
        <v>1</v>
      </c>
      <c r="O755" s="1">
        <v>1</v>
      </c>
      <c r="P755" s="1">
        <v>1</v>
      </c>
      <c r="Q755" s="1">
        <v>1</v>
      </c>
      <c r="R755" s="1">
        <v>1</v>
      </c>
      <c r="S755" s="1">
        <v>1</v>
      </c>
      <c r="T755" s="1">
        <v>1</v>
      </c>
      <c r="U755" s="1">
        <v>1</v>
      </c>
      <c r="V755" s="1">
        <v>1.21</v>
      </c>
      <c r="W755" s="1">
        <v>0</v>
      </c>
      <c r="X755" s="1">
        <v>0</v>
      </c>
      <c r="Y755" s="1">
        <v>0</v>
      </c>
      <c r="Z755" s="1">
        <v>0</v>
      </c>
      <c r="AA755" s="1">
        <v>0</v>
      </c>
      <c r="AB755" s="1">
        <v>0</v>
      </c>
      <c r="AC755" s="1">
        <v>14</v>
      </c>
      <c r="AD755" s="1">
        <v>14</v>
      </c>
      <c r="AE755" s="1">
        <v>1.8120000000000001</v>
      </c>
      <c r="AF755" s="1">
        <v>1</v>
      </c>
      <c r="AG755" s="1">
        <v>1.52</v>
      </c>
      <c r="AH755" s="1">
        <v>1</v>
      </c>
      <c r="AI755" s="1">
        <v>3.6</v>
      </c>
      <c r="AJ755" s="1">
        <v>1</v>
      </c>
      <c r="AK755" s="1">
        <v>0</v>
      </c>
      <c r="AL755" s="1">
        <v>1</v>
      </c>
      <c r="AM755" s="1">
        <v>1</v>
      </c>
      <c r="AN755" s="1">
        <v>2.68</v>
      </c>
    </row>
    <row r="756" spans="1:40">
      <c r="A756" s="1">
        <v>8015</v>
      </c>
      <c r="C756" s="1">
        <v>1.87</v>
      </c>
      <c r="D756" s="1">
        <v>1.87</v>
      </c>
      <c r="E756" s="1">
        <v>1.87</v>
      </c>
      <c r="F756" s="1">
        <v>1.87</v>
      </c>
      <c r="G756" s="1">
        <v>1.6</v>
      </c>
      <c r="H756" s="1">
        <v>1</v>
      </c>
      <c r="I756" s="1">
        <v>1</v>
      </c>
      <c r="J756" s="1">
        <v>1.55</v>
      </c>
      <c r="K756" s="1">
        <v>1.55</v>
      </c>
      <c r="L756" s="1">
        <v>1.55</v>
      </c>
      <c r="M756" s="1">
        <v>1.55</v>
      </c>
      <c r="N756" s="1">
        <v>1</v>
      </c>
      <c r="O756" s="1">
        <v>1</v>
      </c>
      <c r="P756" s="1">
        <v>1</v>
      </c>
      <c r="Q756" s="1">
        <v>1</v>
      </c>
      <c r="R756" s="1">
        <v>1</v>
      </c>
      <c r="S756" s="1">
        <v>1</v>
      </c>
      <c r="T756" s="1">
        <v>1</v>
      </c>
      <c r="U756" s="1">
        <v>1</v>
      </c>
      <c r="V756" s="1">
        <v>1.22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15</v>
      </c>
      <c r="AD756" s="1">
        <v>15</v>
      </c>
      <c r="AE756" s="1">
        <v>1.87</v>
      </c>
      <c r="AF756" s="1">
        <v>1</v>
      </c>
      <c r="AG756" s="1">
        <v>1.55</v>
      </c>
      <c r="AH756" s="1">
        <v>1</v>
      </c>
      <c r="AI756" s="1">
        <v>3.8</v>
      </c>
      <c r="AJ756" s="1">
        <v>1</v>
      </c>
      <c r="AK756" s="1">
        <v>0</v>
      </c>
      <c r="AL756" s="1">
        <v>1</v>
      </c>
      <c r="AM756" s="1">
        <v>1</v>
      </c>
      <c r="AN756" s="1">
        <v>2.8</v>
      </c>
    </row>
    <row r="757" spans="1:40">
      <c r="A757" s="1">
        <v>8016</v>
      </c>
      <c r="C757" s="1">
        <v>1.9279999999999999</v>
      </c>
      <c r="D757" s="1">
        <v>1.9279999999999999</v>
      </c>
      <c r="E757" s="1">
        <v>1.9279999999999999</v>
      </c>
      <c r="F757" s="1">
        <v>1.9279999999999999</v>
      </c>
      <c r="G757" s="1">
        <v>1.64</v>
      </c>
      <c r="H757" s="1">
        <v>1</v>
      </c>
      <c r="I757" s="1">
        <v>1</v>
      </c>
      <c r="J757" s="1">
        <v>1.58</v>
      </c>
      <c r="K757" s="1">
        <v>1.58</v>
      </c>
      <c r="L757" s="1">
        <v>1.58</v>
      </c>
      <c r="M757" s="1">
        <v>1.58</v>
      </c>
      <c r="N757" s="1">
        <v>1</v>
      </c>
      <c r="O757" s="1">
        <v>1</v>
      </c>
      <c r="P757" s="1">
        <v>1</v>
      </c>
      <c r="Q757" s="1">
        <v>1</v>
      </c>
      <c r="R757" s="1">
        <v>1</v>
      </c>
      <c r="S757" s="1">
        <v>1</v>
      </c>
      <c r="T757" s="1">
        <v>1</v>
      </c>
      <c r="U757" s="1">
        <v>1</v>
      </c>
      <c r="V757" s="1">
        <v>1.23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16</v>
      </c>
      <c r="AD757" s="1">
        <v>16</v>
      </c>
      <c r="AE757" s="1">
        <v>1.9279999999999999</v>
      </c>
      <c r="AF757" s="1">
        <v>1</v>
      </c>
      <c r="AG757" s="1">
        <v>1.58</v>
      </c>
      <c r="AH757" s="1">
        <v>1</v>
      </c>
      <c r="AI757" s="1">
        <v>4</v>
      </c>
      <c r="AJ757" s="1">
        <v>1</v>
      </c>
      <c r="AK757" s="1">
        <v>0</v>
      </c>
      <c r="AL757" s="1">
        <v>1</v>
      </c>
      <c r="AM757" s="1">
        <v>1</v>
      </c>
      <c r="AN757" s="1">
        <v>2.92</v>
      </c>
    </row>
    <row r="758" spans="1:40">
      <c r="A758" s="1">
        <v>8017</v>
      </c>
      <c r="C758" s="1">
        <v>1.986</v>
      </c>
      <c r="D758" s="1">
        <v>1.986</v>
      </c>
      <c r="E758" s="1">
        <v>1.986</v>
      </c>
      <c r="F758" s="1">
        <v>1.986</v>
      </c>
      <c r="G758" s="1">
        <v>1.68</v>
      </c>
      <c r="H758" s="1">
        <v>1</v>
      </c>
      <c r="I758" s="1">
        <v>1</v>
      </c>
      <c r="J758" s="1">
        <v>1.61</v>
      </c>
      <c r="K758" s="1">
        <v>1.61</v>
      </c>
      <c r="L758" s="1">
        <v>1.61</v>
      </c>
      <c r="M758" s="1">
        <v>1.61</v>
      </c>
      <c r="N758" s="1">
        <v>1</v>
      </c>
      <c r="O758" s="1">
        <v>1</v>
      </c>
      <c r="P758" s="1">
        <v>1</v>
      </c>
      <c r="Q758" s="1">
        <v>1</v>
      </c>
      <c r="R758" s="1">
        <v>1</v>
      </c>
      <c r="S758" s="1">
        <v>1</v>
      </c>
      <c r="T758" s="1">
        <v>1</v>
      </c>
      <c r="U758" s="1">
        <v>1</v>
      </c>
      <c r="V758" s="1">
        <v>1.24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17</v>
      </c>
      <c r="AD758" s="1">
        <v>17</v>
      </c>
      <c r="AE758" s="1">
        <v>1.986</v>
      </c>
      <c r="AF758" s="1">
        <v>1</v>
      </c>
      <c r="AG758" s="1">
        <v>1.61</v>
      </c>
      <c r="AH758" s="1">
        <v>1</v>
      </c>
      <c r="AI758" s="1">
        <v>4.2</v>
      </c>
      <c r="AJ758" s="1">
        <v>1</v>
      </c>
      <c r="AK758" s="1">
        <v>0</v>
      </c>
      <c r="AL758" s="1">
        <v>1</v>
      </c>
      <c r="AM758" s="1">
        <v>1</v>
      </c>
      <c r="AN758" s="1">
        <v>3.04</v>
      </c>
    </row>
    <row r="759" spans="1:40">
      <c r="A759" s="1">
        <v>8018</v>
      </c>
      <c r="C759" s="1">
        <v>2.044</v>
      </c>
      <c r="D759" s="1">
        <v>2.044</v>
      </c>
      <c r="E759" s="1">
        <v>2.044</v>
      </c>
      <c r="F759" s="1">
        <v>2.044</v>
      </c>
      <c r="G759" s="1">
        <v>1.72</v>
      </c>
      <c r="H759" s="1">
        <v>1</v>
      </c>
      <c r="I759" s="1">
        <v>1</v>
      </c>
      <c r="J759" s="1">
        <v>1.64</v>
      </c>
      <c r="K759" s="1">
        <v>1.64</v>
      </c>
      <c r="L759" s="1">
        <v>1.64</v>
      </c>
      <c r="M759" s="1">
        <v>1.64</v>
      </c>
      <c r="N759" s="1">
        <v>1</v>
      </c>
      <c r="O759" s="1">
        <v>1</v>
      </c>
      <c r="P759" s="1">
        <v>1</v>
      </c>
      <c r="Q759" s="1">
        <v>1</v>
      </c>
      <c r="R759" s="1">
        <v>1</v>
      </c>
      <c r="S759" s="1">
        <v>1</v>
      </c>
      <c r="T759" s="1">
        <v>1</v>
      </c>
      <c r="U759" s="1">
        <v>1</v>
      </c>
      <c r="V759" s="1">
        <v>1.25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18</v>
      </c>
      <c r="AD759" s="1">
        <v>18</v>
      </c>
      <c r="AE759" s="1">
        <v>2.044</v>
      </c>
      <c r="AF759" s="1">
        <v>1</v>
      </c>
      <c r="AG759" s="1">
        <v>1.64</v>
      </c>
      <c r="AH759" s="1">
        <v>1</v>
      </c>
      <c r="AI759" s="1">
        <v>4.4000000000000004</v>
      </c>
      <c r="AJ759" s="1">
        <v>1</v>
      </c>
      <c r="AK759" s="1">
        <v>0</v>
      </c>
      <c r="AL759" s="1">
        <v>1</v>
      </c>
      <c r="AM759" s="1">
        <v>1</v>
      </c>
      <c r="AN759" s="1">
        <v>3.16</v>
      </c>
    </row>
    <row r="760" spans="1:40">
      <c r="A760" s="1">
        <v>8019</v>
      </c>
      <c r="C760" s="1">
        <v>2.1019999999999999</v>
      </c>
      <c r="D760" s="1">
        <v>2.1019999999999999</v>
      </c>
      <c r="E760" s="1">
        <v>2.1019999999999999</v>
      </c>
      <c r="F760" s="1">
        <v>2.1019999999999999</v>
      </c>
      <c r="G760" s="1">
        <v>1.76</v>
      </c>
      <c r="H760" s="1">
        <v>1</v>
      </c>
      <c r="I760" s="1">
        <v>1</v>
      </c>
      <c r="J760" s="1">
        <v>1.67</v>
      </c>
      <c r="K760" s="1">
        <v>1.67</v>
      </c>
      <c r="L760" s="1">
        <v>1.67</v>
      </c>
      <c r="M760" s="1">
        <v>1.67</v>
      </c>
      <c r="N760" s="1">
        <v>1</v>
      </c>
      <c r="O760" s="1">
        <v>1</v>
      </c>
      <c r="P760" s="1">
        <v>1</v>
      </c>
      <c r="Q760" s="1">
        <v>1</v>
      </c>
      <c r="R760" s="1">
        <v>1</v>
      </c>
      <c r="S760" s="1">
        <v>1</v>
      </c>
      <c r="T760" s="1">
        <v>1</v>
      </c>
      <c r="U760" s="1">
        <v>1</v>
      </c>
      <c r="V760" s="1">
        <v>1.26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19</v>
      </c>
      <c r="AD760" s="1">
        <v>19</v>
      </c>
      <c r="AE760" s="1">
        <v>2.1019999999999999</v>
      </c>
      <c r="AF760" s="1">
        <v>1</v>
      </c>
      <c r="AG760" s="1">
        <v>1.67</v>
      </c>
      <c r="AH760" s="1">
        <v>1</v>
      </c>
      <c r="AI760" s="1">
        <v>4.5999999999999996</v>
      </c>
      <c r="AJ760" s="1">
        <v>1</v>
      </c>
      <c r="AK760" s="1">
        <v>0</v>
      </c>
      <c r="AL760" s="1">
        <v>1</v>
      </c>
      <c r="AM760" s="1">
        <v>1</v>
      </c>
      <c r="AN760" s="1">
        <v>3.28</v>
      </c>
    </row>
    <row r="761" spans="1:40">
      <c r="A761" s="1">
        <v>8020</v>
      </c>
      <c r="C761" s="1">
        <v>2.16</v>
      </c>
      <c r="D761" s="1">
        <v>2.16</v>
      </c>
      <c r="E761" s="1">
        <v>2.16</v>
      </c>
      <c r="F761" s="1">
        <v>2.16</v>
      </c>
      <c r="G761" s="1">
        <v>1.8</v>
      </c>
      <c r="H761" s="1">
        <v>1</v>
      </c>
      <c r="I761" s="1">
        <v>1</v>
      </c>
      <c r="J761" s="1">
        <v>1.7</v>
      </c>
      <c r="K761" s="1">
        <v>1.7</v>
      </c>
      <c r="L761" s="1">
        <v>1.7</v>
      </c>
      <c r="M761" s="1">
        <v>1.7</v>
      </c>
      <c r="N761" s="1">
        <v>1</v>
      </c>
      <c r="O761" s="1">
        <v>1</v>
      </c>
      <c r="P761" s="1">
        <v>1</v>
      </c>
      <c r="Q761" s="1">
        <v>1</v>
      </c>
      <c r="R761" s="1">
        <v>1</v>
      </c>
      <c r="S761" s="1">
        <v>1</v>
      </c>
      <c r="T761" s="1">
        <v>1</v>
      </c>
      <c r="U761" s="1">
        <v>1</v>
      </c>
      <c r="V761" s="1">
        <v>1.27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20</v>
      </c>
      <c r="AD761" s="1">
        <v>20</v>
      </c>
      <c r="AE761" s="1">
        <v>2.16</v>
      </c>
      <c r="AF761" s="1">
        <v>1</v>
      </c>
      <c r="AG761" s="1">
        <v>1.7</v>
      </c>
      <c r="AH761" s="1">
        <v>1</v>
      </c>
      <c r="AI761" s="1">
        <v>4.8</v>
      </c>
      <c r="AJ761" s="1">
        <v>1</v>
      </c>
      <c r="AK761" s="1">
        <v>0</v>
      </c>
      <c r="AL761" s="1">
        <v>1</v>
      </c>
      <c r="AM761" s="1">
        <v>1</v>
      </c>
      <c r="AN761" s="1">
        <v>3.4</v>
      </c>
    </row>
    <row r="762" spans="1:40">
      <c r="A762" s="1">
        <v>8021</v>
      </c>
      <c r="C762" s="1">
        <v>2.218</v>
      </c>
      <c r="D762" s="1">
        <v>2.218</v>
      </c>
      <c r="E762" s="1">
        <v>2.218</v>
      </c>
      <c r="F762" s="1">
        <v>2.218</v>
      </c>
      <c r="G762" s="1">
        <v>1.84</v>
      </c>
      <c r="H762" s="1">
        <v>1</v>
      </c>
      <c r="I762" s="1">
        <v>1</v>
      </c>
      <c r="J762" s="1">
        <v>1.72</v>
      </c>
      <c r="K762" s="1">
        <v>1.72</v>
      </c>
      <c r="L762" s="1">
        <v>1.72</v>
      </c>
      <c r="M762" s="1">
        <v>1.72</v>
      </c>
      <c r="N762" s="1">
        <v>1</v>
      </c>
      <c r="O762" s="1">
        <v>1</v>
      </c>
      <c r="P762" s="1">
        <v>1</v>
      </c>
      <c r="Q762" s="1">
        <v>1</v>
      </c>
      <c r="R762" s="1">
        <v>1</v>
      </c>
      <c r="S762" s="1">
        <v>1</v>
      </c>
      <c r="T762" s="1">
        <v>1</v>
      </c>
      <c r="U762" s="1">
        <v>1</v>
      </c>
      <c r="V762" s="1">
        <v>1.28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21</v>
      </c>
      <c r="AD762" s="1">
        <v>21</v>
      </c>
      <c r="AE762" s="1">
        <v>2.218</v>
      </c>
      <c r="AF762" s="1">
        <v>1</v>
      </c>
      <c r="AG762" s="1">
        <v>1.72</v>
      </c>
      <c r="AH762" s="1">
        <v>1</v>
      </c>
      <c r="AI762" s="1">
        <v>5</v>
      </c>
      <c r="AJ762" s="1">
        <v>1</v>
      </c>
      <c r="AK762" s="1">
        <v>0</v>
      </c>
      <c r="AL762" s="1">
        <v>1</v>
      </c>
      <c r="AM762" s="1">
        <v>1</v>
      </c>
      <c r="AN762" s="1">
        <v>3.52</v>
      </c>
    </row>
    <row r="763" spans="1:40">
      <c r="A763" s="1">
        <v>8022</v>
      </c>
      <c r="C763" s="1">
        <v>2.2759999999999998</v>
      </c>
      <c r="D763" s="1">
        <v>2.2759999999999998</v>
      </c>
      <c r="E763" s="1">
        <v>2.2759999999999998</v>
      </c>
      <c r="F763" s="1">
        <v>2.2759999999999998</v>
      </c>
      <c r="G763" s="1">
        <v>1.88</v>
      </c>
      <c r="H763" s="1">
        <v>1</v>
      </c>
      <c r="I763" s="1">
        <v>1</v>
      </c>
      <c r="J763" s="1">
        <v>1.74</v>
      </c>
      <c r="K763" s="1">
        <v>1.74</v>
      </c>
      <c r="L763" s="1">
        <v>1.74</v>
      </c>
      <c r="M763" s="1">
        <v>1.74</v>
      </c>
      <c r="N763" s="1">
        <v>1</v>
      </c>
      <c r="O763" s="1">
        <v>1</v>
      </c>
      <c r="P763" s="1">
        <v>1</v>
      </c>
      <c r="Q763" s="1">
        <v>1</v>
      </c>
      <c r="R763" s="1">
        <v>1</v>
      </c>
      <c r="S763" s="1">
        <v>1</v>
      </c>
      <c r="T763" s="1">
        <v>1</v>
      </c>
      <c r="U763" s="1">
        <v>1</v>
      </c>
      <c r="V763" s="1">
        <v>1.29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22</v>
      </c>
      <c r="AD763" s="1">
        <v>22</v>
      </c>
      <c r="AE763" s="1">
        <v>2.2759999999999998</v>
      </c>
      <c r="AF763" s="1">
        <v>1</v>
      </c>
      <c r="AG763" s="1">
        <v>1.74</v>
      </c>
      <c r="AH763" s="1">
        <v>1</v>
      </c>
      <c r="AI763" s="1">
        <v>5.2</v>
      </c>
      <c r="AJ763" s="1">
        <v>1</v>
      </c>
      <c r="AK763" s="1">
        <v>0</v>
      </c>
      <c r="AL763" s="1">
        <v>1</v>
      </c>
      <c r="AM763" s="1">
        <v>1</v>
      </c>
      <c r="AN763" s="1">
        <v>3.64</v>
      </c>
    </row>
    <row r="764" spans="1:40">
      <c r="A764" s="1">
        <v>8023</v>
      </c>
      <c r="C764" s="1">
        <v>2.3340000000000001</v>
      </c>
      <c r="D764" s="1">
        <v>2.3340000000000001</v>
      </c>
      <c r="E764" s="1">
        <v>2.3340000000000001</v>
      </c>
      <c r="F764" s="1">
        <v>2.3340000000000001</v>
      </c>
      <c r="G764" s="1">
        <v>1.92</v>
      </c>
      <c r="H764" s="1">
        <v>1</v>
      </c>
      <c r="I764" s="1">
        <v>1</v>
      </c>
      <c r="J764" s="1">
        <v>1.76</v>
      </c>
      <c r="K764" s="1">
        <v>1.76</v>
      </c>
      <c r="L764" s="1">
        <v>1.76</v>
      </c>
      <c r="M764" s="1">
        <v>1.76</v>
      </c>
      <c r="N764" s="1">
        <v>1</v>
      </c>
      <c r="O764" s="1">
        <v>1</v>
      </c>
      <c r="P764" s="1">
        <v>1</v>
      </c>
      <c r="Q764" s="1">
        <v>1</v>
      </c>
      <c r="R764" s="1">
        <v>1</v>
      </c>
      <c r="S764" s="1">
        <v>1</v>
      </c>
      <c r="T764" s="1">
        <v>1</v>
      </c>
      <c r="U764" s="1">
        <v>1</v>
      </c>
      <c r="V764" s="1">
        <v>1.3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B764" s="1">
        <v>0</v>
      </c>
      <c r="AC764" s="1">
        <v>23</v>
      </c>
      <c r="AD764" s="1">
        <v>23</v>
      </c>
      <c r="AE764" s="1">
        <v>2.3340000000000001</v>
      </c>
      <c r="AF764" s="1">
        <v>1</v>
      </c>
      <c r="AG764" s="1">
        <v>1.76</v>
      </c>
      <c r="AH764" s="1">
        <v>1</v>
      </c>
      <c r="AI764" s="1">
        <v>5.4</v>
      </c>
      <c r="AJ764" s="1">
        <v>1</v>
      </c>
      <c r="AK764" s="1">
        <v>0</v>
      </c>
      <c r="AL764" s="1">
        <v>1</v>
      </c>
      <c r="AM764" s="1">
        <v>1</v>
      </c>
      <c r="AN764" s="1">
        <v>3.76</v>
      </c>
    </row>
    <row r="765" spans="1:40">
      <c r="A765" s="1">
        <v>8024</v>
      </c>
      <c r="C765" s="1">
        <v>2.3919999999999999</v>
      </c>
      <c r="D765" s="1">
        <v>2.3919999999999999</v>
      </c>
      <c r="E765" s="1">
        <v>2.3919999999999999</v>
      </c>
      <c r="F765" s="1">
        <v>2.3919999999999999</v>
      </c>
      <c r="G765" s="1">
        <v>1.96</v>
      </c>
      <c r="H765" s="1">
        <v>1</v>
      </c>
      <c r="I765" s="1">
        <v>1</v>
      </c>
      <c r="J765" s="1">
        <v>1.78</v>
      </c>
      <c r="K765" s="1">
        <v>1.78</v>
      </c>
      <c r="L765" s="1">
        <v>1.78</v>
      </c>
      <c r="M765" s="1">
        <v>1.78</v>
      </c>
      <c r="N765" s="1">
        <v>1</v>
      </c>
      <c r="O765" s="1">
        <v>1</v>
      </c>
      <c r="P765" s="1">
        <v>1</v>
      </c>
      <c r="Q765" s="1">
        <v>1</v>
      </c>
      <c r="R765" s="1">
        <v>1</v>
      </c>
      <c r="S765" s="1">
        <v>1</v>
      </c>
      <c r="T765" s="1">
        <v>1</v>
      </c>
      <c r="U765" s="1">
        <v>1</v>
      </c>
      <c r="V765" s="1">
        <v>1.31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24</v>
      </c>
      <c r="AD765" s="1">
        <v>24</v>
      </c>
      <c r="AE765" s="1">
        <v>2.3919999999999999</v>
      </c>
      <c r="AF765" s="1">
        <v>1</v>
      </c>
      <c r="AG765" s="1">
        <v>1.78</v>
      </c>
      <c r="AH765" s="1">
        <v>1</v>
      </c>
      <c r="AI765" s="1">
        <v>5.6</v>
      </c>
      <c r="AJ765" s="1">
        <v>1</v>
      </c>
      <c r="AK765" s="1">
        <v>0</v>
      </c>
      <c r="AL765" s="1">
        <v>1</v>
      </c>
      <c r="AM765" s="1">
        <v>1</v>
      </c>
      <c r="AN765" s="1">
        <v>3.88</v>
      </c>
    </row>
    <row r="766" spans="1:40">
      <c r="A766" s="1">
        <v>8025</v>
      </c>
      <c r="C766" s="1">
        <v>2.4500000000000002</v>
      </c>
      <c r="D766" s="1">
        <v>2.4500000000000002</v>
      </c>
      <c r="E766" s="1">
        <v>2.4500000000000002</v>
      </c>
      <c r="F766" s="1">
        <v>2.4500000000000002</v>
      </c>
      <c r="G766" s="1">
        <v>2</v>
      </c>
      <c r="H766" s="1">
        <v>1</v>
      </c>
      <c r="I766" s="1">
        <v>1</v>
      </c>
      <c r="J766" s="1">
        <v>1.8</v>
      </c>
      <c r="K766" s="1">
        <v>1.8</v>
      </c>
      <c r="L766" s="1">
        <v>1.8</v>
      </c>
      <c r="M766" s="1">
        <v>1.8</v>
      </c>
      <c r="N766" s="1">
        <v>1</v>
      </c>
      <c r="O766" s="1">
        <v>1</v>
      </c>
      <c r="P766" s="1">
        <v>1</v>
      </c>
      <c r="Q766" s="1">
        <v>1</v>
      </c>
      <c r="R766" s="1">
        <v>1</v>
      </c>
      <c r="S766" s="1">
        <v>1</v>
      </c>
      <c r="T766" s="1">
        <v>1</v>
      </c>
      <c r="U766" s="1">
        <v>1</v>
      </c>
      <c r="V766" s="1">
        <v>1.32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25</v>
      </c>
      <c r="AD766" s="1">
        <v>25</v>
      </c>
      <c r="AE766" s="1">
        <v>2.4500000000000002</v>
      </c>
      <c r="AF766" s="1">
        <v>1</v>
      </c>
      <c r="AG766" s="1">
        <v>1.8</v>
      </c>
      <c r="AH766" s="1">
        <v>1</v>
      </c>
      <c r="AI766" s="1">
        <v>5.8</v>
      </c>
      <c r="AJ766" s="1">
        <v>1</v>
      </c>
      <c r="AK766" s="1">
        <v>0</v>
      </c>
      <c r="AL766" s="1">
        <v>1</v>
      </c>
      <c r="AM766" s="1">
        <v>1</v>
      </c>
      <c r="AN766" s="1">
        <v>4</v>
      </c>
    </row>
    <row r="767" spans="1:40">
      <c r="A767" s="1">
        <v>8100</v>
      </c>
      <c r="C767" s="1">
        <v>1</v>
      </c>
      <c r="D767" s="1">
        <v>1</v>
      </c>
      <c r="E767" s="1">
        <v>1</v>
      </c>
      <c r="F767" s="1">
        <v>1</v>
      </c>
      <c r="G767" s="1">
        <v>1</v>
      </c>
      <c r="H767" s="1">
        <v>1</v>
      </c>
      <c r="I767" s="1">
        <v>1</v>
      </c>
      <c r="J767" s="1">
        <v>1</v>
      </c>
      <c r="K767" s="1">
        <v>1</v>
      </c>
      <c r="L767" s="1">
        <v>1</v>
      </c>
      <c r="M767" s="1">
        <v>1</v>
      </c>
      <c r="N767" s="1">
        <v>1</v>
      </c>
      <c r="O767" s="1">
        <v>1</v>
      </c>
      <c r="P767" s="1">
        <v>1</v>
      </c>
      <c r="Q767" s="1">
        <v>1</v>
      </c>
      <c r="R767" s="1">
        <v>1</v>
      </c>
      <c r="S767" s="1">
        <v>1</v>
      </c>
      <c r="T767" s="1">
        <v>1</v>
      </c>
      <c r="U767" s="1">
        <v>1</v>
      </c>
      <c r="V767" s="1">
        <v>1</v>
      </c>
      <c r="W767" s="1">
        <v>0</v>
      </c>
      <c r="X767" s="1">
        <v>0</v>
      </c>
      <c r="Y767" s="1">
        <v>0</v>
      </c>
      <c r="Z767" s="1">
        <v>0</v>
      </c>
      <c r="AA767" s="1">
        <v>0</v>
      </c>
      <c r="AB767" s="1">
        <v>0</v>
      </c>
      <c r="AC767" s="1">
        <v>0</v>
      </c>
      <c r="AD767" s="1">
        <v>0</v>
      </c>
      <c r="AE767" s="1">
        <v>1</v>
      </c>
      <c r="AF767" s="1">
        <v>1</v>
      </c>
      <c r="AG767" s="1">
        <v>1</v>
      </c>
      <c r="AH767" s="1">
        <v>1</v>
      </c>
      <c r="AI767" s="1">
        <v>1</v>
      </c>
      <c r="AJ767" s="1">
        <v>1</v>
      </c>
      <c r="AK767" s="1">
        <v>0</v>
      </c>
      <c r="AL767" s="1">
        <v>1</v>
      </c>
      <c r="AM767" s="1">
        <v>1</v>
      </c>
      <c r="AN767" s="1">
        <v>1</v>
      </c>
    </row>
    <row r="768" spans="1:40">
      <c r="A768" s="1">
        <v>8101</v>
      </c>
      <c r="C768" s="1">
        <v>1.0580000000000001</v>
      </c>
      <c r="D768" s="1">
        <v>1.0580000000000001</v>
      </c>
      <c r="E768" s="1">
        <v>1.0580000000000001</v>
      </c>
      <c r="F768" s="1">
        <v>1.0580000000000001</v>
      </c>
      <c r="G768" s="1">
        <v>1.04</v>
      </c>
      <c r="H768" s="1">
        <v>1</v>
      </c>
      <c r="I768" s="1">
        <v>1</v>
      </c>
      <c r="J768" s="1">
        <v>1.04</v>
      </c>
      <c r="K768" s="1">
        <v>1.04</v>
      </c>
      <c r="L768" s="1">
        <v>1.04</v>
      </c>
      <c r="M768" s="1">
        <v>1.04</v>
      </c>
      <c r="N768" s="1">
        <v>1</v>
      </c>
      <c r="O768" s="1">
        <v>1</v>
      </c>
      <c r="P768" s="1">
        <v>1</v>
      </c>
      <c r="Q768" s="1">
        <v>1</v>
      </c>
      <c r="R768" s="1">
        <v>1</v>
      </c>
      <c r="S768" s="1">
        <v>1</v>
      </c>
      <c r="T768" s="1">
        <v>1</v>
      </c>
      <c r="U768" s="1">
        <v>1</v>
      </c>
      <c r="V768" s="1">
        <v>1</v>
      </c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1</v>
      </c>
      <c r="AD768" s="1">
        <v>1</v>
      </c>
      <c r="AE768" s="1">
        <v>1.0580000000000001</v>
      </c>
      <c r="AF768" s="1">
        <v>1</v>
      </c>
      <c r="AG768" s="1">
        <v>1.04</v>
      </c>
      <c r="AH768" s="1">
        <v>1</v>
      </c>
      <c r="AI768" s="1">
        <v>1</v>
      </c>
      <c r="AJ768" s="1">
        <v>1</v>
      </c>
      <c r="AK768" s="1">
        <v>0</v>
      </c>
      <c r="AL768" s="1">
        <v>1</v>
      </c>
      <c r="AM768" s="1">
        <v>1</v>
      </c>
      <c r="AN768" s="1">
        <v>1.1200000000000001</v>
      </c>
    </row>
    <row r="769" spans="1:40">
      <c r="A769" s="1">
        <v>8102</v>
      </c>
      <c r="C769" s="1">
        <v>1.1160000000000001</v>
      </c>
      <c r="D769" s="1">
        <v>1.1160000000000001</v>
      </c>
      <c r="E769" s="1">
        <v>1.1160000000000001</v>
      </c>
      <c r="F769" s="1">
        <v>1.1160000000000001</v>
      </c>
      <c r="G769" s="1">
        <v>1.08</v>
      </c>
      <c r="H769" s="1">
        <v>1</v>
      </c>
      <c r="I769" s="1">
        <v>1</v>
      </c>
      <c r="J769" s="1">
        <v>1.08</v>
      </c>
      <c r="K769" s="1">
        <v>1.08</v>
      </c>
      <c r="L769" s="1">
        <v>1.08</v>
      </c>
      <c r="M769" s="1">
        <v>1.08</v>
      </c>
      <c r="N769" s="1">
        <v>1</v>
      </c>
      <c r="O769" s="1">
        <v>1</v>
      </c>
      <c r="P769" s="1">
        <v>1</v>
      </c>
      <c r="Q769" s="1">
        <v>1</v>
      </c>
      <c r="R769" s="1">
        <v>1</v>
      </c>
      <c r="S769" s="1">
        <v>1</v>
      </c>
      <c r="T769" s="1">
        <v>1</v>
      </c>
      <c r="U769" s="1">
        <v>1</v>
      </c>
      <c r="V769" s="1">
        <v>1.01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2</v>
      </c>
      <c r="AD769" s="1">
        <v>2</v>
      </c>
      <c r="AE769" s="1">
        <v>1.1160000000000001</v>
      </c>
      <c r="AF769" s="1">
        <v>1</v>
      </c>
      <c r="AG769" s="1">
        <v>1.08</v>
      </c>
      <c r="AH769" s="1">
        <v>1</v>
      </c>
      <c r="AI769" s="1">
        <v>1.2</v>
      </c>
      <c r="AJ769" s="1">
        <v>1</v>
      </c>
      <c r="AK769" s="1">
        <v>0</v>
      </c>
      <c r="AL769" s="1">
        <v>1</v>
      </c>
      <c r="AM769" s="1">
        <v>1</v>
      </c>
      <c r="AN769" s="1">
        <v>1.24</v>
      </c>
    </row>
    <row r="770" spans="1:40">
      <c r="A770" s="1">
        <v>8103</v>
      </c>
      <c r="C770" s="1">
        <v>1.1739999999999999</v>
      </c>
      <c r="D770" s="1">
        <v>1.1739999999999999</v>
      </c>
      <c r="E770" s="1">
        <v>1.1739999999999999</v>
      </c>
      <c r="F770" s="1">
        <v>1.1739999999999999</v>
      </c>
      <c r="G770" s="1">
        <v>1.1200000000000001</v>
      </c>
      <c r="H770" s="1">
        <v>1</v>
      </c>
      <c r="I770" s="1">
        <v>1</v>
      </c>
      <c r="J770" s="1">
        <v>1.1200000000000001</v>
      </c>
      <c r="K770" s="1">
        <v>1.1200000000000001</v>
      </c>
      <c r="L770" s="1">
        <v>1.1200000000000001</v>
      </c>
      <c r="M770" s="1">
        <v>1.1200000000000001</v>
      </c>
      <c r="N770" s="1">
        <v>1</v>
      </c>
      <c r="O770" s="1">
        <v>1</v>
      </c>
      <c r="P770" s="1">
        <v>1</v>
      </c>
      <c r="Q770" s="1">
        <v>1</v>
      </c>
      <c r="R770" s="1">
        <v>1</v>
      </c>
      <c r="S770" s="1">
        <v>1</v>
      </c>
      <c r="T770" s="1">
        <v>1</v>
      </c>
      <c r="U770" s="1">
        <v>1</v>
      </c>
      <c r="V770" s="1">
        <v>1.02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3</v>
      </c>
      <c r="AD770" s="1">
        <v>3</v>
      </c>
      <c r="AE770" s="1">
        <v>1.1739999999999999</v>
      </c>
      <c r="AF770" s="1">
        <v>1</v>
      </c>
      <c r="AG770" s="1">
        <v>1.1200000000000001</v>
      </c>
      <c r="AH770" s="1">
        <v>1</v>
      </c>
      <c r="AI770" s="1">
        <v>1.4</v>
      </c>
      <c r="AJ770" s="1">
        <v>1</v>
      </c>
      <c r="AK770" s="1">
        <v>0</v>
      </c>
      <c r="AL770" s="1">
        <v>1</v>
      </c>
      <c r="AM770" s="1">
        <v>1</v>
      </c>
      <c r="AN770" s="1">
        <v>1.36</v>
      </c>
    </row>
    <row r="771" spans="1:40">
      <c r="A771" s="1">
        <v>8104</v>
      </c>
      <c r="C771" s="1">
        <v>1.232</v>
      </c>
      <c r="D771" s="1">
        <v>1.232</v>
      </c>
      <c r="E771" s="1">
        <v>1.232</v>
      </c>
      <c r="F771" s="1">
        <v>1.232</v>
      </c>
      <c r="G771" s="1">
        <v>1.1599999999999999</v>
      </c>
      <c r="H771" s="1">
        <v>1</v>
      </c>
      <c r="I771" s="1">
        <v>1</v>
      </c>
      <c r="J771" s="1">
        <v>1.1599999999999999</v>
      </c>
      <c r="K771" s="1">
        <v>1.1599999999999999</v>
      </c>
      <c r="L771" s="1">
        <v>1.1599999999999999</v>
      </c>
      <c r="M771" s="1">
        <v>1.1599999999999999</v>
      </c>
      <c r="N771" s="1">
        <v>1</v>
      </c>
      <c r="O771" s="1">
        <v>1</v>
      </c>
      <c r="P771" s="1">
        <v>1</v>
      </c>
      <c r="Q771" s="1">
        <v>1</v>
      </c>
      <c r="R771" s="1">
        <v>1</v>
      </c>
      <c r="S771" s="1">
        <v>1</v>
      </c>
      <c r="T771" s="1">
        <v>1</v>
      </c>
      <c r="U771" s="1">
        <v>1</v>
      </c>
      <c r="V771" s="1">
        <v>1.03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4</v>
      </c>
      <c r="AD771" s="1">
        <v>4</v>
      </c>
      <c r="AE771" s="1">
        <v>1.232</v>
      </c>
      <c r="AF771" s="1">
        <v>1</v>
      </c>
      <c r="AG771" s="1">
        <v>1.1599999999999999</v>
      </c>
      <c r="AH771" s="1">
        <v>1</v>
      </c>
      <c r="AI771" s="1">
        <v>1.6</v>
      </c>
      <c r="AJ771" s="1">
        <v>1</v>
      </c>
      <c r="AK771" s="1">
        <v>0</v>
      </c>
      <c r="AL771" s="1">
        <v>1</v>
      </c>
      <c r="AM771" s="1">
        <v>1</v>
      </c>
      <c r="AN771" s="1">
        <v>1.48</v>
      </c>
    </row>
    <row r="772" spans="1:40">
      <c r="A772" s="1">
        <v>8105</v>
      </c>
      <c r="C772" s="1">
        <v>1.29</v>
      </c>
      <c r="D772" s="1">
        <v>1.29</v>
      </c>
      <c r="E772" s="1">
        <v>1.29</v>
      </c>
      <c r="F772" s="1">
        <v>1.29</v>
      </c>
      <c r="G772" s="1">
        <v>1.2</v>
      </c>
      <c r="H772" s="1">
        <v>1</v>
      </c>
      <c r="I772" s="1">
        <v>1</v>
      </c>
      <c r="J772" s="1">
        <v>1.2</v>
      </c>
      <c r="K772" s="1">
        <v>1.2</v>
      </c>
      <c r="L772" s="1">
        <v>1.2</v>
      </c>
      <c r="M772" s="1">
        <v>1.2</v>
      </c>
      <c r="N772" s="1">
        <v>1</v>
      </c>
      <c r="O772" s="1">
        <v>1</v>
      </c>
      <c r="P772" s="1">
        <v>1</v>
      </c>
      <c r="Q772" s="1">
        <v>1</v>
      </c>
      <c r="R772" s="1">
        <v>1</v>
      </c>
      <c r="S772" s="1">
        <v>1</v>
      </c>
      <c r="T772" s="1">
        <v>1</v>
      </c>
      <c r="U772" s="1">
        <v>1</v>
      </c>
      <c r="V772" s="1">
        <v>1.04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5</v>
      </c>
      <c r="AD772" s="1">
        <v>5</v>
      </c>
      <c r="AE772" s="1">
        <v>1.29</v>
      </c>
      <c r="AF772" s="1">
        <v>1</v>
      </c>
      <c r="AG772" s="1">
        <v>1.2</v>
      </c>
      <c r="AH772" s="1">
        <v>1</v>
      </c>
      <c r="AI772" s="1">
        <v>1.8</v>
      </c>
      <c r="AJ772" s="1">
        <v>1</v>
      </c>
      <c r="AK772" s="1">
        <v>0</v>
      </c>
      <c r="AL772" s="1">
        <v>1</v>
      </c>
      <c r="AM772" s="1">
        <v>1</v>
      </c>
      <c r="AN772" s="1">
        <v>1.6</v>
      </c>
    </row>
    <row r="773" spans="1:40">
      <c r="A773" s="1">
        <v>8106</v>
      </c>
      <c r="C773" s="1">
        <v>1.3480000000000001</v>
      </c>
      <c r="D773" s="1">
        <v>1.3480000000000001</v>
      </c>
      <c r="E773" s="1">
        <v>1.3480000000000001</v>
      </c>
      <c r="F773" s="1">
        <v>1.3480000000000001</v>
      </c>
      <c r="G773" s="1">
        <v>1.24</v>
      </c>
      <c r="H773" s="1">
        <v>1</v>
      </c>
      <c r="I773" s="1">
        <v>1</v>
      </c>
      <c r="J773" s="1">
        <v>1.24</v>
      </c>
      <c r="K773" s="1">
        <v>1.24</v>
      </c>
      <c r="L773" s="1">
        <v>1.24</v>
      </c>
      <c r="M773" s="1">
        <v>1.24</v>
      </c>
      <c r="N773" s="1">
        <v>1</v>
      </c>
      <c r="O773" s="1">
        <v>1</v>
      </c>
      <c r="P773" s="1">
        <v>1</v>
      </c>
      <c r="Q773" s="1">
        <v>1</v>
      </c>
      <c r="R773" s="1">
        <v>1</v>
      </c>
      <c r="S773" s="1">
        <v>1</v>
      </c>
      <c r="T773" s="1">
        <v>1</v>
      </c>
      <c r="U773" s="1">
        <v>1</v>
      </c>
      <c r="V773" s="1">
        <v>1.05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6</v>
      </c>
      <c r="AD773" s="1">
        <v>6</v>
      </c>
      <c r="AE773" s="1">
        <v>1.3480000000000001</v>
      </c>
      <c r="AF773" s="1">
        <v>1</v>
      </c>
      <c r="AG773" s="1">
        <v>1.24</v>
      </c>
      <c r="AH773" s="1">
        <v>1</v>
      </c>
      <c r="AI773" s="1">
        <v>2</v>
      </c>
      <c r="AJ773" s="1">
        <v>1</v>
      </c>
      <c r="AK773" s="1">
        <v>0</v>
      </c>
      <c r="AL773" s="1">
        <v>1</v>
      </c>
      <c r="AM773" s="1">
        <v>1</v>
      </c>
      <c r="AN773" s="1">
        <v>1.72</v>
      </c>
    </row>
    <row r="774" spans="1:40">
      <c r="A774" s="1">
        <v>8107</v>
      </c>
      <c r="C774" s="1">
        <v>1.4059999999999999</v>
      </c>
      <c r="D774" s="1">
        <v>1.4059999999999999</v>
      </c>
      <c r="E774" s="1">
        <v>1.4059999999999999</v>
      </c>
      <c r="F774" s="1">
        <v>1.4059999999999999</v>
      </c>
      <c r="G774" s="1">
        <v>1.28</v>
      </c>
      <c r="H774" s="1">
        <v>1</v>
      </c>
      <c r="I774" s="1">
        <v>1</v>
      </c>
      <c r="J774" s="1">
        <v>1.28</v>
      </c>
      <c r="K774" s="1">
        <v>1.28</v>
      </c>
      <c r="L774" s="1">
        <v>1.28</v>
      </c>
      <c r="M774" s="1">
        <v>1.28</v>
      </c>
      <c r="N774" s="1">
        <v>1</v>
      </c>
      <c r="O774" s="1">
        <v>1</v>
      </c>
      <c r="P774" s="1">
        <v>1</v>
      </c>
      <c r="Q774" s="1">
        <v>1</v>
      </c>
      <c r="R774" s="1">
        <v>1</v>
      </c>
      <c r="S774" s="1">
        <v>1</v>
      </c>
      <c r="T774" s="1">
        <v>1</v>
      </c>
      <c r="U774" s="1">
        <v>1</v>
      </c>
      <c r="V774" s="1">
        <v>1.06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B774" s="1">
        <v>0</v>
      </c>
      <c r="AC774" s="1">
        <v>7</v>
      </c>
      <c r="AD774" s="1">
        <v>7</v>
      </c>
      <c r="AE774" s="1">
        <v>1.4059999999999999</v>
      </c>
      <c r="AF774" s="1">
        <v>1</v>
      </c>
      <c r="AG774" s="1">
        <v>1.28</v>
      </c>
      <c r="AH774" s="1">
        <v>1</v>
      </c>
      <c r="AI774" s="1">
        <v>2.2000000000000002</v>
      </c>
      <c r="AJ774" s="1">
        <v>1</v>
      </c>
      <c r="AK774" s="1">
        <v>0</v>
      </c>
      <c r="AL774" s="1">
        <v>1</v>
      </c>
      <c r="AM774" s="1">
        <v>1</v>
      </c>
      <c r="AN774" s="1">
        <v>1.84</v>
      </c>
    </row>
    <row r="775" spans="1:40">
      <c r="A775" s="1">
        <v>8108</v>
      </c>
      <c r="C775" s="1">
        <v>1.464</v>
      </c>
      <c r="D775" s="1">
        <v>1.464</v>
      </c>
      <c r="E775" s="1">
        <v>1.464</v>
      </c>
      <c r="F775" s="1">
        <v>1.464</v>
      </c>
      <c r="G775" s="1">
        <v>1.32</v>
      </c>
      <c r="H775" s="1">
        <v>1</v>
      </c>
      <c r="I775" s="1">
        <v>1</v>
      </c>
      <c r="J775" s="1">
        <v>1.32</v>
      </c>
      <c r="K775" s="1">
        <v>1.32</v>
      </c>
      <c r="L775" s="1">
        <v>1.32</v>
      </c>
      <c r="M775" s="1">
        <v>1.32</v>
      </c>
      <c r="N775" s="1">
        <v>1</v>
      </c>
      <c r="O775" s="1">
        <v>1</v>
      </c>
      <c r="P775" s="1">
        <v>1</v>
      </c>
      <c r="Q775" s="1">
        <v>1</v>
      </c>
      <c r="R775" s="1">
        <v>1</v>
      </c>
      <c r="S775" s="1">
        <v>1</v>
      </c>
      <c r="T775" s="1">
        <v>1</v>
      </c>
      <c r="U775" s="1">
        <v>1</v>
      </c>
      <c r="V775" s="1">
        <v>1.07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8</v>
      </c>
      <c r="AD775" s="1">
        <v>8</v>
      </c>
      <c r="AE775" s="1">
        <v>1.464</v>
      </c>
      <c r="AF775" s="1">
        <v>1</v>
      </c>
      <c r="AG775" s="1">
        <v>1.32</v>
      </c>
      <c r="AH775" s="1">
        <v>1</v>
      </c>
      <c r="AI775" s="1">
        <v>2.4</v>
      </c>
      <c r="AJ775" s="1">
        <v>1</v>
      </c>
      <c r="AK775" s="1">
        <v>0</v>
      </c>
      <c r="AL775" s="1">
        <v>1</v>
      </c>
      <c r="AM775" s="1">
        <v>1</v>
      </c>
      <c r="AN775" s="1">
        <v>1.96</v>
      </c>
    </row>
    <row r="776" spans="1:40">
      <c r="A776" s="1">
        <v>8109</v>
      </c>
      <c r="C776" s="1">
        <v>1.522</v>
      </c>
      <c r="D776" s="1">
        <v>1.522</v>
      </c>
      <c r="E776" s="1">
        <v>1.522</v>
      </c>
      <c r="F776" s="1">
        <v>1.522</v>
      </c>
      <c r="G776" s="1">
        <v>1.36</v>
      </c>
      <c r="H776" s="1">
        <v>1</v>
      </c>
      <c r="I776" s="1">
        <v>1</v>
      </c>
      <c r="J776" s="1">
        <v>1.36</v>
      </c>
      <c r="K776" s="1">
        <v>1.36</v>
      </c>
      <c r="L776" s="1">
        <v>1.36</v>
      </c>
      <c r="M776" s="1">
        <v>1.36</v>
      </c>
      <c r="N776" s="1">
        <v>1</v>
      </c>
      <c r="O776" s="1">
        <v>1</v>
      </c>
      <c r="P776" s="1">
        <v>1</v>
      </c>
      <c r="Q776" s="1">
        <v>1</v>
      </c>
      <c r="R776" s="1">
        <v>1</v>
      </c>
      <c r="S776" s="1">
        <v>1</v>
      </c>
      <c r="T776" s="1">
        <v>1</v>
      </c>
      <c r="U776" s="1">
        <v>1</v>
      </c>
      <c r="V776" s="1">
        <v>1.08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B776" s="1">
        <v>0</v>
      </c>
      <c r="AC776" s="1">
        <v>9</v>
      </c>
      <c r="AD776" s="1">
        <v>9</v>
      </c>
      <c r="AE776" s="1">
        <v>1.522</v>
      </c>
      <c r="AF776" s="1">
        <v>1</v>
      </c>
      <c r="AG776" s="1">
        <v>1.36</v>
      </c>
      <c r="AH776" s="1">
        <v>1</v>
      </c>
      <c r="AI776" s="1">
        <v>2.6</v>
      </c>
      <c r="AJ776" s="1">
        <v>1</v>
      </c>
      <c r="AK776" s="1">
        <v>0</v>
      </c>
      <c r="AL776" s="1">
        <v>1</v>
      </c>
      <c r="AM776" s="1">
        <v>1</v>
      </c>
      <c r="AN776" s="1">
        <v>2.08</v>
      </c>
    </row>
    <row r="777" spans="1:40">
      <c r="A777" s="1">
        <v>8110</v>
      </c>
      <c r="C777" s="1">
        <v>1.58</v>
      </c>
      <c r="D777" s="1">
        <v>1.58</v>
      </c>
      <c r="E777" s="1">
        <v>1.58</v>
      </c>
      <c r="F777" s="1">
        <v>1.58</v>
      </c>
      <c r="G777" s="1">
        <v>1.4</v>
      </c>
      <c r="H777" s="1">
        <v>1</v>
      </c>
      <c r="I777" s="1">
        <v>1</v>
      </c>
      <c r="J777" s="1">
        <v>1.4</v>
      </c>
      <c r="K777" s="1">
        <v>1.4</v>
      </c>
      <c r="L777" s="1">
        <v>1.4</v>
      </c>
      <c r="M777" s="1">
        <v>1.4</v>
      </c>
      <c r="N777" s="1">
        <v>1</v>
      </c>
      <c r="O777" s="1">
        <v>1</v>
      </c>
      <c r="P777" s="1">
        <v>1</v>
      </c>
      <c r="Q777" s="1">
        <v>1</v>
      </c>
      <c r="R777" s="1">
        <v>1</v>
      </c>
      <c r="S777" s="1">
        <v>1</v>
      </c>
      <c r="T777" s="1">
        <v>1</v>
      </c>
      <c r="U777" s="1">
        <v>1</v>
      </c>
      <c r="V777" s="1">
        <v>1.0900000000000001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B777" s="1">
        <v>0</v>
      </c>
      <c r="AC777" s="1">
        <v>10</v>
      </c>
      <c r="AD777" s="1">
        <v>10</v>
      </c>
      <c r="AE777" s="1">
        <v>1.58</v>
      </c>
      <c r="AF777" s="1">
        <v>1</v>
      </c>
      <c r="AG777" s="1">
        <v>1.4</v>
      </c>
      <c r="AH777" s="1">
        <v>1</v>
      </c>
      <c r="AI777" s="1">
        <v>2.8</v>
      </c>
      <c r="AJ777" s="1">
        <v>1</v>
      </c>
      <c r="AK777" s="1">
        <v>0</v>
      </c>
      <c r="AL777" s="1">
        <v>1</v>
      </c>
      <c r="AM777" s="1">
        <v>1</v>
      </c>
      <c r="AN777" s="1">
        <v>2.2000000000000002</v>
      </c>
    </row>
    <row r="778" spans="1:40">
      <c r="A778" s="1">
        <v>8111</v>
      </c>
      <c r="C778" s="1">
        <v>1.6379999999999999</v>
      </c>
      <c r="D778" s="1">
        <v>1.6379999999999999</v>
      </c>
      <c r="E778" s="1">
        <v>1.6379999999999999</v>
      </c>
      <c r="F778" s="1">
        <v>1.6379999999999999</v>
      </c>
      <c r="G778" s="1">
        <v>1.44</v>
      </c>
      <c r="H778" s="1">
        <v>1</v>
      </c>
      <c r="I778" s="1">
        <v>1</v>
      </c>
      <c r="J778" s="1">
        <v>1.43</v>
      </c>
      <c r="K778" s="1">
        <v>1.43</v>
      </c>
      <c r="L778" s="1">
        <v>1.43</v>
      </c>
      <c r="M778" s="1">
        <v>1.43</v>
      </c>
      <c r="N778" s="1">
        <v>1</v>
      </c>
      <c r="O778" s="1">
        <v>1</v>
      </c>
      <c r="P778" s="1">
        <v>1</v>
      </c>
      <c r="Q778" s="1">
        <v>1</v>
      </c>
      <c r="R778" s="1">
        <v>1</v>
      </c>
      <c r="S778" s="1">
        <v>1</v>
      </c>
      <c r="T778" s="1">
        <v>1</v>
      </c>
      <c r="U778" s="1">
        <v>1</v>
      </c>
      <c r="V778" s="1">
        <v>1.1000000000000001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11</v>
      </c>
      <c r="AD778" s="1">
        <v>11</v>
      </c>
      <c r="AE778" s="1">
        <v>1.6379999999999999</v>
      </c>
      <c r="AF778" s="1">
        <v>1</v>
      </c>
      <c r="AG778" s="1">
        <v>1.43</v>
      </c>
      <c r="AH778" s="1">
        <v>1</v>
      </c>
      <c r="AI778" s="1">
        <v>3</v>
      </c>
      <c r="AJ778" s="1">
        <v>1</v>
      </c>
      <c r="AK778" s="1">
        <v>0</v>
      </c>
      <c r="AL778" s="1">
        <v>1</v>
      </c>
      <c r="AM778" s="1">
        <v>1</v>
      </c>
      <c r="AN778" s="1">
        <v>2.3199999999999998</v>
      </c>
    </row>
    <row r="779" spans="1:40">
      <c r="A779" s="1">
        <v>8112</v>
      </c>
      <c r="C779" s="1">
        <v>1.696</v>
      </c>
      <c r="D779" s="1">
        <v>1.696</v>
      </c>
      <c r="E779" s="1">
        <v>1.696</v>
      </c>
      <c r="F779" s="1">
        <v>1.696</v>
      </c>
      <c r="G779" s="1">
        <v>1.48</v>
      </c>
      <c r="H779" s="1">
        <v>1</v>
      </c>
      <c r="I779" s="1">
        <v>1</v>
      </c>
      <c r="J779" s="1">
        <v>1.46</v>
      </c>
      <c r="K779" s="1">
        <v>1.46</v>
      </c>
      <c r="L779" s="1">
        <v>1.46</v>
      </c>
      <c r="M779" s="1">
        <v>1.46</v>
      </c>
      <c r="N779" s="1">
        <v>1</v>
      </c>
      <c r="O779" s="1">
        <v>1</v>
      </c>
      <c r="P779" s="1">
        <v>1</v>
      </c>
      <c r="Q779" s="1">
        <v>1</v>
      </c>
      <c r="R779" s="1">
        <v>1</v>
      </c>
      <c r="S779" s="1">
        <v>1</v>
      </c>
      <c r="T779" s="1">
        <v>1</v>
      </c>
      <c r="U779" s="1">
        <v>1</v>
      </c>
      <c r="V779" s="1">
        <v>1.1100000000000001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12</v>
      </c>
      <c r="AD779" s="1">
        <v>12</v>
      </c>
      <c r="AE779" s="1">
        <v>1.696</v>
      </c>
      <c r="AF779" s="1">
        <v>1</v>
      </c>
      <c r="AG779" s="1">
        <v>1.46</v>
      </c>
      <c r="AH779" s="1">
        <v>1</v>
      </c>
      <c r="AI779" s="1">
        <v>3.2</v>
      </c>
      <c r="AJ779" s="1">
        <v>1</v>
      </c>
      <c r="AK779" s="1">
        <v>0</v>
      </c>
      <c r="AL779" s="1">
        <v>1</v>
      </c>
      <c r="AM779" s="1">
        <v>1</v>
      </c>
      <c r="AN779" s="1">
        <v>2.44</v>
      </c>
    </row>
    <row r="780" spans="1:40">
      <c r="A780" s="1">
        <v>8113</v>
      </c>
      <c r="C780" s="1">
        <v>1.754</v>
      </c>
      <c r="D780" s="1">
        <v>1.754</v>
      </c>
      <c r="E780" s="1">
        <v>1.754</v>
      </c>
      <c r="F780" s="1">
        <v>1.754</v>
      </c>
      <c r="G780" s="1">
        <v>1.52</v>
      </c>
      <c r="H780" s="1">
        <v>1</v>
      </c>
      <c r="I780" s="1">
        <v>1</v>
      </c>
      <c r="J780" s="1">
        <v>1.49</v>
      </c>
      <c r="K780" s="1">
        <v>1.49</v>
      </c>
      <c r="L780" s="1">
        <v>1.49</v>
      </c>
      <c r="M780" s="1">
        <v>1.49</v>
      </c>
      <c r="N780" s="1">
        <v>1</v>
      </c>
      <c r="O780" s="1">
        <v>1</v>
      </c>
      <c r="P780" s="1">
        <v>1</v>
      </c>
      <c r="Q780" s="1">
        <v>1</v>
      </c>
      <c r="R780" s="1">
        <v>1</v>
      </c>
      <c r="S780" s="1">
        <v>1</v>
      </c>
      <c r="T780" s="1">
        <v>1</v>
      </c>
      <c r="U780" s="1">
        <v>1</v>
      </c>
      <c r="V780" s="1">
        <v>1.1200000000000001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13</v>
      </c>
      <c r="AD780" s="1">
        <v>13</v>
      </c>
      <c r="AE780" s="1">
        <v>1.754</v>
      </c>
      <c r="AF780" s="1">
        <v>1</v>
      </c>
      <c r="AG780" s="1">
        <v>1.49</v>
      </c>
      <c r="AH780" s="1">
        <v>1</v>
      </c>
      <c r="AI780" s="1">
        <v>3.4</v>
      </c>
      <c r="AJ780" s="1">
        <v>1</v>
      </c>
      <c r="AK780" s="1">
        <v>0</v>
      </c>
      <c r="AL780" s="1">
        <v>1</v>
      </c>
      <c r="AM780" s="1">
        <v>1</v>
      </c>
      <c r="AN780" s="1">
        <v>2.56</v>
      </c>
    </row>
    <row r="781" spans="1:40">
      <c r="A781" s="1">
        <v>8114</v>
      </c>
      <c r="C781" s="1">
        <v>1.8120000000000001</v>
      </c>
      <c r="D781" s="1">
        <v>1.8120000000000001</v>
      </c>
      <c r="E781" s="1">
        <v>1.8120000000000001</v>
      </c>
      <c r="F781" s="1">
        <v>1.8120000000000001</v>
      </c>
      <c r="G781" s="1">
        <v>1.56</v>
      </c>
      <c r="H781" s="1">
        <v>1</v>
      </c>
      <c r="I781" s="1">
        <v>1</v>
      </c>
      <c r="J781" s="1">
        <v>1.52</v>
      </c>
      <c r="K781" s="1">
        <v>1.52</v>
      </c>
      <c r="L781" s="1">
        <v>1.52</v>
      </c>
      <c r="M781" s="1">
        <v>1.52</v>
      </c>
      <c r="N781" s="1">
        <v>1</v>
      </c>
      <c r="O781" s="1">
        <v>1</v>
      </c>
      <c r="P781" s="1">
        <v>1</v>
      </c>
      <c r="Q781" s="1">
        <v>1</v>
      </c>
      <c r="R781" s="1">
        <v>1</v>
      </c>
      <c r="S781" s="1">
        <v>1</v>
      </c>
      <c r="T781" s="1">
        <v>1</v>
      </c>
      <c r="U781" s="1">
        <v>1</v>
      </c>
      <c r="V781" s="1">
        <v>1.1299999999999999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14</v>
      </c>
      <c r="AD781" s="1">
        <v>14</v>
      </c>
      <c r="AE781" s="1">
        <v>1.8120000000000001</v>
      </c>
      <c r="AF781" s="1">
        <v>1</v>
      </c>
      <c r="AG781" s="1">
        <v>1.52</v>
      </c>
      <c r="AH781" s="1">
        <v>1</v>
      </c>
      <c r="AI781" s="1">
        <v>3.6</v>
      </c>
      <c r="AJ781" s="1">
        <v>1</v>
      </c>
      <c r="AK781" s="1">
        <v>0</v>
      </c>
      <c r="AL781" s="1">
        <v>1</v>
      </c>
      <c r="AM781" s="1">
        <v>1</v>
      </c>
      <c r="AN781" s="1">
        <v>2.68</v>
      </c>
    </row>
    <row r="782" spans="1:40">
      <c r="A782" s="1">
        <v>8115</v>
      </c>
      <c r="C782" s="1">
        <v>1.87</v>
      </c>
      <c r="D782" s="1">
        <v>1.87</v>
      </c>
      <c r="E782" s="1">
        <v>1.87</v>
      </c>
      <c r="F782" s="1">
        <v>1.87</v>
      </c>
      <c r="G782" s="1">
        <v>1.6</v>
      </c>
      <c r="H782" s="1">
        <v>1</v>
      </c>
      <c r="I782" s="1">
        <v>1</v>
      </c>
      <c r="J782" s="1">
        <v>1.55</v>
      </c>
      <c r="K782" s="1">
        <v>1.55</v>
      </c>
      <c r="L782" s="1">
        <v>1.55</v>
      </c>
      <c r="M782" s="1">
        <v>1.55</v>
      </c>
      <c r="N782" s="1">
        <v>1</v>
      </c>
      <c r="O782" s="1">
        <v>1</v>
      </c>
      <c r="P782" s="1">
        <v>1</v>
      </c>
      <c r="Q782" s="1">
        <v>1</v>
      </c>
      <c r="R782" s="1">
        <v>1</v>
      </c>
      <c r="S782" s="1">
        <v>1</v>
      </c>
      <c r="T782" s="1">
        <v>1</v>
      </c>
      <c r="U782" s="1">
        <v>1</v>
      </c>
      <c r="V782" s="1">
        <v>1.1399999999999999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15</v>
      </c>
      <c r="AD782" s="1">
        <v>15</v>
      </c>
      <c r="AE782" s="1">
        <v>1.87</v>
      </c>
      <c r="AF782" s="1">
        <v>1</v>
      </c>
      <c r="AG782" s="1">
        <v>1.55</v>
      </c>
      <c r="AH782" s="1">
        <v>1</v>
      </c>
      <c r="AI782" s="1">
        <v>3.8</v>
      </c>
      <c r="AJ782" s="1">
        <v>1</v>
      </c>
      <c r="AK782" s="1">
        <v>0</v>
      </c>
      <c r="AL782" s="1">
        <v>1</v>
      </c>
      <c r="AM782" s="1">
        <v>1</v>
      </c>
      <c r="AN782" s="1">
        <v>2.8</v>
      </c>
    </row>
    <row r="783" spans="1:40">
      <c r="A783" s="1">
        <v>8116</v>
      </c>
      <c r="C783" s="1">
        <v>1.9279999999999999</v>
      </c>
      <c r="D783" s="1">
        <v>1.9279999999999999</v>
      </c>
      <c r="E783" s="1">
        <v>1.9279999999999999</v>
      </c>
      <c r="F783" s="1">
        <v>1.9279999999999999</v>
      </c>
      <c r="G783" s="1">
        <v>1.64</v>
      </c>
      <c r="H783" s="1">
        <v>1</v>
      </c>
      <c r="I783" s="1">
        <v>1</v>
      </c>
      <c r="J783" s="1">
        <v>1.58</v>
      </c>
      <c r="K783" s="1">
        <v>1.58</v>
      </c>
      <c r="L783" s="1">
        <v>1.58</v>
      </c>
      <c r="M783" s="1">
        <v>1.58</v>
      </c>
      <c r="N783" s="1">
        <v>1</v>
      </c>
      <c r="O783" s="1">
        <v>1</v>
      </c>
      <c r="P783" s="1">
        <v>1</v>
      </c>
      <c r="Q783" s="1">
        <v>1</v>
      </c>
      <c r="R783" s="1">
        <v>1</v>
      </c>
      <c r="S783" s="1">
        <v>1</v>
      </c>
      <c r="T783" s="1">
        <v>1</v>
      </c>
      <c r="U783" s="1">
        <v>1</v>
      </c>
      <c r="V783" s="1">
        <v>1.1499999999999999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16</v>
      </c>
      <c r="AD783" s="1">
        <v>16</v>
      </c>
      <c r="AE783" s="1">
        <v>1.9279999999999999</v>
      </c>
      <c r="AF783" s="1">
        <v>1</v>
      </c>
      <c r="AG783" s="1">
        <v>1.58</v>
      </c>
      <c r="AH783" s="1">
        <v>1</v>
      </c>
      <c r="AI783" s="1">
        <v>4</v>
      </c>
      <c r="AJ783" s="1">
        <v>1</v>
      </c>
      <c r="AK783" s="1">
        <v>0</v>
      </c>
      <c r="AL783" s="1">
        <v>1</v>
      </c>
      <c r="AM783" s="1">
        <v>1</v>
      </c>
      <c r="AN783" s="1">
        <v>2.92</v>
      </c>
    </row>
    <row r="784" spans="1:40">
      <c r="A784" s="1">
        <v>8117</v>
      </c>
      <c r="C784" s="1">
        <v>1.986</v>
      </c>
      <c r="D784" s="1">
        <v>1.986</v>
      </c>
      <c r="E784" s="1">
        <v>1.986</v>
      </c>
      <c r="F784" s="1">
        <v>1.986</v>
      </c>
      <c r="G784" s="1">
        <v>1.68</v>
      </c>
      <c r="H784" s="1">
        <v>1</v>
      </c>
      <c r="I784" s="1">
        <v>1</v>
      </c>
      <c r="J784" s="1">
        <v>1.61</v>
      </c>
      <c r="K784" s="1">
        <v>1.61</v>
      </c>
      <c r="L784" s="1">
        <v>1.61</v>
      </c>
      <c r="M784" s="1">
        <v>1.61</v>
      </c>
      <c r="N784" s="1">
        <v>1</v>
      </c>
      <c r="O784" s="1">
        <v>1</v>
      </c>
      <c r="P784" s="1">
        <v>1</v>
      </c>
      <c r="Q784" s="1">
        <v>1</v>
      </c>
      <c r="R784" s="1">
        <v>1</v>
      </c>
      <c r="S784" s="1">
        <v>1</v>
      </c>
      <c r="T784" s="1">
        <v>1</v>
      </c>
      <c r="U784" s="1">
        <v>1</v>
      </c>
      <c r="V784" s="1">
        <v>1.1599999999999999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17</v>
      </c>
      <c r="AD784" s="1">
        <v>17</v>
      </c>
      <c r="AE784" s="1">
        <v>1.986</v>
      </c>
      <c r="AF784" s="1">
        <v>1</v>
      </c>
      <c r="AG784" s="1">
        <v>1.61</v>
      </c>
      <c r="AH784" s="1">
        <v>1</v>
      </c>
      <c r="AI784" s="1">
        <v>4.2</v>
      </c>
      <c r="AJ784" s="1">
        <v>1</v>
      </c>
      <c r="AK784" s="1">
        <v>0</v>
      </c>
      <c r="AL784" s="1">
        <v>1</v>
      </c>
      <c r="AM784" s="1">
        <v>1</v>
      </c>
      <c r="AN784" s="1">
        <v>3.04</v>
      </c>
    </row>
    <row r="785" spans="1:40">
      <c r="A785" s="1">
        <v>8118</v>
      </c>
      <c r="C785" s="1">
        <v>2.044</v>
      </c>
      <c r="D785" s="1">
        <v>2.044</v>
      </c>
      <c r="E785" s="1">
        <v>2.044</v>
      </c>
      <c r="F785" s="1">
        <v>2.044</v>
      </c>
      <c r="G785" s="1">
        <v>1.72</v>
      </c>
      <c r="H785" s="1">
        <v>1</v>
      </c>
      <c r="I785" s="1">
        <v>1</v>
      </c>
      <c r="J785" s="1">
        <v>1.64</v>
      </c>
      <c r="K785" s="1">
        <v>1.64</v>
      </c>
      <c r="L785" s="1">
        <v>1.64</v>
      </c>
      <c r="M785" s="1">
        <v>1.64</v>
      </c>
      <c r="N785" s="1">
        <v>1</v>
      </c>
      <c r="O785" s="1">
        <v>1</v>
      </c>
      <c r="P785" s="1">
        <v>1</v>
      </c>
      <c r="Q785" s="1">
        <v>1</v>
      </c>
      <c r="R785" s="1">
        <v>1</v>
      </c>
      <c r="S785" s="1">
        <v>1</v>
      </c>
      <c r="T785" s="1">
        <v>1</v>
      </c>
      <c r="U785" s="1">
        <v>1</v>
      </c>
      <c r="V785" s="1">
        <v>1.17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18</v>
      </c>
      <c r="AD785" s="1">
        <v>18</v>
      </c>
      <c r="AE785" s="1">
        <v>2.044</v>
      </c>
      <c r="AF785" s="1">
        <v>1</v>
      </c>
      <c r="AG785" s="1">
        <v>1.64</v>
      </c>
      <c r="AH785" s="1">
        <v>1</v>
      </c>
      <c r="AI785" s="1">
        <v>4.4000000000000004</v>
      </c>
      <c r="AJ785" s="1">
        <v>1</v>
      </c>
      <c r="AK785" s="1">
        <v>0</v>
      </c>
      <c r="AL785" s="1">
        <v>1</v>
      </c>
      <c r="AM785" s="1">
        <v>1</v>
      </c>
      <c r="AN785" s="1">
        <v>3.16</v>
      </c>
    </row>
    <row r="786" spans="1:40">
      <c r="A786" s="1">
        <v>8119</v>
      </c>
      <c r="C786" s="1">
        <v>2.1019999999999999</v>
      </c>
      <c r="D786" s="1">
        <v>2.1019999999999999</v>
      </c>
      <c r="E786" s="1">
        <v>2.1019999999999999</v>
      </c>
      <c r="F786" s="1">
        <v>2.1019999999999999</v>
      </c>
      <c r="G786" s="1">
        <v>1.76</v>
      </c>
      <c r="H786" s="1">
        <v>1</v>
      </c>
      <c r="I786" s="1">
        <v>1</v>
      </c>
      <c r="J786" s="1">
        <v>1.67</v>
      </c>
      <c r="K786" s="1">
        <v>1.67</v>
      </c>
      <c r="L786" s="1">
        <v>1.67</v>
      </c>
      <c r="M786" s="1">
        <v>1.67</v>
      </c>
      <c r="N786" s="1">
        <v>1</v>
      </c>
      <c r="O786" s="1">
        <v>1</v>
      </c>
      <c r="P786" s="1">
        <v>1</v>
      </c>
      <c r="Q786" s="1">
        <v>1</v>
      </c>
      <c r="R786" s="1">
        <v>1</v>
      </c>
      <c r="S786" s="1">
        <v>1</v>
      </c>
      <c r="T786" s="1">
        <v>1</v>
      </c>
      <c r="U786" s="1">
        <v>1</v>
      </c>
      <c r="V786" s="1">
        <v>1.18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19</v>
      </c>
      <c r="AD786" s="1">
        <v>19</v>
      </c>
      <c r="AE786" s="1">
        <v>2.1019999999999999</v>
      </c>
      <c r="AF786" s="1">
        <v>1</v>
      </c>
      <c r="AG786" s="1">
        <v>1.67</v>
      </c>
      <c r="AH786" s="1">
        <v>1</v>
      </c>
      <c r="AI786" s="1">
        <v>4.5999999999999996</v>
      </c>
      <c r="AJ786" s="1">
        <v>1</v>
      </c>
      <c r="AK786" s="1">
        <v>0</v>
      </c>
      <c r="AL786" s="1">
        <v>1</v>
      </c>
      <c r="AM786" s="1">
        <v>1</v>
      </c>
      <c r="AN786" s="1">
        <v>3.28</v>
      </c>
    </row>
    <row r="787" spans="1:40">
      <c r="A787" s="1">
        <v>8120</v>
      </c>
      <c r="C787" s="1">
        <v>2.16</v>
      </c>
      <c r="D787" s="1">
        <v>2.16</v>
      </c>
      <c r="E787" s="1">
        <v>2.16</v>
      </c>
      <c r="F787" s="1">
        <v>2.16</v>
      </c>
      <c r="G787" s="1">
        <v>1.8</v>
      </c>
      <c r="H787" s="1">
        <v>1</v>
      </c>
      <c r="I787" s="1">
        <v>1</v>
      </c>
      <c r="J787" s="1">
        <v>1.7</v>
      </c>
      <c r="K787" s="1">
        <v>1.7</v>
      </c>
      <c r="L787" s="1">
        <v>1.7</v>
      </c>
      <c r="M787" s="1">
        <v>1.7</v>
      </c>
      <c r="N787" s="1">
        <v>1</v>
      </c>
      <c r="O787" s="1">
        <v>1</v>
      </c>
      <c r="P787" s="1">
        <v>1</v>
      </c>
      <c r="Q787" s="1">
        <v>1</v>
      </c>
      <c r="R787" s="1">
        <v>1</v>
      </c>
      <c r="S787" s="1">
        <v>1</v>
      </c>
      <c r="T787" s="1">
        <v>1</v>
      </c>
      <c r="U787" s="1">
        <v>1</v>
      </c>
      <c r="V787" s="1">
        <v>1.19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v>20</v>
      </c>
      <c r="AD787" s="1">
        <v>20</v>
      </c>
      <c r="AE787" s="1">
        <v>2.16</v>
      </c>
      <c r="AF787" s="1">
        <v>1</v>
      </c>
      <c r="AG787" s="1">
        <v>1.7</v>
      </c>
      <c r="AH787" s="1">
        <v>1</v>
      </c>
      <c r="AI787" s="1">
        <v>4.8</v>
      </c>
      <c r="AJ787" s="1">
        <v>1</v>
      </c>
      <c r="AK787" s="1">
        <v>0</v>
      </c>
      <c r="AL787" s="1">
        <v>1</v>
      </c>
      <c r="AM787" s="1">
        <v>1</v>
      </c>
      <c r="AN787" s="1">
        <v>3.4</v>
      </c>
    </row>
    <row r="788" spans="1:40">
      <c r="A788" s="1">
        <v>8121</v>
      </c>
      <c r="C788" s="1">
        <v>2.218</v>
      </c>
      <c r="D788" s="1">
        <v>2.218</v>
      </c>
      <c r="E788" s="1">
        <v>2.218</v>
      </c>
      <c r="F788" s="1">
        <v>2.218</v>
      </c>
      <c r="G788" s="1">
        <v>1.84</v>
      </c>
      <c r="H788" s="1">
        <v>1</v>
      </c>
      <c r="I788" s="1">
        <v>1</v>
      </c>
      <c r="J788" s="1">
        <v>1.72</v>
      </c>
      <c r="K788" s="1">
        <v>1.72</v>
      </c>
      <c r="L788" s="1">
        <v>1.72</v>
      </c>
      <c r="M788" s="1">
        <v>1.72</v>
      </c>
      <c r="N788" s="1">
        <v>1</v>
      </c>
      <c r="O788" s="1">
        <v>1</v>
      </c>
      <c r="P788" s="1">
        <v>1</v>
      </c>
      <c r="Q788" s="1">
        <v>1</v>
      </c>
      <c r="R788" s="1">
        <v>1</v>
      </c>
      <c r="S788" s="1">
        <v>1</v>
      </c>
      <c r="T788" s="1">
        <v>1</v>
      </c>
      <c r="U788" s="1">
        <v>1</v>
      </c>
      <c r="V788" s="1">
        <v>1.2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v>21</v>
      </c>
      <c r="AD788" s="1">
        <v>21</v>
      </c>
      <c r="AE788" s="1">
        <v>2.218</v>
      </c>
      <c r="AF788" s="1">
        <v>1</v>
      </c>
      <c r="AG788" s="1">
        <v>1.72</v>
      </c>
      <c r="AH788" s="1">
        <v>1</v>
      </c>
      <c r="AI788" s="1">
        <v>5</v>
      </c>
      <c r="AJ788" s="1">
        <v>1</v>
      </c>
      <c r="AK788" s="1">
        <v>0</v>
      </c>
      <c r="AL788" s="1">
        <v>1</v>
      </c>
      <c r="AM788" s="1">
        <v>1</v>
      </c>
      <c r="AN788" s="1">
        <v>3.52</v>
      </c>
    </row>
    <row r="789" spans="1:40">
      <c r="A789" s="1">
        <v>8122</v>
      </c>
      <c r="C789" s="1">
        <v>2.2759999999999998</v>
      </c>
      <c r="D789" s="1">
        <v>2.2759999999999998</v>
      </c>
      <c r="E789" s="1">
        <v>2.2759999999999998</v>
      </c>
      <c r="F789" s="1">
        <v>2.2759999999999998</v>
      </c>
      <c r="G789" s="1">
        <v>1.88</v>
      </c>
      <c r="H789" s="1">
        <v>1</v>
      </c>
      <c r="I789" s="1">
        <v>1</v>
      </c>
      <c r="J789" s="1">
        <v>1.74</v>
      </c>
      <c r="K789" s="1">
        <v>1.74</v>
      </c>
      <c r="L789" s="1">
        <v>1.74</v>
      </c>
      <c r="M789" s="1">
        <v>1.74</v>
      </c>
      <c r="N789" s="1">
        <v>1</v>
      </c>
      <c r="O789" s="1">
        <v>1</v>
      </c>
      <c r="P789" s="1">
        <v>1</v>
      </c>
      <c r="Q789" s="1">
        <v>1</v>
      </c>
      <c r="R789" s="1">
        <v>1</v>
      </c>
      <c r="S789" s="1">
        <v>1</v>
      </c>
      <c r="T789" s="1">
        <v>1</v>
      </c>
      <c r="U789" s="1">
        <v>1</v>
      </c>
      <c r="V789" s="1">
        <v>1.21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22</v>
      </c>
      <c r="AD789" s="1">
        <v>22</v>
      </c>
      <c r="AE789" s="1">
        <v>2.2759999999999998</v>
      </c>
      <c r="AF789" s="1">
        <v>1</v>
      </c>
      <c r="AG789" s="1">
        <v>1.74</v>
      </c>
      <c r="AH789" s="1">
        <v>1</v>
      </c>
      <c r="AI789" s="1">
        <v>5.2</v>
      </c>
      <c r="AJ789" s="1">
        <v>1</v>
      </c>
      <c r="AK789" s="1">
        <v>0</v>
      </c>
      <c r="AL789" s="1">
        <v>1</v>
      </c>
      <c r="AM789" s="1">
        <v>1</v>
      </c>
      <c r="AN789" s="1">
        <v>3.64</v>
      </c>
    </row>
    <row r="790" spans="1:40">
      <c r="A790" s="1">
        <v>8123</v>
      </c>
      <c r="C790" s="1">
        <v>2.3340000000000001</v>
      </c>
      <c r="D790" s="1">
        <v>2.3340000000000001</v>
      </c>
      <c r="E790" s="1">
        <v>2.3340000000000001</v>
      </c>
      <c r="F790" s="1">
        <v>2.3340000000000001</v>
      </c>
      <c r="G790" s="1">
        <v>1.92</v>
      </c>
      <c r="H790" s="1">
        <v>1</v>
      </c>
      <c r="I790" s="1">
        <v>1</v>
      </c>
      <c r="J790" s="1">
        <v>1.76</v>
      </c>
      <c r="K790" s="1">
        <v>1.76</v>
      </c>
      <c r="L790" s="1">
        <v>1.76</v>
      </c>
      <c r="M790" s="1">
        <v>1.76</v>
      </c>
      <c r="N790" s="1">
        <v>1</v>
      </c>
      <c r="O790" s="1">
        <v>1</v>
      </c>
      <c r="P790" s="1">
        <v>1</v>
      </c>
      <c r="Q790" s="1">
        <v>1</v>
      </c>
      <c r="R790" s="1">
        <v>1</v>
      </c>
      <c r="S790" s="1">
        <v>1</v>
      </c>
      <c r="T790" s="1">
        <v>1</v>
      </c>
      <c r="U790" s="1">
        <v>1</v>
      </c>
      <c r="V790" s="1">
        <v>1.22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23</v>
      </c>
      <c r="AD790" s="1">
        <v>23</v>
      </c>
      <c r="AE790" s="1">
        <v>2.3340000000000001</v>
      </c>
      <c r="AF790" s="1">
        <v>1</v>
      </c>
      <c r="AG790" s="1">
        <v>1.76</v>
      </c>
      <c r="AH790" s="1">
        <v>1</v>
      </c>
      <c r="AI790" s="1">
        <v>5.4</v>
      </c>
      <c r="AJ790" s="1">
        <v>1</v>
      </c>
      <c r="AK790" s="1">
        <v>0</v>
      </c>
      <c r="AL790" s="1">
        <v>1</v>
      </c>
      <c r="AM790" s="1">
        <v>1</v>
      </c>
      <c r="AN790" s="1">
        <v>3.76</v>
      </c>
    </row>
    <row r="791" spans="1:40">
      <c r="A791" s="1">
        <v>8124</v>
      </c>
      <c r="C791" s="1">
        <v>2.3919999999999999</v>
      </c>
      <c r="D791" s="1">
        <v>2.3919999999999999</v>
      </c>
      <c r="E791" s="1">
        <v>2.3919999999999999</v>
      </c>
      <c r="F791" s="1">
        <v>2.3919999999999999</v>
      </c>
      <c r="G791" s="1">
        <v>1.96</v>
      </c>
      <c r="H791" s="1">
        <v>1</v>
      </c>
      <c r="I791" s="1">
        <v>1</v>
      </c>
      <c r="J791" s="1">
        <v>1.78</v>
      </c>
      <c r="K791" s="1">
        <v>1.78</v>
      </c>
      <c r="L791" s="1">
        <v>1.78</v>
      </c>
      <c r="M791" s="1">
        <v>1.78</v>
      </c>
      <c r="N791" s="1">
        <v>1</v>
      </c>
      <c r="O791" s="1">
        <v>1</v>
      </c>
      <c r="P791" s="1">
        <v>1</v>
      </c>
      <c r="Q791" s="1">
        <v>1</v>
      </c>
      <c r="R791" s="1">
        <v>1</v>
      </c>
      <c r="S791" s="1">
        <v>1</v>
      </c>
      <c r="T791" s="1">
        <v>1</v>
      </c>
      <c r="U791" s="1">
        <v>1</v>
      </c>
      <c r="V791" s="1">
        <v>1.23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24</v>
      </c>
      <c r="AD791" s="1">
        <v>24</v>
      </c>
      <c r="AE791" s="1">
        <v>2.3919999999999999</v>
      </c>
      <c r="AF791" s="1">
        <v>1</v>
      </c>
      <c r="AG791" s="1">
        <v>1.78</v>
      </c>
      <c r="AH791" s="1">
        <v>1</v>
      </c>
      <c r="AI791" s="1">
        <v>5.6</v>
      </c>
      <c r="AJ791" s="1">
        <v>1</v>
      </c>
      <c r="AK791" s="1">
        <v>0</v>
      </c>
      <c r="AL791" s="1">
        <v>1</v>
      </c>
      <c r="AM791" s="1">
        <v>1</v>
      </c>
      <c r="AN791" s="1">
        <v>3.88</v>
      </c>
    </row>
    <row r="792" spans="1:40">
      <c r="A792" s="1">
        <v>8125</v>
      </c>
      <c r="C792" s="1">
        <v>2.4500000000000002</v>
      </c>
      <c r="D792" s="1">
        <v>2.4500000000000002</v>
      </c>
      <c r="E792" s="1">
        <v>2.4500000000000002</v>
      </c>
      <c r="F792" s="1">
        <v>2.4500000000000002</v>
      </c>
      <c r="G792" s="1">
        <v>2</v>
      </c>
      <c r="H792" s="1">
        <v>1</v>
      </c>
      <c r="I792" s="1">
        <v>1</v>
      </c>
      <c r="J792" s="1">
        <v>1.8</v>
      </c>
      <c r="K792" s="1">
        <v>1.8</v>
      </c>
      <c r="L792" s="1">
        <v>1.8</v>
      </c>
      <c r="M792" s="1">
        <v>1.8</v>
      </c>
      <c r="N792" s="1">
        <v>1</v>
      </c>
      <c r="O792" s="1">
        <v>1</v>
      </c>
      <c r="P792" s="1">
        <v>1</v>
      </c>
      <c r="Q792" s="1">
        <v>1</v>
      </c>
      <c r="R792" s="1">
        <v>1</v>
      </c>
      <c r="S792" s="1">
        <v>1</v>
      </c>
      <c r="T792" s="1">
        <v>1</v>
      </c>
      <c r="U792" s="1">
        <v>1</v>
      </c>
      <c r="V792" s="1">
        <v>1.24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25</v>
      </c>
      <c r="AD792" s="1">
        <v>25</v>
      </c>
      <c r="AE792" s="1">
        <v>2.4500000000000002</v>
      </c>
      <c r="AF792" s="1">
        <v>1</v>
      </c>
      <c r="AG792" s="1">
        <v>1.8</v>
      </c>
      <c r="AH792" s="1">
        <v>1</v>
      </c>
      <c r="AI792" s="1">
        <v>5.8</v>
      </c>
      <c r="AJ792" s="1">
        <v>1</v>
      </c>
      <c r="AK792" s="1">
        <v>0</v>
      </c>
      <c r="AL792" s="1">
        <v>1</v>
      </c>
      <c r="AM792" s="1">
        <v>1</v>
      </c>
      <c r="AN792" s="1">
        <v>4</v>
      </c>
    </row>
    <row r="793" spans="1:40">
      <c r="A793" s="1">
        <v>8200</v>
      </c>
      <c r="C793" s="1">
        <v>1</v>
      </c>
      <c r="D793" s="1">
        <v>1</v>
      </c>
      <c r="E793" s="1">
        <v>1</v>
      </c>
      <c r="F793" s="1">
        <v>1</v>
      </c>
      <c r="G793" s="1">
        <v>1</v>
      </c>
      <c r="H793" s="1">
        <v>1</v>
      </c>
      <c r="I793" s="1">
        <v>1</v>
      </c>
      <c r="J793" s="1">
        <v>1</v>
      </c>
      <c r="K793" s="1">
        <v>1</v>
      </c>
      <c r="L793" s="1">
        <v>1</v>
      </c>
      <c r="M793" s="1">
        <v>1</v>
      </c>
      <c r="N793" s="1">
        <v>1</v>
      </c>
      <c r="O793" s="1">
        <v>1</v>
      </c>
      <c r="P793" s="1">
        <v>1</v>
      </c>
      <c r="Q793" s="1">
        <v>1</v>
      </c>
      <c r="R793" s="1">
        <v>1</v>
      </c>
      <c r="S793" s="1">
        <v>1</v>
      </c>
      <c r="T793" s="1">
        <v>1</v>
      </c>
      <c r="U793" s="1">
        <v>1</v>
      </c>
      <c r="V793" s="1">
        <v>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1</v>
      </c>
      <c r="AF793" s="1">
        <v>1</v>
      </c>
      <c r="AG793" s="1">
        <v>1</v>
      </c>
      <c r="AH793" s="1">
        <v>1</v>
      </c>
      <c r="AI793" s="1">
        <v>1</v>
      </c>
      <c r="AJ793" s="1">
        <v>1</v>
      </c>
      <c r="AK793" s="1">
        <v>0</v>
      </c>
      <c r="AL793" s="1">
        <v>1</v>
      </c>
      <c r="AM793" s="1">
        <v>1</v>
      </c>
      <c r="AN793" s="1">
        <v>1</v>
      </c>
    </row>
    <row r="794" spans="1:40">
      <c r="A794" s="1">
        <v>8201</v>
      </c>
      <c r="C794" s="1">
        <v>1.0580000000000001</v>
      </c>
      <c r="D794" s="1">
        <v>1.0580000000000001</v>
      </c>
      <c r="E794" s="1">
        <v>1.0580000000000001</v>
      </c>
      <c r="F794" s="1">
        <v>1.0580000000000001</v>
      </c>
      <c r="G794" s="1">
        <v>1.04</v>
      </c>
      <c r="H794" s="1">
        <v>1</v>
      </c>
      <c r="I794" s="1">
        <v>1</v>
      </c>
      <c r="J794" s="1">
        <v>1.04</v>
      </c>
      <c r="K794" s="1">
        <v>1.04</v>
      </c>
      <c r="L794" s="1">
        <v>1.04</v>
      </c>
      <c r="M794" s="1">
        <v>1.04</v>
      </c>
      <c r="N794" s="1">
        <v>1</v>
      </c>
      <c r="O794" s="1">
        <v>1</v>
      </c>
      <c r="P794" s="1">
        <v>1</v>
      </c>
      <c r="Q794" s="1">
        <v>1</v>
      </c>
      <c r="R794" s="1">
        <v>1</v>
      </c>
      <c r="S794" s="1">
        <v>1</v>
      </c>
      <c r="T794" s="1">
        <v>1</v>
      </c>
      <c r="U794" s="1">
        <v>1</v>
      </c>
      <c r="V794" s="1">
        <v>1.01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1</v>
      </c>
      <c r="AD794" s="1">
        <v>1</v>
      </c>
      <c r="AE794" s="1">
        <v>1.0580000000000001</v>
      </c>
      <c r="AF794" s="1">
        <v>1</v>
      </c>
      <c r="AG794" s="1">
        <v>1.04</v>
      </c>
      <c r="AH794" s="1">
        <v>1</v>
      </c>
      <c r="AI794" s="1">
        <v>1</v>
      </c>
      <c r="AJ794" s="1">
        <v>1</v>
      </c>
      <c r="AK794" s="1">
        <v>0</v>
      </c>
      <c r="AL794" s="1">
        <v>1</v>
      </c>
      <c r="AM794" s="1">
        <v>1</v>
      </c>
      <c r="AN794" s="1">
        <v>1.1200000000000001</v>
      </c>
    </row>
    <row r="795" spans="1:40">
      <c r="A795" s="1">
        <v>8202</v>
      </c>
      <c r="C795" s="1">
        <v>1.1160000000000001</v>
      </c>
      <c r="D795" s="1">
        <v>1.1160000000000001</v>
      </c>
      <c r="E795" s="1">
        <v>1.1160000000000001</v>
      </c>
      <c r="F795" s="1">
        <v>1.1160000000000001</v>
      </c>
      <c r="G795" s="1">
        <v>1.08</v>
      </c>
      <c r="H795" s="1">
        <v>1</v>
      </c>
      <c r="I795" s="1">
        <v>1</v>
      </c>
      <c r="J795" s="1">
        <v>1.08</v>
      </c>
      <c r="K795" s="1">
        <v>1.08</v>
      </c>
      <c r="L795" s="1">
        <v>1.08</v>
      </c>
      <c r="M795" s="1">
        <v>1.08</v>
      </c>
      <c r="N795" s="1">
        <v>1</v>
      </c>
      <c r="O795" s="1">
        <v>1</v>
      </c>
      <c r="P795" s="1">
        <v>1</v>
      </c>
      <c r="Q795" s="1">
        <v>1</v>
      </c>
      <c r="R795" s="1">
        <v>1</v>
      </c>
      <c r="S795" s="1">
        <v>1</v>
      </c>
      <c r="T795" s="1">
        <v>1</v>
      </c>
      <c r="U795" s="1">
        <v>1</v>
      </c>
      <c r="V795" s="1">
        <v>1.01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2</v>
      </c>
      <c r="AD795" s="1">
        <v>2</v>
      </c>
      <c r="AE795" s="1">
        <v>1.1160000000000001</v>
      </c>
      <c r="AF795" s="1">
        <v>1</v>
      </c>
      <c r="AG795" s="1">
        <v>1.08</v>
      </c>
      <c r="AH795" s="1">
        <v>1</v>
      </c>
      <c r="AI795" s="1">
        <v>1.2</v>
      </c>
      <c r="AJ795" s="1">
        <v>1</v>
      </c>
      <c r="AK795" s="1">
        <v>0</v>
      </c>
      <c r="AL795" s="1">
        <v>1</v>
      </c>
      <c r="AM795" s="1">
        <v>1</v>
      </c>
      <c r="AN795" s="1">
        <v>1.24</v>
      </c>
    </row>
    <row r="796" spans="1:40">
      <c r="A796" s="1">
        <v>8203</v>
      </c>
      <c r="C796" s="1">
        <v>1.1739999999999999</v>
      </c>
      <c r="D796" s="1">
        <v>1.1739999999999999</v>
      </c>
      <c r="E796" s="1">
        <v>1.1739999999999999</v>
      </c>
      <c r="F796" s="1">
        <v>1.1739999999999999</v>
      </c>
      <c r="G796" s="1">
        <v>1.1200000000000001</v>
      </c>
      <c r="H796" s="1">
        <v>1</v>
      </c>
      <c r="I796" s="1">
        <v>1</v>
      </c>
      <c r="J796" s="1">
        <v>1.1200000000000001</v>
      </c>
      <c r="K796" s="1">
        <v>1.1200000000000001</v>
      </c>
      <c r="L796" s="1">
        <v>1.1200000000000001</v>
      </c>
      <c r="M796" s="1">
        <v>1.1200000000000001</v>
      </c>
      <c r="N796" s="1">
        <v>1</v>
      </c>
      <c r="O796" s="1">
        <v>1</v>
      </c>
      <c r="P796" s="1">
        <v>1</v>
      </c>
      <c r="Q796" s="1">
        <v>1</v>
      </c>
      <c r="R796" s="1">
        <v>1</v>
      </c>
      <c r="S796" s="1">
        <v>1</v>
      </c>
      <c r="T796" s="1">
        <v>1</v>
      </c>
      <c r="U796" s="1">
        <v>1</v>
      </c>
      <c r="V796" s="1">
        <v>1.02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3</v>
      </c>
      <c r="AD796" s="1">
        <v>3</v>
      </c>
      <c r="AE796" s="1">
        <v>1.1739999999999999</v>
      </c>
      <c r="AF796" s="1">
        <v>1</v>
      </c>
      <c r="AG796" s="1">
        <v>1.1200000000000001</v>
      </c>
      <c r="AH796" s="1">
        <v>1</v>
      </c>
      <c r="AI796" s="1">
        <v>1.4</v>
      </c>
      <c r="AJ796" s="1">
        <v>1</v>
      </c>
      <c r="AK796" s="1">
        <v>0</v>
      </c>
      <c r="AL796" s="1">
        <v>1</v>
      </c>
      <c r="AM796" s="1">
        <v>1</v>
      </c>
      <c r="AN796" s="1">
        <v>1.36</v>
      </c>
    </row>
    <row r="797" spans="1:40">
      <c r="A797" s="1">
        <v>8204</v>
      </c>
      <c r="C797" s="1">
        <v>1.232</v>
      </c>
      <c r="D797" s="1">
        <v>1.232</v>
      </c>
      <c r="E797" s="1">
        <v>1.232</v>
      </c>
      <c r="F797" s="1">
        <v>1.232</v>
      </c>
      <c r="G797" s="1">
        <v>1.1599999999999999</v>
      </c>
      <c r="H797" s="1">
        <v>1</v>
      </c>
      <c r="I797" s="1">
        <v>1</v>
      </c>
      <c r="J797" s="1">
        <v>1.1599999999999999</v>
      </c>
      <c r="K797" s="1">
        <v>1.1599999999999999</v>
      </c>
      <c r="L797" s="1">
        <v>1.1599999999999999</v>
      </c>
      <c r="M797" s="1">
        <v>1.1599999999999999</v>
      </c>
      <c r="N797" s="1">
        <v>1</v>
      </c>
      <c r="O797" s="1">
        <v>1</v>
      </c>
      <c r="P797" s="1">
        <v>1</v>
      </c>
      <c r="Q797" s="1">
        <v>1</v>
      </c>
      <c r="R797" s="1">
        <v>1</v>
      </c>
      <c r="S797" s="1">
        <v>1</v>
      </c>
      <c r="T797" s="1">
        <v>1</v>
      </c>
      <c r="U797" s="1">
        <v>1</v>
      </c>
      <c r="V797" s="1">
        <v>1.02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4</v>
      </c>
      <c r="AD797" s="1">
        <v>4</v>
      </c>
      <c r="AE797" s="1">
        <v>1.232</v>
      </c>
      <c r="AF797" s="1">
        <v>1</v>
      </c>
      <c r="AG797" s="1">
        <v>1.1599999999999999</v>
      </c>
      <c r="AH797" s="1">
        <v>1</v>
      </c>
      <c r="AI797" s="1">
        <v>1.6</v>
      </c>
      <c r="AJ797" s="1">
        <v>1</v>
      </c>
      <c r="AK797" s="1">
        <v>0</v>
      </c>
      <c r="AL797" s="1">
        <v>1</v>
      </c>
      <c r="AM797" s="1">
        <v>1</v>
      </c>
      <c r="AN797" s="1">
        <v>1.48</v>
      </c>
    </row>
    <row r="798" spans="1:40">
      <c r="A798" s="1">
        <v>8205</v>
      </c>
      <c r="C798" s="1">
        <v>1.29</v>
      </c>
      <c r="D798" s="1">
        <v>1.29</v>
      </c>
      <c r="E798" s="1">
        <v>1.29</v>
      </c>
      <c r="F798" s="1">
        <v>1.29</v>
      </c>
      <c r="G798" s="1">
        <v>1.2</v>
      </c>
      <c r="H798" s="1">
        <v>1</v>
      </c>
      <c r="I798" s="1">
        <v>1</v>
      </c>
      <c r="J798" s="1">
        <v>1.2</v>
      </c>
      <c r="K798" s="1">
        <v>1.2</v>
      </c>
      <c r="L798" s="1">
        <v>1.2</v>
      </c>
      <c r="M798" s="1">
        <v>1.2</v>
      </c>
      <c r="N798" s="1">
        <v>1</v>
      </c>
      <c r="O798" s="1">
        <v>1</v>
      </c>
      <c r="P798" s="1">
        <v>1</v>
      </c>
      <c r="Q798" s="1">
        <v>1</v>
      </c>
      <c r="R798" s="1">
        <v>1</v>
      </c>
      <c r="S798" s="1">
        <v>1</v>
      </c>
      <c r="T798" s="1">
        <v>1</v>
      </c>
      <c r="U798" s="1">
        <v>1</v>
      </c>
      <c r="V798" s="1">
        <v>1.03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5</v>
      </c>
      <c r="AD798" s="1">
        <v>5</v>
      </c>
      <c r="AE798" s="1">
        <v>1.29</v>
      </c>
      <c r="AF798" s="1">
        <v>1</v>
      </c>
      <c r="AG798" s="1">
        <v>1.2</v>
      </c>
      <c r="AH798" s="1">
        <v>1</v>
      </c>
      <c r="AI798" s="1">
        <v>1.8</v>
      </c>
      <c r="AJ798" s="1">
        <v>1</v>
      </c>
      <c r="AK798" s="1">
        <v>0</v>
      </c>
      <c r="AL798" s="1">
        <v>1</v>
      </c>
      <c r="AM798" s="1">
        <v>1</v>
      </c>
      <c r="AN798" s="1">
        <v>1.6</v>
      </c>
    </row>
    <row r="799" spans="1:40">
      <c r="A799" s="1">
        <v>8206</v>
      </c>
      <c r="C799" s="1">
        <v>1.3480000000000001</v>
      </c>
      <c r="D799" s="1">
        <v>1.3480000000000001</v>
      </c>
      <c r="E799" s="1">
        <v>1.3480000000000001</v>
      </c>
      <c r="F799" s="1">
        <v>1.3480000000000001</v>
      </c>
      <c r="G799" s="1">
        <v>1.24</v>
      </c>
      <c r="H799" s="1">
        <v>1</v>
      </c>
      <c r="I799" s="1">
        <v>1</v>
      </c>
      <c r="J799" s="1">
        <v>1.24</v>
      </c>
      <c r="K799" s="1">
        <v>1.24</v>
      </c>
      <c r="L799" s="1">
        <v>1.24</v>
      </c>
      <c r="M799" s="1">
        <v>1.24</v>
      </c>
      <c r="N799" s="1">
        <v>1</v>
      </c>
      <c r="O799" s="1">
        <v>1</v>
      </c>
      <c r="P799" s="1">
        <v>1</v>
      </c>
      <c r="Q799" s="1">
        <v>1</v>
      </c>
      <c r="R799" s="1">
        <v>1</v>
      </c>
      <c r="S799" s="1">
        <v>1</v>
      </c>
      <c r="T799" s="1">
        <v>1</v>
      </c>
      <c r="U799" s="1">
        <v>1</v>
      </c>
      <c r="V799" s="1">
        <v>1.03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6</v>
      </c>
      <c r="AD799" s="1">
        <v>6</v>
      </c>
      <c r="AE799" s="1">
        <v>1.3480000000000001</v>
      </c>
      <c r="AF799" s="1">
        <v>1</v>
      </c>
      <c r="AG799" s="1">
        <v>1.24</v>
      </c>
      <c r="AH799" s="1">
        <v>1</v>
      </c>
      <c r="AI799" s="1">
        <v>2</v>
      </c>
      <c r="AJ799" s="1">
        <v>1</v>
      </c>
      <c r="AK799" s="1">
        <v>0</v>
      </c>
      <c r="AL799" s="1">
        <v>1</v>
      </c>
      <c r="AM799" s="1">
        <v>1</v>
      </c>
      <c r="AN799" s="1">
        <v>1.72</v>
      </c>
    </row>
    <row r="800" spans="1:40">
      <c r="A800" s="1">
        <v>8207</v>
      </c>
      <c r="C800" s="1">
        <v>1.4059999999999999</v>
      </c>
      <c r="D800" s="1">
        <v>1.4059999999999999</v>
      </c>
      <c r="E800" s="1">
        <v>1.4059999999999999</v>
      </c>
      <c r="F800" s="1">
        <v>1.4059999999999999</v>
      </c>
      <c r="G800" s="1">
        <v>1.28</v>
      </c>
      <c r="H800" s="1">
        <v>1</v>
      </c>
      <c r="I800" s="1">
        <v>1</v>
      </c>
      <c r="J800" s="1">
        <v>1.28</v>
      </c>
      <c r="K800" s="1">
        <v>1.28</v>
      </c>
      <c r="L800" s="1">
        <v>1.28</v>
      </c>
      <c r="M800" s="1">
        <v>1.28</v>
      </c>
      <c r="N800" s="1">
        <v>1</v>
      </c>
      <c r="O800" s="1">
        <v>1</v>
      </c>
      <c r="P800" s="1">
        <v>1</v>
      </c>
      <c r="Q800" s="1">
        <v>1</v>
      </c>
      <c r="R800" s="1">
        <v>1</v>
      </c>
      <c r="S800" s="1">
        <v>1</v>
      </c>
      <c r="T800" s="1">
        <v>1</v>
      </c>
      <c r="U800" s="1">
        <v>1</v>
      </c>
      <c r="V800" s="1">
        <v>1.04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7</v>
      </c>
      <c r="AD800" s="1">
        <v>7</v>
      </c>
      <c r="AE800" s="1">
        <v>1.4059999999999999</v>
      </c>
      <c r="AF800" s="1">
        <v>1</v>
      </c>
      <c r="AG800" s="1">
        <v>1.28</v>
      </c>
      <c r="AH800" s="1">
        <v>1</v>
      </c>
      <c r="AI800" s="1">
        <v>2.2000000000000002</v>
      </c>
      <c r="AJ800" s="1">
        <v>1</v>
      </c>
      <c r="AK800" s="1">
        <v>0</v>
      </c>
      <c r="AL800" s="1">
        <v>1</v>
      </c>
      <c r="AM800" s="1">
        <v>1</v>
      </c>
      <c r="AN800" s="1">
        <v>1.84</v>
      </c>
    </row>
    <row r="801" spans="1:40">
      <c r="A801" s="1">
        <v>8208</v>
      </c>
      <c r="C801" s="1">
        <v>1.464</v>
      </c>
      <c r="D801" s="1">
        <v>1.464</v>
      </c>
      <c r="E801" s="1">
        <v>1.464</v>
      </c>
      <c r="F801" s="1">
        <v>1.464</v>
      </c>
      <c r="G801" s="1">
        <v>1.32</v>
      </c>
      <c r="H801" s="1">
        <v>1</v>
      </c>
      <c r="I801" s="1">
        <v>1</v>
      </c>
      <c r="J801" s="1">
        <v>1.32</v>
      </c>
      <c r="K801" s="1">
        <v>1.32</v>
      </c>
      <c r="L801" s="1">
        <v>1.32</v>
      </c>
      <c r="M801" s="1">
        <v>1.32</v>
      </c>
      <c r="N801" s="1">
        <v>1</v>
      </c>
      <c r="O801" s="1">
        <v>1</v>
      </c>
      <c r="P801" s="1">
        <v>1</v>
      </c>
      <c r="Q801" s="1">
        <v>1</v>
      </c>
      <c r="R801" s="1">
        <v>1</v>
      </c>
      <c r="S801" s="1">
        <v>1</v>
      </c>
      <c r="T801" s="1">
        <v>1</v>
      </c>
      <c r="U801" s="1">
        <v>1</v>
      </c>
      <c r="V801" s="1">
        <v>1.04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8</v>
      </c>
      <c r="AD801" s="1">
        <v>8</v>
      </c>
      <c r="AE801" s="1">
        <v>1.464</v>
      </c>
      <c r="AF801" s="1">
        <v>1</v>
      </c>
      <c r="AG801" s="1">
        <v>1.32</v>
      </c>
      <c r="AH801" s="1">
        <v>1</v>
      </c>
      <c r="AI801" s="1">
        <v>2.4</v>
      </c>
      <c r="AJ801" s="1">
        <v>1</v>
      </c>
      <c r="AK801" s="1">
        <v>0</v>
      </c>
      <c r="AL801" s="1">
        <v>1</v>
      </c>
      <c r="AM801" s="1">
        <v>1</v>
      </c>
      <c r="AN801" s="1">
        <v>1.96</v>
      </c>
    </row>
    <row r="802" spans="1:40">
      <c r="A802" s="1">
        <v>8209</v>
      </c>
      <c r="C802" s="1">
        <v>1.522</v>
      </c>
      <c r="D802" s="1">
        <v>1.522</v>
      </c>
      <c r="E802" s="1">
        <v>1.522</v>
      </c>
      <c r="F802" s="1">
        <v>1.522</v>
      </c>
      <c r="G802" s="1">
        <v>1.36</v>
      </c>
      <c r="H802" s="1">
        <v>1</v>
      </c>
      <c r="I802" s="1">
        <v>1</v>
      </c>
      <c r="J802" s="1">
        <v>1.36</v>
      </c>
      <c r="K802" s="1">
        <v>1.36</v>
      </c>
      <c r="L802" s="1">
        <v>1.36</v>
      </c>
      <c r="M802" s="1">
        <v>1.36</v>
      </c>
      <c r="N802" s="1">
        <v>1</v>
      </c>
      <c r="O802" s="1">
        <v>1</v>
      </c>
      <c r="P802" s="1">
        <v>1</v>
      </c>
      <c r="Q802" s="1">
        <v>1</v>
      </c>
      <c r="R802" s="1">
        <v>1</v>
      </c>
      <c r="S802" s="1">
        <v>1</v>
      </c>
      <c r="T802" s="1">
        <v>1</v>
      </c>
      <c r="U802" s="1">
        <v>1</v>
      </c>
      <c r="V802" s="1">
        <v>1.04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9</v>
      </c>
      <c r="AD802" s="1">
        <v>9</v>
      </c>
      <c r="AE802" s="1">
        <v>1.522</v>
      </c>
      <c r="AF802" s="1">
        <v>1</v>
      </c>
      <c r="AG802" s="1">
        <v>1.36</v>
      </c>
      <c r="AH802" s="1">
        <v>1</v>
      </c>
      <c r="AI802" s="1">
        <v>2.6</v>
      </c>
      <c r="AJ802" s="1">
        <v>1</v>
      </c>
      <c r="AK802" s="1">
        <v>0</v>
      </c>
      <c r="AL802" s="1">
        <v>1</v>
      </c>
      <c r="AM802" s="1">
        <v>1</v>
      </c>
      <c r="AN802" s="1">
        <v>2.08</v>
      </c>
    </row>
    <row r="803" spans="1:40">
      <c r="A803" s="1">
        <v>8210</v>
      </c>
      <c r="C803" s="1">
        <v>1.58</v>
      </c>
      <c r="D803" s="1">
        <v>1.58</v>
      </c>
      <c r="E803" s="1">
        <v>1.58</v>
      </c>
      <c r="F803" s="1">
        <v>1.58</v>
      </c>
      <c r="G803" s="1">
        <v>1.4</v>
      </c>
      <c r="H803" s="1">
        <v>1</v>
      </c>
      <c r="I803" s="1">
        <v>1</v>
      </c>
      <c r="J803" s="1">
        <v>1.4</v>
      </c>
      <c r="K803" s="1">
        <v>1.4</v>
      </c>
      <c r="L803" s="1">
        <v>1.4</v>
      </c>
      <c r="M803" s="1">
        <v>1.4</v>
      </c>
      <c r="N803" s="1">
        <v>1</v>
      </c>
      <c r="O803" s="1">
        <v>1</v>
      </c>
      <c r="P803" s="1">
        <v>1</v>
      </c>
      <c r="Q803" s="1">
        <v>1</v>
      </c>
      <c r="R803" s="1">
        <v>1</v>
      </c>
      <c r="S803" s="1">
        <v>1</v>
      </c>
      <c r="T803" s="1">
        <v>1</v>
      </c>
      <c r="U803" s="1">
        <v>1</v>
      </c>
      <c r="V803" s="1">
        <v>1.05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10</v>
      </c>
      <c r="AD803" s="1">
        <v>10</v>
      </c>
      <c r="AE803" s="1">
        <v>1.58</v>
      </c>
      <c r="AF803" s="1">
        <v>1</v>
      </c>
      <c r="AG803" s="1">
        <v>1.4</v>
      </c>
      <c r="AH803" s="1">
        <v>1</v>
      </c>
      <c r="AI803" s="1">
        <v>2.8</v>
      </c>
      <c r="AJ803" s="1">
        <v>1</v>
      </c>
      <c r="AK803" s="1">
        <v>0</v>
      </c>
      <c r="AL803" s="1">
        <v>1</v>
      </c>
      <c r="AM803" s="1">
        <v>1</v>
      </c>
      <c r="AN803" s="1">
        <v>2.2000000000000002</v>
      </c>
    </row>
    <row r="804" spans="1:40">
      <c r="A804" s="1">
        <v>8211</v>
      </c>
      <c r="C804" s="1">
        <v>1.6379999999999999</v>
      </c>
      <c r="D804" s="1">
        <v>1.6379999999999999</v>
      </c>
      <c r="E804" s="1">
        <v>1.6379999999999999</v>
      </c>
      <c r="F804" s="1">
        <v>1.6379999999999999</v>
      </c>
      <c r="G804" s="1">
        <v>1.44</v>
      </c>
      <c r="H804" s="1">
        <v>1</v>
      </c>
      <c r="I804" s="1">
        <v>1</v>
      </c>
      <c r="J804" s="1">
        <v>1.43</v>
      </c>
      <c r="K804" s="1">
        <v>1.43</v>
      </c>
      <c r="L804" s="1">
        <v>1.43</v>
      </c>
      <c r="M804" s="1">
        <v>1.43</v>
      </c>
      <c r="N804" s="1">
        <v>1</v>
      </c>
      <c r="O804" s="1">
        <v>1</v>
      </c>
      <c r="P804" s="1">
        <v>1</v>
      </c>
      <c r="Q804" s="1">
        <v>1</v>
      </c>
      <c r="R804" s="1">
        <v>1</v>
      </c>
      <c r="S804" s="1">
        <v>1</v>
      </c>
      <c r="T804" s="1">
        <v>1</v>
      </c>
      <c r="U804" s="1">
        <v>1</v>
      </c>
      <c r="V804" s="1">
        <v>1.05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11</v>
      </c>
      <c r="AD804" s="1">
        <v>11</v>
      </c>
      <c r="AE804" s="1">
        <v>1.6379999999999999</v>
      </c>
      <c r="AF804" s="1">
        <v>1</v>
      </c>
      <c r="AG804" s="1">
        <v>1.43</v>
      </c>
      <c r="AH804" s="1">
        <v>1</v>
      </c>
      <c r="AI804" s="1">
        <v>3</v>
      </c>
      <c r="AJ804" s="1">
        <v>1</v>
      </c>
      <c r="AK804" s="1">
        <v>0</v>
      </c>
      <c r="AL804" s="1">
        <v>1</v>
      </c>
      <c r="AM804" s="1">
        <v>1</v>
      </c>
      <c r="AN804" s="1">
        <v>2.3199999999999998</v>
      </c>
    </row>
    <row r="805" spans="1:40">
      <c r="A805" s="1">
        <v>8212</v>
      </c>
      <c r="C805" s="1">
        <v>1.696</v>
      </c>
      <c r="D805" s="1">
        <v>1.696</v>
      </c>
      <c r="E805" s="1">
        <v>1.696</v>
      </c>
      <c r="F805" s="1">
        <v>1.696</v>
      </c>
      <c r="G805" s="1">
        <v>1.48</v>
      </c>
      <c r="H805" s="1">
        <v>1</v>
      </c>
      <c r="I805" s="1">
        <v>1</v>
      </c>
      <c r="J805" s="1">
        <v>1.46</v>
      </c>
      <c r="K805" s="1">
        <v>1.46</v>
      </c>
      <c r="L805" s="1">
        <v>1.46</v>
      </c>
      <c r="M805" s="1">
        <v>1.46</v>
      </c>
      <c r="N805" s="1">
        <v>1</v>
      </c>
      <c r="O805" s="1">
        <v>1</v>
      </c>
      <c r="P805" s="1">
        <v>1</v>
      </c>
      <c r="Q805" s="1">
        <v>1</v>
      </c>
      <c r="R805" s="1">
        <v>1</v>
      </c>
      <c r="S805" s="1">
        <v>1</v>
      </c>
      <c r="T805" s="1">
        <v>1</v>
      </c>
      <c r="U805" s="1">
        <v>1</v>
      </c>
      <c r="V805" s="1">
        <v>1.06</v>
      </c>
      <c r="W805" s="1">
        <v>0</v>
      </c>
      <c r="X805" s="1">
        <v>0</v>
      </c>
      <c r="Y805" s="1">
        <v>0</v>
      </c>
      <c r="Z805" s="1">
        <v>0</v>
      </c>
      <c r="AA805" s="1">
        <v>0</v>
      </c>
      <c r="AB805" s="1">
        <v>0</v>
      </c>
      <c r="AC805" s="1">
        <v>12</v>
      </c>
      <c r="AD805" s="1">
        <v>12</v>
      </c>
      <c r="AE805" s="1">
        <v>1.696</v>
      </c>
      <c r="AF805" s="1">
        <v>1</v>
      </c>
      <c r="AG805" s="1">
        <v>1.46</v>
      </c>
      <c r="AH805" s="1">
        <v>1</v>
      </c>
      <c r="AI805" s="1">
        <v>3.2</v>
      </c>
      <c r="AJ805" s="1">
        <v>1</v>
      </c>
      <c r="AK805" s="1">
        <v>0</v>
      </c>
      <c r="AL805" s="1">
        <v>1</v>
      </c>
      <c r="AM805" s="1">
        <v>1</v>
      </c>
      <c r="AN805" s="1">
        <v>2.44</v>
      </c>
    </row>
    <row r="806" spans="1:40">
      <c r="A806" s="1">
        <v>8213</v>
      </c>
      <c r="C806" s="1">
        <v>1.754</v>
      </c>
      <c r="D806" s="1">
        <v>1.754</v>
      </c>
      <c r="E806" s="1">
        <v>1.754</v>
      </c>
      <c r="F806" s="1">
        <v>1.754</v>
      </c>
      <c r="G806" s="1">
        <v>1.52</v>
      </c>
      <c r="H806" s="1">
        <v>1</v>
      </c>
      <c r="I806" s="1">
        <v>1</v>
      </c>
      <c r="J806" s="1">
        <v>1.49</v>
      </c>
      <c r="K806" s="1">
        <v>1.49</v>
      </c>
      <c r="L806" s="1">
        <v>1.49</v>
      </c>
      <c r="M806" s="1">
        <v>1.49</v>
      </c>
      <c r="N806" s="1">
        <v>1</v>
      </c>
      <c r="O806" s="1">
        <v>1</v>
      </c>
      <c r="P806" s="1">
        <v>1</v>
      </c>
      <c r="Q806" s="1">
        <v>1</v>
      </c>
      <c r="R806" s="1">
        <v>1</v>
      </c>
      <c r="S806" s="1">
        <v>1</v>
      </c>
      <c r="T806" s="1">
        <v>1</v>
      </c>
      <c r="U806" s="1">
        <v>1</v>
      </c>
      <c r="V806" s="1">
        <v>1.06</v>
      </c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13</v>
      </c>
      <c r="AD806" s="1">
        <v>13</v>
      </c>
      <c r="AE806" s="1">
        <v>1.754</v>
      </c>
      <c r="AF806" s="1">
        <v>1</v>
      </c>
      <c r="AG806" s="1">
        <v>1.49</v>
      </c>
      <c r="AH806" s="1">
        <v>1</v>
      </c>
      <c r="AI806" s="1">
        <v>3.4</v>
      </c>
      <c r="AJ806" s="1">
        <v>1</v>
      </c>
      <c r="AK806" s="1">
        <v>0</v>
      </c>
      <c r="AL806" s="1">
        <v>1</v>
      </c>
      <c r="AM806" s="1">
        <v>1</v>
      </c>
      <c r="AN806" s="1">
        <v>2.56</v>
      </c>
    </row>
    <row r="807" spans="1:40">
      <c r="A807" s="1">
        <v>8214</v>
      </c>
      <c r="C807" s="1">
        <v>1.8120000000000001</v>
      </c>
      <c r="D807" s="1">
        <v>1.8120000000000001</v>
      </c>
      <c r="E807" s="1">
        <v>1.8120000000000001</v>
      </c>
      <c r="F807" s="1">
        <v>1.8120000000000001</v>
      </c>
      <c r="G807" s="1">
        <v>1.56</v>
      </c>
      <c r="H807" s="1">
        <v>1</v>
      </c>
      <c r="I807" s="1">
        <v>1</v>
      </c>
      <c r="J807" s="1">
        <v>1.52</v>
      </c>
      <c r="K807" s="1">
        <v>1.52</v>
      </c>
      <c r="L807" s="1">
        <v>1.52</v>
      </c>
      <c r="M807" s="1">
        <v>1.52</v>
      </c>
      <c r="N807" s="1">
        <v>1</v>
      </c>
      <c r="O807" s="1">
        <v>1</v>
      </c>
      <c r="P807" s="1">
        <v>1</v>
      </c>
      <c r="Q807" s="1">
        <v>1</v>
      </c>
      <c r="R807" s="1">
        <v>1</v>
      </c>
      <c r="S807" s="1">
        <v>1</v>
      </c>
      <c r="T807" s="1">
        <v>1</v>
      </c>
      <c r="U807" s="1">
        <v>1</v>
      </c>
      <c r="V807" s="1">
        <v>1.07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14</v>
      </c>
      <c r="AD807" s="1">
        <v>14</v>
      </c>
      <c r="AE807" s="1">
        <v>1.8120000000000001</v>
      </c>
      <c r="AF807" s="1">
        <v>1</v>
      </c>
      <c r="AG807" s="1">
        <v>1.52</v>
      </c>
      <c r="AH807" s="1">
        <v>1</v>
      </c>
      <c r="AI807" s="1">
        <v>3.6</v>
      </c>
      <c r="AJ807" s="1">
        <v>1</v>
      </c>
      <c r="AK807" s="1">
        <v>0</v>
      </c>
      <c r="AL807" s="1">
        <v>1</v>
      </c>
      <c r="AM807" s="1">
        <v>1</v>
      </c>
      <c r="AN807" s="1">
        <v>2.68</v>
      </c>
    </row>
    <row r="808" spans="1:40">
      <c r="A808" s="1">
        <v>8215</v>
      </c>
      <c r="C808" s="1">
        <v>1.87</v>
      </c>
      <c r="D808" s="1">
        <v>1.87</v>
      </c>
      <c r="E808" s="1">
        <v>1.87</v>
      </c>
      <c r="F808" s="1">
        <v>1.87</v>
      </c>
      <c r="G808" s="1">
        <v>1.6</v>
      </c>
      <c r="H808" s="1">
        <v>1</v>
      </c>
      <c r="I808" s="1">
        <v>1</v>
      </c>
      <c r="J808" s="1">
        <v>1.55</v>
      </c>
      <c r="K808" s="1">
        <v>1.55</v>
      </c>
      <c r="L808" s="1">
        <v>1.55</v>
      </c>
      <c r="M808" s="1">
        <v>1.55</v>
      </c>
      <c r="N808" s="1">
        <v>1</v>
      </c>
      <c r="O808" s="1">
        <v>1</v>
      </c>
      <c r="P808" s="1">
        <v>1</v>
      </c>
      <c r="Q808" s="1">
        <v>1</v>
      </c>
      <c r="R808" s="1">
        <v>1</v>
      </c>
      <c r="S808" s="1">
        <v>1</v>
      </c>
      <c r="T808" s="1">
        <v>1</v>
      </c>
      <c r="U808" s="1">
        <v>1</v>
      </c>
      <c r="V808" s="1">
        <v>1.07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15</v>
      </c>
      <c r="AD808" s="1">
        <v>15</v>
      </c>
      <c r="AE808" s="1">
        <v>1.87</v>
      </c>
      <c r="AF808" s="1">
        <v>1</v>
      </c>
      <c r="AG808" s="1">
        <v>1.55</v>
      </c>
      <c r="AH808" s="1">
        <v>1</v>
      </c>
      <c r="AI808" s="1">
        <v>3.8</v>
      </c>
      <c r="AJ808" s="1">
        <v>1</v>
      </c>
      <c r="AK808" s="1">
        <v>0</v>
      </c>
      <c r="AL808" s="1">
        <v>1</v>
      </c>
      <c r="AM808" s="1">
        <v>1</v>
      </c>
      <c r="AN808" s="1">
        <v>2.8</v>
      </c>
    </row>
    <row r="809" spans="1:40">
      <c r="A809" s="1">
        <v>8216</v>
      </c>
      <c r="C809" s="1">
        <v>1.9279999999999999</v>
      </c>
      <c r="D809" s="1">
        <v>1.9279999999999999</v>
      </c>
      <c r="E809" s="1">
        <v>1.9279999999999999</v>
      </c>
      <c r="F809" s="1">
        <v>1.9279999999999999</v>
      </c>
      <c r="G809" s="1">
        <v>1.64</v>
      </c>
      <c r="H809" s="1">
        <v>1</v>
      </c>
      <c r="I809" s="1">
        <v>1</v>
      </c>
      <c r="J809" s="1">
        <v>1.58</v>
      </c>
      <c r="K809" s="1">
        <v>1.58</v>
      </c>
      <c r="L809" s="1">
        <v>1.58</v>
      </c>
      <c r="M809" s="1">
        <v>1.58</v>
      </c>
      <c r="N809" s="1">
        <v>1</v>
      </c>
      <c r="O809" s="1">
        <v>1</v>
      </c>
      <c r="P809" s="1">
        <v>1</v>
      </c>
      <c r="Q809" s="1">
        <v>1</v>
      </c>
      <c r="R809" s="1">
        <v>1</v>
      </c>
      <c r="S809" s="1">
        <v>1</v>
      </c>
      <c r="T809" s="1">
        <v>1</v>
      </c>
      <c r="U809" s="1">
        <v>1</v>
      </c>
      <c r="V809" s="1">
        <v>1.08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16</v>
      </c>
      <c r="AD809" s="1">
        <v>16</v>
      </c>
      <c r="AE809" s="1">
        <v>1.9279999999999999</v>
      </c>
      <c r="AF809" s="1">
        <v>1</v>
      </c>
      <c r="AG809" s="1">
        <v>1.58</v>
      </c>
      <c r="AH809" s="1">
        <v>1</v>
      </c>
      <c r="AI809" s="1">
        <v>4</v>
      </c>
      <c r="AJ809" s="1">
        <v>1</v>
      </c>
      <c r="AK809" s="1">
        <v>0</v>
      </c>
      <c r="AL809" s="1">
        <v>1</v>
      </c>
      <c r="AM809" s="1">
        <v>1</v>
      </c>
      <c r="AN809" s="1">
        <v>2.92</v>
      </c>
    </row>
    <row r="810" spans="1:40">
      <c r="A810" s="1">
        <v>8217</v>
      </c>
      <c r="C810" s="1">
        <v>1.986</v>
      </c>
      <c r="D810" s="1">
        <v>1.986</v>
      </c>
      <c r="E810" s="1">
        <v>1.986</v>
      </c>
      <c r="F810" s="1">
        <v>1.986</v>
      </c>
      <c r="G810" s="1">
        <v>1.68</v>
      </c>
      <c r="H810" s="1">
        <v>1</v>
      </c>
      <c r="I810" s="1">
        <v>1</v>
      </c>
      <c r="J810" s="1">
        <v>1.61</v>
      </c>
      <c r="K810" s="1">
        <v>1.61</v>
      </c>
      <c r="L810" s="1">
        <v>1.61</v>
      </c>
      <c r="M810" s="1">
        <v>1.61</v>
      </c>
      <c r="N810" s="1">
        <v>1</v>
      </c>
      <c r="O810" s="1">
        <v>1</v>
      </c>
      <c r="P810" s="1">
        <v>1</v>
      </c>
      <c r="Q810" s="1">
        <v>1</v>
      </c>
      <c r="R810" s="1">
        <v>1</v>
      </c>
      <c r="S810" s="1">
        <v>1</v>
      </c>
      <c r="T810" s="1">
        <v>1</v>
      </c>
      <c r="U810" s="1">
        <v>1</v>
      </c>
      <c r="V810" s="1">
        <v>1.08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17</v>
      </c>
      <c r="AD810" s="1">
        <v>17</v>
      </c>
      <c r="AE810" s="1">
        <v>1.986</v>
      </c>
      <c r="AF810" s="1">
        <v>1</v>
      </c>
      <c r="AG810" s="1">
        <v>1.61</v>
      </c>
      <c r="AH810" s="1">
        <v>1</v>
      </c>
      <c r="AI810" s="1">
        <v>4.2</v>
      </c>
      <c r="AJ810" s="1">
        <v>1</v>
      </c>
      <c r="AK810" s="1">
        <v>0</v>
      </c>
      <c r="AL810" s="1">
        <v>1</v>
      </c>
      <c r="AM810" s="1">
        <v>1</v>
      </c>
      <c r="AN810" s="1">
        <v>3.04</v>
      </c>
    </row>
    <row r="811" spans="1:40">
      <c r="A811" s="1">
        <v>8218</v>
      </c>
      <c r="C811" s="1">
        <v>2.044</v>
      </c>
      <c r="D811" s="1">
        <v>2.044</v>
      </c>
      <c r="E811" s="1">
        <v>2.044</v>
      </c>
      <c r="F811" s="1">
        <v>2.044</v>
      </c>
      <c r="G811" s="1">
        <v>1.72</v>
      </c>
      <c r="H811" s="1">
        <v>1</v>
      </c>
      <c r="I811" s="1">
        <v>1</v>
      </c>
      <c r="J811" s="1">
        <v>1.64</v>
      </c>
      <c r="K811" s="1">
        <v>1.64</v>
      </c>
      <c r="L811" s="1">
        <v>1.64</v>
      </c>
      <c r="M811" s="1">
        <v>1.64</v>
      </c>
      <c r="N811" s="1">
        <v>1</v>
      </c>
      <c r="O811" s="1">
        <v>1</v>
      </c>
      <c r="P811" s="1">
        <v>1</v>
      </c>
      <c r="Q811" s="1">
        <v>1</v>
      </c>
      <c r="R811" s="1">
        <v>1</v>
      </c>
      <c r="S811" s="1">
        <v>1</v>
      </c>
      <c r="T811" s="1">
        <v>1</v>
      </c>
      <c r="U811" s="1">
        <v>1</v>
      </c>
      <c r="V811" s="1">
        <v>1.0900000000000001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18</v>
      </c>
      <c r="AD811" s="1">
        <v>18</v>
      </c>
      <c r="AE811" s="1">
        <v>2.044</v>
      </c>
      <c r="AF811" s="1">
        <v>1</v>
      </c>
      <c r="AG811" s="1">
        <v>1.64</v>
      </c>
      <c r="AH811" s="1">
        <v>1</v>
      </c>
      <c r="AI811" s="1">
        <v>4.4000000000000004</v>
      </c>
      <c r="AJ811" s="1">
        <v>1</v>
      </c>
      <c r="AK811" s="1">
        <v>0</v>
      </c>
      <c r="AL811" s="1">
        <v>1</v>
      </c>
      <c r="AM811" s="1">
        <v>1</v>
      </c>
      <c r="AN811" s="1">
        <v>3.16</v>
      </c>
    </row>
    <row r="812" spans="1:40">
      <c r="A812" s="1">
        <v>8219</v>
      </c>
      <c r="C812" s="1">
        <v>2.1019999999999999</v>
      </c>
      <c r="D812" s="1">
        <v>2.1019999999999999</v>
      </c>
      <c r="E812" s="1">
        <v>2.1019999999999999</v>
      </c>
      <c r="F812" s="1">
        <v>2.1019999999999999</v>
      </c>
      <c r="G812" s="1">
        <v>1.76</v>
      </c>
      <c r="H812" s="1">
        <v>1</v>
      </c>
      <c r="I812" s="1">
        <v>1</v>
      </c>
      <c r="J812" s="1">
        <v>1.67</v>
      </c>
      <c r="K812" s="1">
        <v>1.67</v>
      </c>
      <c r="L812" s="1">
        <v>1.67</v>
      </c>
      <c r="M812" s="1">
        <v>1.67</v>
      </c>
      <c r="N812" s="1">
        <v>1</v>
      </c>
      <c r="O812" s="1">
        <v>1</v>
      </c>
      <c r="P812" s="1">
        <v>1</v>
      </c>
      <c r="Q812" s="1">
        <v>1</v>
      </c>
      <c r="R812" s="1">
        <v>1</v>
      </c>
      <c r="S812" s="1">
        <v>1</v>
      </c>
      <c r="T812" s="1">
        <v>1</v>
      </c>
      <c r="U812" s="1">
        <v>1</v>
      </c>
      <c r="V812" s="1">
        <v>1.0900000000000001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19</v>
      </c>
      <c r="AD812" s="1">
        <v>19</v>
      </c>
      <c r="AE812" s="1">
        <v>2.1019999999999999</v>
      </c>
      <c r="AF812" s="1">
        <v>1</v>
      </c>
      <c r="AG812" s="1">
        <v>1.67</v>
      </c>
      <c r="AH812" s="1">
        <v>1</v>
      </c>
      <c r="AI812" s="1">
        <v>4.5999999999999996</v>
      </c>
      <c r="AJ812" s="1">
        <v>1</v>
      </c>
      <c r="AK812" s="1">
        <v>0</v>
      </c>
      <c r="AL812" s="1">
        <v>1</v>
      </c>
      <c r="AM812" s="1">
        <v>1</v>
      </c>
      <c r="AN812" s="1">
        <v>3.28</v>
      </c>
    </row>
    <row r="813" spans="1:40">
      <c r="A813" s="1">
        <v>8220</v>
      </c>
      <c r="C813" s="1">
        <v>2.16</v>
      </c>
      <c r="D813" s="1">
        <v>2.16</v>
      </c>
      <c r="E813" s="1">
        <v>2.16</v>
      </c>
      <c r="F813" s="1">
        <v>2.16</v>
      </c>
      <c r="G813" s="1">
        <v>1.8</v>
      </c>
      <c r="H813" s="1">
        <v>1</v>
      </c>
      <c r="I813" s="1">
        <v>1</v>
      </c>
      <c r="J813" s="1">
        <v>1.7</v>
      </c>
      <c r="K813" s="1">
        <v>1.7</v>
      </c>
      <c r="L813" s="1">
        <v>1.7</v>
      </c>
      <c r="M813" s="1">
        <v>1.7</v>
      </c>
      <c r="N813" s="1">
        <v>1</v>
      </c>
      <c r="O813" s="1">
        <v>1</v>
      </c>
      <c r="P813" s="1">
        <v>1</v>
      </c>
      <c r="Q813" s="1">
        <v>1</v>
      </c>
      <c r="R813" s="1">
        <v>1</v>
      </c>
      <c r="S813" s="1">
        <v>1</v>
      </c>
      <c r="T813" s="1">
        <v>1</v>
      </c>
      <c r="U813" s="1">
        <v>1</v>
      </c>
      <c r="V813" s="1">
        <v>1.1000000000000001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20</v>
      </c>
      <c r="AD813" s="1">
        <v>20</v>
      </c>
      <c r="AE813" s="1">
        <v>2.16</v>
      </c>
      <c r="AF813" s="1">
        <v>1</v>
      </c>
      <c r="AG813" s="1">
        <v>1.7</v>
      </c>
      <c r="AH813" s="1">
        <v>1</v>
      </c>
      <c r="AI813" s="1">
        <v>4.8</v>
      </c>
      <c r="AJ813" s="1">
        <v>1</v>
      </c>
      <c r="AK813" s="1">
        <v>0</v>
      </c>
      <c r="AL813" s="1">
        <v>1</v>
      </c>
      <c r="AM813" s="1">
        <v>1</v>
      </c>
      <c r="AN813" s="1">
        <v>3.4</v>
      </c>
    </row>
    <row r="814" spans="1:40">
      <c r="A814" s="1">
        <v>8221</v>
      </c>
      <c r="C814" s="1">
        <v>2.218</v>
      </c>
      <c r="D814" s="1">
        <v>2.218</v>
      </c>
      <c r="E814" s="1">
        <v>2.218</v>
      </c>
      <c r="F814" s="1">
        <v>2.218</v>
      </c>
      <c r="G814" s="1">
        <v>1.84</v>
      </c>
      <c r="H814" s="1">
        <v>1</v>
      </c>
      <c r="I814" s="1">
        <v>1</v>
      </c>
      <c r="J814" s="1">
        <v>1.72</v>
      </c>
      <c r="K814" s="1">
        <v>1.72</v>
      </c>
      <c r="L814" s="1">
        <v>1.72</v>
      </c>
      <c r="M814" s="1">
        <v>1.72</v>
      </c>
      <c r="N814" s="1">
        <v>1</v>
      </c>
      <c r="O814" s="1">
        <v>1</v>
      </c>
      <c r="P814" s="1">
        <v>1</v>
      </c>
      <c r="Q814" s="1">
        <v>1</v>
      </c>
      <c r="R814" s="1">
        <v>1</v>
      </c>
      <c r="S814" s="1">
        <v>1</v>
      </c>
      <c r="T814" s="1">
        <v>1</v>
      </c>
      <c r="U814" s="1">
        <v>1</v>
      </c>
      <c r="V814" s="1">
        <v>1.1000000000000001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21</v>
      </c>
      <c r="AD814" s="1">
        <v>21</v>
      </c>
      <c r="AE814" s="1">
        <v>2.218</v>
      </c>
      <c r="AF814" s="1">
        <v>1</v>
      </c>
      <c r="AG814" s="1">
        <v>1.72</v>
      </c>
      <c r="AH814" s="1">
        <v>1</v>
      </c>
      <c r="AI814" s="1">
        <v>5</v>
      </c>
      <c r="AJ814" s="1">
        <v>1</v>
      </c>
      <c r="AK814" s="1">
        <v>0</v>
      </c>
      <c r="AL814" s="1">
        <v>1</v>
      </c>
      <c r="AM814" s="1">
        <v>1</v>
      </c>
      <c r="AN814" s="1">
        <v>3.52</v>
      </c>
    </row>
    <row r="815" spans="1:40">
      <c r="A815" s="1">
        <v>8222</v>
      </c>
      <c r="C815" s="1">
        <v>2.2759999999999998</v>
      </c>
      <c r="D815" s="1">
        <v>2.2759999999999998</v>
      </c>
      <c r="E815" s="1">
        <v>2.2759999999999998</v>
      </c>
      <c r="F815" s="1">
        <v>2.2759999999999998</v>
      </c>
      <c r="G815" s="1">
        <v>1.88</v>
      </c>
      <c r="H815" s="1">
        <v>1</v>
      </c>
      <c r="I815" s="1">
        <v>1</v>
      </c>
      <c r="J815" s="1">
        <v>1.74</v>
      </c>
      <c r="K815" s="1">
        <v>1.74</v>
      </c>
      <c r="L815" s="1">
        <v>1.74</v>
      </c>
      <c r="M815" s="1">
        <v>1.74</v>
      </c>
      <c r="N815" s="1">
        <v>1</v>
      </c>
      <c r="O815" s="1">
        <v>1</v>
      </c>
      <c r="P815" s="1">
        <v>1</v>
      </c>
      <c r="Q815" s="1">
        <v>1</v>
      </c>
      <c r="R815" s="1">
        <v>1</v>
      </c>
      <c r="S815" s="1">
        <v>1</v>
      </c>
      <c r="T815" s="1">
        <v>1</v>
      </c>
      <c r="U815" s="1">
        <v>1</v>
      </c>
      <c r="V815" s="1">
        <v>1.1100000000000001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22</v>
      </c>
      <c r="AD815" s="1">
        <v>22</v>
      </c>
      <c r="AE815" s="1">
        <v>2.2759999999999998</v>
      </c>
      <c r="AF815" s="1">
        <v>1</v>
      </c>
      <c r="AG815" s="1">
        <v>1.74</v>
      </c>
      <c r="AH815" s="1">
        <v>1</v>
      </c>
      <c r="AI815" s="1">
        <v>5.2</v>
      </c>
      <c r="AJ815" s="1">
        <v>1</v>
      </c>
      <c r="AK815" s="1">
        <v>0</v>
      </c>
      <c r="AL815" s="1">
        <v>1</v>
      </c>
      <c r="AM815" s="1">
        <v>1</v>
      </c>
      <c r="AN815" s="1">
        <v>3.64</v>
      </c>
    </row>
    <row r="816" spans="1:40">
      <c r="A816" s="1">
        <v>8223</v>
      </c>
      <c r="C816" s="1">
        <v>2.3340000000000001</v>
      </c>
      <c r="D816" s="1">
        <v>2.3340000000000001</v>
      </c>
      <c r="E816" s="1">
        <v>2.3340000000000001</v>
      </c>
      <c r="F816" s="1">
        <v>2.3340000000000001</v>
      </c>
      <c r="G816" s="1">
        <v>1.92</v>
      </c>
      <c r="H816" s="1">
        <v>1</v>
      </c>
      <c r="I816" s="1">
        <v>1</v>
      </c>
      <c r="J816" s="1">
        <v>1.76</v>
      </c>
      <c r="K816" s="1">
        <v>1.76</v>
      </c>
      <c r="L816" s="1">
        <v>1.76</v>
      </c>
      <c r="M816" s="1">
        <v>1.76</v>
      </c>
      <c r="N816" s="1">
        <v>1</v>
      </c>
      <c r="O816" s="1">
        <v>1</v>
      </c>
      <c r="P816" s="1">
        <v>1</v>
      </c>
      <c r="Q816" s="1">
        <v>1</v>
      </c>
      <c r="R816" s="1">
        <v>1</v>
      </c>
      <c r="S816" s="1">
        <v>1</v>
      </c>
      <c r="T816" s="1">
        <v>1</v>
      </c>
      <c r="U816" s="1">
        <v>1</v>
      </c>
      <c r="V816" s="1">
        <v>1.1100000000000001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23</v>
      </c>
      <c r="AD816" s="1">
        <v>23</v>
      </c>
      <c r="AE816" s="1">
        <v>2.3340000000000001</v>
      </c>
      <c r="AF816" s="1">
        <v>1</v>
      </c>
      <c r="AG816" s="1">
        <v>1.76</v>
      </c>
      <c r="AH816" s="1">
        <v>1</v>
      </c>
      <c r="AI816" s="1">
        <v>5.4</v>
      </c>
      <c r="AJ816" s="1">
        <v>1</v>
      </c>
      <c r="AK816" s="1">
        <v>0</v>
      </c>
      <c r="AL816" s="1">
        <v>1</v>
      </c>
      <c r="AM816" s="1">
        <v>1</v>
      </c>
      <c r="AN816" s="1">
        <v>3.76</v>
      </c>
    </row>
    <row r="817" spans="1:40">
      <c r="A817" s="1">
        <v>8224</v>
      </c>
      <c r="C817" s="1">
        <v>2.3919999999999999</v>
      </c>
      <c r="D817" s="1">
        <v>2.3919999999999999</v>
      </c>
      <c r="E817" s="1">
        <v>2.3919999999999999</v>
      </c>
      <c r="F817" s="1">
        <v>2.3919999999999999</v>
      </c>
      <c r="G817" s="1">
        <v>1.96</v>
      </c>
      <c r="H817" s="1">
        <v>1</v>
      </c>
      <c r="I817" s="1">
        <v>1</v>
      </c>
      <c r="J817" s="1">
        <v>1.78</v>
      </c>
      <c r="K817" s="1">
        <v>1.78</v>
      </c>
      <c r="L817" s="1">
        <v>1.78</v>
      </c>
      <c r="M817" s="1">
        <v>1.78</v>
      </c>
      <c r="N817" s="1">
        <v>1</v>
      </c>
      <c r="O817" s="1">
        <v>1</v>
      </c>
      <c r="P817" s="1">
        <v>1</v>
      </c>
      <c r="Q817" s="1">
        <v>1</v>
      </c>
      <c r="R817" s="1">
        <v>1</v>
      </c>
      <c r="S817" s="1">
        <v>1</v>
      </c>
      <c r="T817" s="1">
        <v>1</v>
      </c>
      <c r="U817" s="1">
        <v>1</v>
      </c>
      <c r="V817" s="1">
        <v>1.1100000000000001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B817" s="1">
        <v>0</v>
      </c>
      <c r="AC817" s="1">
        <v>24</v>
      </c>
      <c r="AD817" s="1">
        <v>24</v>
      </c>
      <c r="AE817" s="1">
        <v>2.3919999999999999</v>
      </c>
      <c r="AF817" s="1">
        <v>1</v>
      </c>
      <c r="AG817" s="1">
        <v>1.78</v>
      </c>
      <c r="AH817" s="1">
        <v>1</v>
      </c>
      <c r="AI817" s="1">
        <v>5.6</v>
      </c>
      <c r="AJ817" s="1">
        <v>1</v>
      </c>
      <c r="AK817" s="1">
        <v>0</v>
      </c>
      <c r="AL817" s="1">
        <v>1</v>
      </c>
      <c r="AM817" s="1">
        <v>1</v>
      </c>
      <c r="AN817" s="1">
        <v>3.88</v>
      </c>
    </row>
    <row r="818" spans="1:40">
      <c r="A818" s="1">
        <v>8225</v>
      </c>
      <c r="C818" s="1">
        <v>2.4500000000000002</v>
      </c>
      <c r="D818" s="1">
        <v>2.4500000000000002</v>
      </c>
      <c r="E818" s="1">
        <v>2.4500000000000002</v>
      </c>
      <c r="F818" s="1">
        <v>2.4500000000000002</v>
      </c>
      <c r="G818" s="1">
        <v>2</v>
      </c>
      <c r="H818" s="1">
        <v>1</v>
      </c>
      <c r="I818" s="1">
        <v>1</v>
      </c>
      <c r="J818" s="1">
        <v>1.8</v>
      </c>
      <c r="K818" s="1">
        <v>1.8</v>
      </c>
      <c r="L818" s="1">
        <v>1.8</v>
      </c>
      <c r="M818" s="1">
        <v>1.8</v>
      </c>
      <c r="N818" s="1">
        <v>1</v>
      </c>
      <c r="O818" s="1">
        <v>1</v>
      </c>
      <c r="P818" s="1">
        <v>1</v>
      </c>
      <c r="Q818" s="1">
        <v>1</v>
      </c>
      <c r="R818" s="1">
        <v>1</v>
      </c>
      <c r="S818" s="1">
        <v>1</v>
      </c>
      <c r="T818" s="1">
        <v>1</v>
      </c>
      <c r="U818" s="1">
        <v>1</v>
      </c>
      <c r="V818" s="1">
        <v>1.1200000000000001</v>
      </c>
      <c r="W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v>25</v>
      </c>
      <c r="AD818" s="1">
        <v>25</v>
      </c>
      <c r="AE818" s="1">
        <v>2.4500000000000002</v>
      </c>
      <c r="AF818" s="1">
        <v>1</v>
      </c>
      <c r="AG818" s="1">
        <v>1.8</v>
      </c>
      <c r="AH818" s="1">
        <v>1</v>
      </c>
      <c r="AI818" s="1">
        <v>5.8</v>
      </c>
      <c r="AJ818" s="1">
        <v>1</v>
      </c>
      <c r="AK818" s="1">
        <v>0</v>
      </c>
      <c r="AL818" s="1">
        <v>1</v>
      </c>
      <c r="AM818" s="1">
        <v>1</v>
      </c>
      <c r="AN818" s="1">
        <v>4</v>
      </c>
    </row>
    <row r="819" spans="1:40">
      <c r="A819" s="1">
        <v>8300</v>
      </c>
      <c r="C819" s="1">
        <v>1.2</v>
      </c>
      <c r="D819" s="1">
        <v>1.2</v>
      </c>
      <c r="E819" s="1">
        <v>1.2</v>
      </c>
      <c r="F819" s="1">
        <v>1.2</v>
      </c>
      <c r="G819" s="1">
        <v>1.2</v>
      </c>
      <c r="H819" s="1">
        <v>1</v>
      </c>
      <c r="I819" s="1">
        <v>1</v>
      </c>
      <c r="J819" s="1">
        <v>1</v>
      </c>
      <c r="K819" s="1">
        <v>1</v>
      </c>
      <c r="L819" s="1">
        <v>1</v>
      </c>
      <c r="M819" s="1">
        <v>1</v>
      </c>
      <c r="N819" s="1">
        <v>1</v>
      </c>
      <c r="O819" s="1">
        <v>1</v>
      </c>
      <c r="P819" s="1">
        <v>1</v>
      </c>
      <c r="Q819" s="1">
        <v>1</v>
      </c>
      <c r="R819" s="1">
        <v>1</v>
      </c>
      <c r="S819" s="1">
        <v>1</v>
      </c>
      <c r="T819" s="1">
        <v>1</v>
      </c>
      <c r="U819" s="1">
        <v>1</v>
      </c>
      <c r="V819" s="1">
        <v>1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1.2</v>
      </c>
      <c r="AF819" s="1">
        <v>1</v>
      </c>
      <c r="AG819" s="1">
        <v>1</v>
      </c>
      <c r="AH819" s="1">
        <v>1</v>
      </c>
      <c r="AI819" s="1">
        <v>1</v>
      </c>
      <c r="AJ819" s="1">
        <v>1</v>
      </c>
      <c r="AK819" s="1">
        <v>0</v>
      </c>
      <c r="AL819" s="1">
        <v>1</v>
      </c>
      <c r="AM819" s="1">
        <v>1</v>
      </c>
      <c r="AN819" s="1">
        <v>1</v>
      </c>
    </row>
    <row r="820" spans="1:40">
      <c r="A820" s="1">
        <v>8301</v>
      </c>
      <c r="C820" s="1">
        <v>1.31</v>
      </c>
      <c r="D820" s="1">
        <v>1.31</v>
      </c>
      <c r="E820" s="1">
        <v>1.31</v>
      </c>
      <c r="F820" s="1">
        <v>1.31</v>
      </c>
      <c r="G820" s="1">
        <v>1.28</v>
      </c>
      <c r="H820" s="1">
        <v>1</v>
      </c>
      <c r="I820" s="1">
        <v>1</v>
      </c>
      <c r="J820" s="1">
        <v>1.08</v>
      </c>
      <c r="K820" s="1">
        <v>1.08</v>
      </c>
      <c r="L820" s="1">
        <v>1.08</v>
      </c>
      <c r="M820" s="1">
        <v>1.08</v>
      </c>
      <c r="N820" s="1">
        <v>1</v>
      </c>
      <c r="O820" s="1">
        <v>1</v>
      </c>
      <c r="P820" s="1">
        <v>1</v>
      </c>
      <c r="Q820" s="1">
        <v>1</v>
      </c>
      <c r="R820" s="1">
        <v>1</v>
      </c>
      <c r="S820" s="1">
        <v>1</v>
      </c>
      <c r="T820" s="1">
        <v>1</v>
      </c>
      <c r="U820" s="1">
        <v>1</v>
      </c>
      <c r="V820" s="1">
        <v>1.01</v>
      </c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1</v>
      </c>
      <c r="AD820" s="1">
        <v>2</v>
      </c>
      <c r="AE820" s="1">
        <v>1.31</v>
      </c>
      <c r="AF820" s="1">
        <v>1</v>
      </c>
      <c r="AG820" s="1">
        <v>1.08</v>
      </c>
      <c r="AH820" s="1">
        <v>1</v>
      </c>
      <c r="AI820" s="1">
        <v>1</v>
      </c>
      <c r="AJ820" s="1">
        <v>1</v>
      </c>
      <c r="AK820" s="1">
        <v>0</v>
      </c>
      <c r="AL820" s="1">
        <v>1</v>
      </c>
      <c r="AM820" s="1">
        <v>1</v>
      </c>
      <c r="AN820" s="1">
        <v>1.3</v>
      </c>
    </row>
    <row r="821" spans="1:40">
      <c r="A821" s="1">
        <v>8302</v>
      </c>
      <c r="C821" s="1">
        <v>1.42</v>
      </c>
      <c r="D821" s="1">
        <v>1.42</v>
      </c>
      <c r="E821" s="1">
        <v>1.42</v>
      </c>
      <c r="F821" s="1">
        <v>1.42</v>
      </c>
      <c r="G821" s="1">
        <v>1.36</v>
      </c>
      <c r="H821" s="1">
        <v>1</v>
      </c>
      <c r="I821" s="1">
        <v>1</v>
      </c>
      <c r="J821" s="1">
        <v>1.1599999999999999</v>
      </c>
      <c r="K821" s="1">
        <v>1.1599999999999999</v>
      </c>
      <c r="L821" s="1">
        <v>1.1599999999999999</v>
      </c>
      <c r="M821" s="1">
        <v>1.1599999999999999</v>
      </c>
      <c r="N821" s="1">
        <v>1</v>
      </c>
      <c r="O821" s="1">
        <v>1</v>
      </c>
      <c r="P821" s="1">
        <v>1</v>
      </c>
      <c r="Q821" s="1">
        <v>1</v>
      </c>
      <c r="R821" s="1">
        <v>1</v>
      </c>
      <c r="S821" s="1">
        <v>1</v>
      </c>
      <c r="T821" s="1">
        <v>1</v>
      </c>
      <c r="U821" s="1">
        <v>1</v>
      </c>
      <c r="V821" s="1">
        <v>1.02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2</v>
      </c>
      <c r="AD821" s="1">
        <v>5</v>
      </c>
      <c r="AE821" s="1">
        <v>1.42</v>
      </c>
      <c r="AF821" s="1">
        <v>1</v>
      </c>
      <c r="AG821" s="1">
        <v>1.1599999999999999</v>
      </c>
      <c r="AH821" s="1">
        <v>1</v>
      </c>
      <c r="AI821" s="1">
        <v>1.5</v>
      </c>
      <c r="AJ821" s="1">
        <v>1</v>
      </c>
      <c r="AK821" s="1">
        <v>0</v>
      </c>
      <c r="AL821" s="1">
        <v>1</v>
      </c>
      <c r="AM821" s="1">
        <v>1</v>
      </c>
      <c r="AN821" s="1">
        <v>1.6</v>
      </c>
    </row>
    <row r="822" spans="1:40">
      <c r="A822" s="1">
        <v>8303</v>
      </c>
      <c r="C822" s="1">
        <v>1.53</v>
      </c>
      <c r="D822" s="1">
        <v>1.53</v>
      </c>
      <c r="E822" s="1">
        <v>1.53</v>
      </c>
      <c r="F822" s="1">
        <v>1.53</v>
      </c>
      <c r="G822" s="1">
        <v>1.44</v>
      </c>
      <c r="H822" s="1">
        <v>1</v>
      </c>
      <c r="I822" s="1">
        <v>1</v>
      </c>
      <c r="J822" s="1">
        <v>1.24</v>
      </c>
      <c r="K822" s="1">
        <v>1.24</v>
      </c>
      <c r="L822" s="1">
        <v>1.24</v>
      </c>
      <c r="M822" s="1">
        <v>1.24</v>
      </c>
      <c r="N822" s="1">
        <v>1</v>
      </c>
      <c r="O822" s="1">
        <v>1</v>
      </c>
      <c r="P822" s="1">
        <v>1</v>
      </c>
      <c r="Q822" s="1">
        <v>1</v>
      </c>
      <c r="R822" s="1">
        <v>1</v>
      </c>
      <c r="S822" s="1">
        <v>1</v>
      </c>
      <c r="T822" s="1">
        <v>1</v>
      </c>
      <c r="U822" s="1">
        <v>1</v>
      </c>
      <c r="V822" s="1">
        <v>1.03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3</v>
      </c>
      <c r="AD822" s="1">
        <v>7</v>
      </c>
      <c r="AE822" s="1">
        <v>1.53</v>
      </c>
      <c r="AF822" s="1">
        <v>1</v>
      </c>
      <c r="AG822" s="1">
        <v>1.24</v>
      </c>
      <c r="AH822" s="1">
        <v>1</v>
      </c>
      <c r="AI822" s="1">
        <v>2</v>
      </c>
      <c r="AJ822" s="1">
        <v>1</v>
      </c>
      <c r="AK822" s="1">
        <v>0</v>
      </c>
      <c r="AL822" s="1">
        <v>1</v>
      </c>
      <c r="AM822" s="1">
        <v>1</v>
      </c>
      <c r="AN822" s="1">
        <v>1.9</v>
      </c>
    </row>
    <row r="823" spans="1:40">
      <c r="A823" s="1">
        <v>8304</v>
      </c>
      <c r="C823" s="1">
        <v>1.64</v>
      </c>
      <c r="D823" s="1">
        <v>1.64</v>
      </c>
      <c r="E823" s="1">
        <v>1.64</v>
      </c>
      <c r="F823" s="1">
        <v>1.64</v>
      </c>
      <c r="G823" s="1">
        <v>1.52</v>
      </c>
      <c r="H823" s="1">
        <v>1</v>
      </c>
      <c r="I823" s="1">
        <v>1</v>
      </c>
      <c r="J823" s="1">
        <v>1.32</v>
      </c>
      <c r="K823" s="1">
        <v>1.32</v>
      </c>
      <c r="L823" s="1">
        <v>1.32</v>
      </c>
      <c r="M823" s="1">
        <v>1.32</v>
      </c>
      <c r="N823" s="1">
        <v>1</v>
      </c>
      <c r="O823" s="1">
        <v>1</v>
      </c>
      <c r="P823" s="1">
        <v>1</v>
      </c>
      <c r="Q823" s="1">
        <v>1</v>
      </c>
      <c r="R823" s="1">
        <v>1</v>
      </c>
      <c r="S823" s="1">
        <v>1</v>
      </c>
      <c r="T823" s="1">
        <v>1</v>
      </c>
      <c r="U823" s="1">
        <v>1</v>
      </c>
      <c r="V823" s="1">
        <v>1.04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v>4</v>
      </c>
      <c r="AD823" s="1">
        <v>10</v>
      </c>
      <c r="AE823" s="1">
        <v>1.64</v>
      </c>
      <c r="AF823" s="1">
        <v>1</v>
      </c>
      <c r="AG823" s="1">
        <v>1.32</v>
      </c>
      <c r="AH823" s="1">
        <v>1</v>
      </c>
      <c r="AI823" s="1">
        <v>2.5</v>
      </c>
      <c r="AJ823" s="1">
        <v>1</v>
      </c>
      <c r="AK823" s="1">
        <v>0</v>
      </c>
      <c r="AL823" s="1">
        <v>1</v>
      </c>
      <c r="AM823" s="1">
        <v>1</v>
      </c>
      <c r="AN823" s="1">
        <v>2.2000000000000002</v>
      </c>
    </row>
    <row r="824" spans="1:40">
      <c r="A824" s="1">
        <v>8305</v>
      </c>
      <c r="C824" s="1">
        <v>1.75</v>
      </c>
      <c r="D824" s="1">
        <v>1.75</v>
      </c>
      <c r="E824" s="1">
        <v>1.75</v>
      </c>
      <c r="F824" s="1">
        <v>1.75</v>
      </c>
      <c r="G824" s="1">
        <v>1.6</v>
      </c>
      <c r="H824" s="1">
        <v>1</v>
      </c>
      <c r="I824" s="1">
        <v>1</v>
      </c>
      <c r="J824" s="1">
        <v>1.4</v>
      </c>
      <c r="K824" s="1">
        <v>1.4</v>
      </c>
      <c r="L824" s="1">
        <v>1.4</v>
      </c>
      <c r="M824" s="1">
        <v>1.4</v>
      </c>
      <c r="N824" s="1">
        <v>1</v>
      </c>
      <c r="O824" s="1">
        <v>1</v>
      </c>
      <c r="P824" s="1">
        <v>1</v>
      </c>
      <c r="Q824" s="1">
        <v>1</v>
      </c>
      <c r="R824" s="1">
        <v>1</v>
      </c>
      <c r="S824" s="1">
        <v>1</v>
      </c>
      <c r="T824" s="1">
        <v>1</v>
      </c>
      <c r="U824" s="1">
        <v>1</v>
      </c>
      <c r="V824" s="1">
        <v>1.05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5</v>
      </c>
      <c r="AD824" s="1">
        <v>12</v>
      </c>
      <c r="AE824" s="1">
        <v>1.75</v>
      </c>
      <c r="AF824" s="1">
        <v>1</v>
      </c>
      <c r="AG824" s="1">
        <v>1.4</v>
      </c>
      <c r="AH824" s="1">
        <v>1</v>
      </c>
      <c r="AI824" s="1">
        <v>3</v>
      </c>
      <c r="AJ824" s="1">
        <v>1</v>
      </c>
      <c r="AK824" s="1">
        <v>0</v>
      </c>
      <c r="AL824" s="1">
        <v>1</v>
      </c>
      <c r="AM824" s="1">
        <v>1</v>
      </c>
      <c r="AN824" s="1">
        <v>2.5</v>
      </c>
    </row>
    <row r="825" spans="1:40">
      <c r="A825" s="1">
        <v>8306</v>
      </c>
      <c r="C825" s="1">
        <v>1.86</v>
      </c>
      <c r="D825" s="1">
        <v>1.86</v>
      </c>
      <c r="E825" s="1">
        <v>1.86</v>
      </c>
      <c r="F825" s="1">
        <v>1.86</v>
      </c>
      <c r="G825" s="1">
        <v>1.68</v>
      </c>
      <c r="H825" s="1">
        <v>1</v>
      </c>
      <c r="I825" s="1">
        <v>1</v>
      </c>
      <c r="J825" s="1">
        <v>1.48</v>
      </c>
      <c r="K825" s="1">
        <v>1.48</v>
      </c>
      <c r="L825" s="1">
        <v>1.48</v>
      </c>
      <c r="M825" s="1">
        <v>1.48</v>
      </c>
      <c r="N825" s="1">
        <v>1</v>
      </c>
      <c r="O825" s="1">
        <v>1</v>
      </c>
      <c r="P825" s="1">
        <v>1</v>
      </c>
      <c r="Q825" s="1">
        <v>1</v>
      </c>
      <c r="R825" s="1">
        <v>1</v>
      </c>
      <c r="S825" s="1">
        <v>1</v>
      </c>
      <c r="T825" s="1">
        <v>1</v>
      </c>
      <c r="U825" s="1">
        <v>1</v>
      </c>
      <c r="V825" s="1">
        <v>1.06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6</v>
      </c>
      <c r="AD825" s="1">
        <v>15</v>
      </c>
      <c r="AE825" s="1">
        <v>1.86</v>
      </c>
      <c r="AF825" s="1">
        <v>1</v>
      </c>
      <c r="AG825" s="1">
        <v>1.48</v>
      </c>
      <c r="AH825" s="1">
        <v>1</v>
      </c>
      <c r="AI825" s="1">
        <v>3.5</v>
      </c>
      <c r="AJ825" s="1">
        <v>1</v>
      </c>
      <c r="AK825" s="1">
        <v>0</v>
      </c>
      <c r="AL825" s="1">
        <v>1</v>
      </c>
      <c r="AM825" s="1">
        <v>1</v>
      </c>
      <c r="AN825" s="1">
        <v>2.8</v>
      </c>
    </row>
    <row r="826" spans="1:40">
      <c r="A826" s="1">
        <v>8307</v>
      </c>
      <c r="C826" s="1">
        <v>1.97</v>
      </c>
      <c r="D826" s="1">
        <v>1.97</v>
      </c>
      <c r="E826" s="1">
        <v>1.97</v>
      </c>
      <c r="F826" s="1">
        <v>1.97</v>
      </c>
      <c r="G826" s="1">
        <v>1.76</v>
      </c>
      <c r="H826" s="1">
        <v>1</v>
      </c>
      <c r="I826" s="1">
        <v>1</v>
      </c>
      <c r="J826" s="1">
        <v>1.56</v>
      </c>
      <c r="K826" s="1">
        <v>1.56</v>
      </c>
      <c r="L826" s="1">
        <v>1.56</v>
      </c>
      <c r="M826" s="1">
        <v>1.56</v>
      </c>
      <c r="N826" s="1">
        <v>1</v>
      </c>
      <c r="O826" s="1">
        <v>1</v>
      </c>
      <c r="P826" s="1">
        <v>1</v>
      </c>
      <c r="Q826" s="1">
        <v>1</v>
      </c>
      <c r="R826" s="1">
        <v>1</v>
      </c>
      <c r="S826" s="1">
        <v>1</v>
      </c>
      <c r="T826" s="1">
        <v>1</v>
      </c>
      <c r="U826" s="1">
        <v>1</v>
      </c>
      <c r="V826" s="1">
        <v>1.07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7</v>
      </c>
      <c r="AD826" s="1">
        <v>17</v>
      </c>
      <c r="AE826" s="1">
        <v>1.97</v>
      </c>
      <c r="AF826" s="1">
        <v>1</v>
      </c>
      <c r="AG826" s="1">
        <v>1.56</v>
      </c>
      <c r="AH826" s="1">
        <v>1</v>
      </c>
      <c r="AI826" s="1">
        <v>4</v>
      </c>
      <c r="AJ826" s="1">
        <v>1</v>
      </c>
      <c r="AK826" s="1">
        <v>0</v>
      </c>
      <c r="AL826" s="1">
        <v>1</v>
      </c>
      <c r="AM826" s="1">
        <v>1</v>
      </c>
      <c r="AN826" s="1">
        <v>3.1</v>
      </c>
    </row>
    <row r="827" spans="1:40">
      <c r="A827" s="1">
        <v>8308</v>
      </c>
      <c r="C827" s="1">
        <v>2.08</v>
      </c>
      <c r="D827" s="1">
        <v>2.08</v>
      </c>
      <c r="E827" s="1">
        <v>2.08</v>
      </c>
      <c r="F827" s="1">
        <v>2.08</v>
      </c>
      <c r="G827" s="1">
        <v>1.84</v>
      </c>
      <c r="H827" s="1">
        <v>1</v>
      </c>
      <c r="I827" s="1">
        <v>1</v>
      </c>
      <c r="J827" s="1">
        <v>1.64</v>
      </c>
      <c r="K827" s="1">
        <v>1.64</v>
      </c>
      <c r="L827" s="1">
        <v>1.64</v>
      </c>
      <c r="M827" s="1">
        <v>1.64</v>
      </c>
      <c r="N827" s="1">
        <v>1</v>
      </c>
      <c r="O827" s="1">
        <v>1</v>
      </c>
      <c r="P827" s="1">
        <v>1</v>
      </c>
      <c r="Q827" s="1">
        <v>1</v>
      </c>
      <c r="R827" s="1">
        <v>1</v>
      </c>
      <c r="S827" s="1">
        <v>1</v>
      </c>
      <c r="T827" s="1">
        <v>1</v>
      </c>
      <c r="U827" s="1">
        <v>1</v>
      </c>
      <c r="V827" s="1">
        <v>1.08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8</v>
      </c>
      <c r="AD827" s="1">
        <v>20</v>
      </c>
      <c r="AE827" s="1">
        <v>2.08</v>
      </c>
      <c r="AF827" s="1">
        <v>1</v>
      </c>
      <c r="AG827" s="1">
        <v>1.64</v>
      </c>
      <c r="AH827" s="1">
        <v>1</v>
      </c>
      <c r="AI827" s="1">
        <v>4.5</v>
      </c>
      <c r="AJ827" s="1">
        <v>1</v>
      </c>
      <c r="AK827" s="1">
        <v>0</v>
      </c>
      <c r="AL827" s="1">
        <v>1</v>
      </c>
      <c r="AM827" s="1">
        <v>1</v>
      </c>
      <c r="AN827" s="1">
        <v>3.4</v>
      </c>
    </row>
    <row r="828" spans="1:40">
      <c r="A828" s="1">
        <v>8309</v>
      </c>
      <c r="C828" s="1">
        <v>2.19</v>
      </c>
      <c r="D828" s="1">
        <v>2.19</v>
      </c>
      <c r="E828" s="1">
        <v>2.19</v>
      </c>
      <c r="F828" s="1">
        <v>2.19</v>
      </c>
      <c r="G828" s="1">
        <v>1.92</v>
      </c>
      <c r="H828" s="1">
        <v>1</v>
      </c>
      <c r="I828" s="1">
        <v>1</v>
      </c>
      <c r="J828" s="1">
        <v>1.72</v>
      </c>
      <c r="K828" s="1">
        <v>1.72</v>
      </c>
      <c r="L828" s="1">
        <v>1.72</v>
      </c>
      <c r="M828" s="1">
        <v>1.72</v>
      </c>
      <c r="N828" s="1">
        <v>1</v>
      </c>
      <c r="O828" s="1">
        <v>1</v>
      </c>
      <c r="P828" s="1">
        <v>1</v>
      </c>
      <c r="Q828" s="1">
        <v>1</v>
      </c>
      <c r="R828" s="1">
        <v>1</v>
      </c>
      <c r="S828" s="1">
        <v>1</v>
      </c>
      <c r="T828" s="1">
        <v>1</v>
      </c>
      <c r="U828" s="1">
        <v>1</v>
      </c>
      <c r="V828" s="1">
        <v>1.0900000000000001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9</v>
      </c>
      <c r="AD828" s="1">
        <v>22</v>
      </c>
      <c r="AE828" s="1">
        <v>2.19</v>
      </c>
      <c r="AF828" s="1">
        <v>1</v>
      </c>
      <c r="AG828" s="1">
        <v>1.72</v>
      </c>
      <c r="AH828" s="1">
        <v>1</v>
      </c>
      <c r="AI828" s="1">
        <v>5</v>
      </c>
      <c r="AJ828" s="1">
        <v>1</v>
      </c>
      <c r="AK828" s="1">
        <v>0</v>
      </c>
      <c r="AL828" s="1">
        <v>1</v>
      </c>
      <c r="AM828" s="1">
        <v>1</v>
      </c>
      <c r="AN828" s="1">
        <v>3.7</v>
      </c>
    </row>
    <row r="829" spans="1:40">
      <c r="A829" s="1">
        <v>8310</v>
      </c>
      <c r="C829" s="1">
        <v>2.2999999999999998</v>
      </c>
      <c r="D829" s="1">
        <v>2.2999999999999998</v>
      </c>
      <c r="E829" s="1">
        <v>2.2999999999999998</v>
      </c>
      <c r="F829" s="1">
        <v>2.2999999999999998</v>
      </c>
      <c r="G829" s="1">
        <v>2</v>
      </c>
      <c r="H829" s="1">
        <v>1</v>
      </c>
      <c r="I829" s="1">
        <v>1</v>
      </c>
      <c r="J829" s="1">
        <v>1.8</v>
      </c>
      <c r="K829" s="1">
        <v>1.8</v>
      </c>
      <c r="L829" s="1">
        <v>1.8</v>
      </c>
      <c r="M829" s="1">
        <v>1.8</v>
      </c>
      <c r="N829" s="1">
        <v>1</v>
      </c>
      <c r="O829" s="1">
        <v>1</v>
      </c>
      <c r="P829" s="1">
        <v>1</v>
      </c>
      <c r="Q829" s="1">
        <v>1</v>
      </c>
      <c r="R829" s="1">
        <v>1</v>
      </c>
      <c r="S829" s="1">
        <v>1</v>
      </c>
      <c r="T829" s="1">
        <v>1</v>
      </c>
      <c r="U829" s="1">
        <v>1</v>
      </c>
      <c r="V829" s="1">
        <v>1.1000000000000001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10</v>
      </c>
      <c r="AD829" s="1">
        <v>25</v>
      </c>
      <c r="AE829" s="1">
        <v>2.2999999999999998</v>
      </c>
      <c r="AF829" s="1">
        <v>1</v>
      </c>
      <c r="AG829" s="1">
        <v>1.8</v>
      </c>
      <c r="AH829" s="1">
        <v>1</v>
      </c>
      <c r="AI829" s="1">
        <v>6</v>
      </c>
      <c r="AJ829" s="1">
        <v>1</v>
      </c>
      <c r="AK829" s="1">
        <v>0</v>
      </c>
      <c r="AL829" s="1">
        <v>1</v>
      </c>
      <c r="AM829" s="1">
        <v>1</v>
      </c>
      <c r="AN829" s="1">
        <v>4</v>
      </c>
    </row>
    <row r="830" spans="1:40">
      <c r="A830" s="1">
        <v>8500</v>
      </c>
      <c r="C830" s="1">
        <v>1.2</v>
      </c>
      <c r="D830" s="1">
        <v>1.2</v>
      </c>
      <c r="E830" s="1">
        <v>1.2</v>
      </c>
      <c r="F830" s="1">
        <v>1.2</v>
      </c>
      <c r="G830" s="1">
        <v>1.2</v>
      </c>
      <c r="H830" s="1">
        <v>1</v>
      </c>
      <c r="I830" s="1">
        <v>1</v>
      </c>
      <c r="J830" s="1">
        <v>1</v>
      </c>
      <c r="K830" s="1">
        <v>1</v>
      </c>
      <c r="L830" s="1">
        <v>1</v>
      </c>
      <c r="M830" s="1">
        <v>1</v>
      </c>
      <c r="N830" s="1">
        <v>1</v>
      </c>
      <c r="O830" s="1">
        <v>1</v>
      </c>
      <c r="P830" s="1">
        <v>1</v>
      </c>
      <c r="Q830" s="1">
        <v>1</v>
      </c>
      <c r="R830" s="1">
        <v>1</v>
      </c>
      <c r="S830" s="1">
        <v>1</v>
      </c>
      <c r="T830" s="1">
        <v>1</v>
      </c>
      <c r="U830" s="1">
        <v>1</v>
      </c>
      <c r="V830" s="1">
        <v>1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1.2</v>
      </c>
      <c r="AF830" s="1">
        <v>1</v>
      </c>
      <c r="AG830" s="1">
        <v>1</v>
      </c>
      <c r="AH830" s="1">
        <v>1</v>
      </c>
      <c r="AI830" s="1">
        <v>1</v>
      </c>
      <c r="AJ830" s="1">
        <v>1</v>
      </c>
      <c r="AK830" s="1">
        <v>0</v>
      </c>
      <c r="AL830" s="1">
        <v>1</v>
      </c>
      <c r="AM830" s="1">
        <v>1</v>
      </c>
      <c r="AN830" s="1">
        <v>1</v>
      </c>
    </row>
    <row r="831" spans="1:40">
      <c r="A831" s="1">
        <v>8501</v>
      </c>
      <c r="C831" s="1">
        <v>1.335</v>
      </c>
      <c r="D831" s="1">
        <v>1.335</v>
      </c>
      <c r="E831" s="1">
        <v>1.335</v>
      </c>
      <c r="F831" s="1">
        <v>1.335</v>
      </c>
      <c r="G831" s="1">
        <v>1.28</v>
      </c>
      <c r="H831" s="1">
        <v>1</v>
      </c>
      <c r="I831" s="1">
        <v>1</v>
      </c>
      <c r="J831" s="1">
        <v>1.08</v>
      </c>
      <c r="K831" s="1">
        <v>1.08</v>
      </c>
      <c r="L831" s="1">
        <v>1.08</v>
      </c>
      <c r="M831" s="1">
        <v>1.08</v>
      </c>
      <c r="N831" s="1">
        <v>1</v>
      </c>
      <c r="O831" s="1">
        <v>1</v>
      </c>
      <c r="P831" s="1">
        <v>1</v>
      </c>
      <c r="Q831" s="1">
        <v>1</v>
      </c>
      <c r="R831" s="1">
        <v>1</v>
      </c>
      <c r="S831" s="1">
        <v>1</v>
      </c>
      <c r="T831" s="1">
        <v>1</v>
      </c>
      <c r="U831" s="1">
        <v>1</v>
      </c>
      <c r="V831" s="1">
        <v>1.02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1</v>
      </c>
      <c r="AD831" s="1">
        <v>2</v>
      </c>
      <c r="AE831" s="1">
        <v>1.335</v>
      </c>
      <c r="AF831" s="1">
        <v>1</v>
      </c>
      <c r="AG831" s="1">
        <v>1.08</v>
      </c>
      <c r="AH831" s="1">
        <v>1</v>
      </c>
      <c r="AI831" s="1">
        <v>1</v>
      </c>
      <c r="AJ831" s="1">
        <v>1</v>
      </c>
      <c r="AK831" s="1">
        <v>0</v>
      </c>
      <c r="AL831" s="1">
        <v>1</v>
      </c>
      <c r="AM831" s="1">
        <v>1</v>
      </c>
      <c r="AN831" s="1">
        <v>1.3</v>
      </c>
    </row>
    <row r="832" spans="1:40">
      <c r="A832" s="1">
        <v>8502</v>
      </c>
      <c r="C832" s="1">
        <v>1.47</v>
      </c>
      <c r="D832" s="1">
        <v>1.47</v>
      </c>
      <c r="E832" s="1">
        <v>1.47</v>
      </c>
      <c r="F832" s="1">
        <v>1.47</v>
      </c>
      <c r="G832" s="1">
        <v>1.36</v>
      </c>
      <c r="H832" s="1">
        <v>1</v>
      </c>
      <c r="I832" s="1">
        <v>1</v>
      </c>
      <c r="J832" s="1">
        <v>1.1599999999999999</v>
      </c>
      <c r="K832" s="1">
        <v>1.1599999999999999</v>
      </c>
      <c r="L832" s="1">
        <v>1.1599999999999999</v>
      </c>
      <c r="M832" s="1">
        <v>1.1599999999999999</v>
      </c>
      <c r="N832" s="1">
        <v>1</v>
      </c>
      <c r="O832" s="1">
        <v>1</v>
      </c>
      <c r="P832" s="1">
        <v>1</v>
      </c>
      <c r="Q832" s="1">
        <v>1</v>
      </c>
      <c r="R832" s="1">
        <v>1</v>
      </c>
      <c r="S832" s="1">
        <v>1</v>
      </c>
      <c r="T832" s="1">
        <v>1</v>
      </c>
      <c r="U832" s="1">
        <v>1</v>
      </c>
      <c r="V832" s="1">
        <v>1.04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2</v>
      </c>
      <c r="AD832" s="1">
        <v>5</v>
      </c>
      <c r="AE832" s="1">
        <v>1.47</v>
      </c>
      <c r="AF832" s="1">
        <v>1</v>
      </c>
      <c r="AG832" s="1">
        <v>1.1599999999999999</v>
      </c>
      <c r="AH832" s="1">
        <v>1</v>
      </c>
      <c r="AI832" s="1">
        <v>1.5</v>
      </c>
      <c r="AJ832" s="1">
        <v>1</v>
      </c>
      <c r="AK832" s="1">
        <v>0</v>
      </c>
      <c r="AL832" s="1">
        <v>1</v>
      </c>
      <c r="AM832" s="1">
        <v>1</v>
      </c>
      <c r="AN832" s="1">
        <v>1.6</v>
      </c>
    </row>
    <row r="833" spans="1:40">
      <c r="A833" s="1">
        <v>8503</v>
      </c>
      <c r="C833" s="1">
        <v>1.605</v>
      </c>
      <c r="D833" s="1">
        <v>1.605</v>
      </c>
      <c r="E833" s="1">
        <v>1.605</v>
      </c>
      <c r="F833" s="1">
        <v>1.605</v>
      </c>
      <c r="G833" s="1">
        <v>1.44</v>
      </c>
      <c r="H833" s="1">
        <v>1</v>
      </c>
      <c r="I833" s="1">
        <v>1</v>
      </c>
      <c r="J833" s="1">
        <v>1.24</v>
      </c>
      <c r="K833" s="1">
        <v>1.24</v>
      </c>
      <c r="L833" s="1">
        <v>1.24</v>
      </c>
      <c r="M833" s="1">
        <v>1.24</v>
      </c>
      <c r="N833" s="1">
        <v>1</v>
      </c>
      <c r="O833" s="1">
        <v>1</v>
      </c>
      <c r="P833" s="1">
        <v>1</v>
      </c>
      <c r="Q833" s="1">
        <v>1</v>
      </c>
      <c r="R833" s="1">
        <v>1</v>
      </c>
      <c r="S833" s="1">
        <v>1</v>
      </c>
      <c r="T833" s="1">
        <v>1</v>
      </c>
      <c r="U833" s="1">
        <v>1</v>
      </c>
      <c r="V833" s="1">
        <v>1.06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3</v>
      </c>
      <c r="AD833" s="1">
        <v>7</v>
      </c>
      <c r="AE833" s="1">
        <v>1.605</v>
      </c>
      <c r="AF833" s="1">
        <v>1</v>
      </c>
      <c r="AG833" s="1">
        <v>1.24</v>
      </c>
      <c r="AH833" s="1">
        <v>1</v>
      </c>
      <c r="AI833" s="1">
        <v>2</v>
      </c>
      <c r="AJ833" s="1">
        <v>1</v>
      </c>
      <c r="AK833" s="1">
        <v>0</v>
      </c>
      <c r="AL833" s="1">
        <v>1</v>
      </c>
      <c r="AM833" s="1">
        <v>1</v>
      </c>
      <c r="AN833" s="1">
        <v>1.9</v>
      </c>
    </row>
    <row r="834" spans="1:40">
      <c r="A834" s="1">
        <v>8504</v>
      </c>
      <c r="C834" s="1">
        <v>1.74</v>
      </c>
      <c r="D834" s="1">
        <v>1.74</v>
      </c>
      <c r="E834" s="1">
        <v>1.74</v>
      </c>
      <c r="F834" s="1">
        <v>1.74</v>
      </c>
      <c r="G834" s="1">
        <v>1.52</v>
      </c>
      <c r="H834" s="1">
        <v>1</v>
      </c>
      <c r="I834" s="1">
        <v>1</v>
      </c>
      <c r="J834" s="1">
        <v>1.32</v>
      </c>
      <c r="K834" s="1">
        <v>1.32</v>
      </c>
      <c r="L834" s="1">
        <v>1.32</v>
      </c>
      <c r="M834" s="1">
        <v>1.32</v>
      </c>
      <c r="N834" s="1">
        <v>1</v>
      </c>
      <c r="O834" s="1">
        <v>1</v>
      </c>
      <c r="P834" s="1">
        <v>1</v>
      </c>
      <c r="Q834" s="1">
        <v>1</v>
      </c>
      <c r="R834" s="1">
        <v>1</v>
      </c>
      <c r="S834" s="1">
        <v>1</v>
      </c>
      <c r="T834" s="1">
        <v>1</v>
      </c>
      <c r="U834" s="1">
        <v>1</v>
      </c>
      <c r="V834" s="1">
        <v>1.07</v>
      </c>
      <c r="W834" s="1">
        <v>0</v>
      </c>
      <c r="X834" s="1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v>4</v>
      </c>
      <c r="AD834" s="1">
        <v>10</v>
      </c>
      <c r="AE834" s="1">
        <v>1.74</v>
      </c>
      <c r="AF834" s="1">
        <v>1</v>
      </c>
      <c r="AG834" s="1">
        <v>1.32</v>
      </c>
      <c r="AH834" s="1">
        <v>1</v>
      </c>
      <c r="AI834" s="1">
        <v>2.5</v>
      </c>
      <c r="AJ834" s="1">
        <v>1</v>
      </c>
      <c r="AK834" s="1">
        <v>0</v>
      </c>
      <c r="AL834" s="1">
        <v>1</v>
      </c>
      <c r="AM834" s="1">
        <v>1</v>
      </c>
      <c r="AN834" s="1">
        <v>2.2000000000000002</v>
      </c>
    </row>
    <row r="835" spans="1:40">
      <c r="A835" s="1">
        <v>8505</v>
      </c>
      <c r="C835" s="1">
        <v>1.875</v>
      </c>
      <c r="D835" s="1">
        <v>1.875</v>
      </c>
      <c r="E835" s="1">
        <v>1.875</v>
      </c>
      <c r="F835" s="1">
        <v>1.875</v>
      </c>
      <c r="G835" s="1">
        <v>1.6</v>
      </c>
      <c r="H835" s="1">
        <v>1</v>
      </c>
      <c r="I835" s="1">
        <v>1</v>
      </c>
      <c r="J835" s="1">
        <v>1.4</v>
      </c>
      <c r="K835" s="1">
        <v>1.4</v>
      </c>
      <c r="L835" s="1">
        <v>1.4</v>
      </c>
      <c r="M835" s="1">
        <v>1.4</v>
      </c>
      <c r="N835" s="1">
        <v>1</v>
      </c>
      <c r="O835" s="1">
        <v>1</v>
      </c>
      <c r="P835" s="1">
        <v>1</v>
      </c>
      <c r="Q835" s="1">
        <v>1</v>
      </c>
      <c r="R835" s="1">
        <v>1</v>
      </c>
      <c r="S835" s="1">
        <v>1</v>
      </c>
      <c r="T835" s="1">
        <v>1</v>
      </c>
      <c r="U835" s="1">
        <v>1</v>
      </c>
      <c r="V835" s="1">
        <v>1.0900000000000001</v>
      </c>
      <c r="W835" s="1">
        <v>0</v>
      </c>
      <c r="X835" s="1">
        <v>0</v>
      </c>
      <c r="Y835" s="1">
        <v>0</v>
      </c>
      <c r="Z835" s="1">
        <v>0</v>
      </c>
      <c r="AA835" s="1">
        <v>0</v>
      </c>
      <c r="AB835" s="1">
        <v>0</v>
      </c>
      <c r="AC835" s="1">
        <v>5</v>
      </c>
      <c r="AD835" s="1">
        <v>12</v>
      </c>
      <c r="AE835" s="1">
        <v>1.875</v>
      </c>
      <c r="AF835" s="1">
        <v>1</v>
      </c>
      <c r="AG835" s="1">
        <v>1.4</v>
      </c>
      <c r="AH835" s="1">
        <v>1</v>
      </c>
      <c r="AI835" s="1">
        <v>3</v>
      </c>
      <c r="AJ835" s="1">
        <v>1</v>
      </c>
      <c r="AK835" s="1">
        <v>0</v>
      </c>
      <c r="AL835" s="1">
        <v>1</v>
      </c>
      <c r="AM835" s="1">
        <v>1</v>
      </c>
      <c r="AN835" s="1">
        <v>2.5</v>
      </c>
    </row>
    <row r="836" spans="1:40">
      <c r="A836" s="1">
        <v>8506</v>
      </c>
      <c r="C836" s="1">
        <v>2.0099999999999998</v>
      </c>
      <c r="D836" s="1">
        <v>2.0099999999999998</v>
      </c>
      <c r="E836" s="1">
        <v>2.0099999999999998</v>
      </c>
      <c r="F836" s="1">
        <v>2.0099999999999998</v>
      </c>
      <c r="G836" s="1">
        <v>1.68</v>
      </c>
      <c r="H836" s="1">
        <v>1</v>
      </c>
      <c r="I836" s="1">
        <v>1</v>
      </c>
      <c r="J836" s="1">
        <v>1.48</v>
      </c>
      <c r="K836" s="1">
        <v>1.48</v>
      </c>
      <c r="L836" s="1">
        <v>1.48</v>
      </c>
      <c r="M836" s="1">
        <v>1.48</v>
      </c>
      <c r="N836" s="1">
        <v>1</v>
      </c>
      <c r="O836" s="1">
        <v>1</v>
      </c>
      <c r="P836" s="1">
        <v>1</v>
      </c>
      <c r="Q836" s="1">
        <v>1</v>
      </c>
      <c r="R836" s="1">
        <v>1</v>
      </c>
      <c r="S836" s="1">
        <v>1</v>
      </c>
      <c r="T836" s="1">
        <v>1</v>
      </c>
      <c r="U836" s="1">
        <v>1</v>
      </c>
      <c r="V836" s="1">
        <v>1.1100000000000001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6</v>
      </c>
      <c r="AD836" s="1">
        <v>15</v>
      </c>
      <c r="AE836" s="1">
        <v>2.0099999999999998</v>
      </c>
      <c r="AF836" s="1">
        <v>1</v>
      </c>
      <c r="AG836" s="1">
        <v>1.48</v>
      </c>
      <c r="AH836" s="1">
        <v>1</v>
      </c>
      <c r="AI836" s="1">
        <v>3.5</v>
      </c>
      <c r="AJ836" s="1">
        <v>1</v>
      </c>
      <c r="AK836" s="1">
        <v>0</v>
      </c>
      <c r="AL836" s="1">
        <v>1</v>
      </c>
      <c r="AM836" s="1">
        <v>1</v>
      </c>
      <c r="AN836" s="1">
        <v>2.8</v>
      </c>
    </row>
    <row r="837" spans="1:40">
      <c r="A837" s="1">
        <v>8507</v>
      </c>
      <c r="C837" s="1">
        <v>2.145</v>
      </c>
      <c r="D837" s="1">
        <v>2.145</v>
      </c>
      <c r="E837" s="1">
        <v>2.145</v>
      </c>
      <c r="F837" s="1">
        <v>2.145</v>
      </c>
      <c r="G837" s="1">
        <v>1.76</v>
      </c>
      <c r="H837" s="1">
        <v>1</v>
      </c>
      <c r="I837" s="1">
        <v>1</v>
      </c>
      <c r="J837" s="1">
        <v>1.56</v>
      </c>
      <c r="K837" s="1">
        <v>1.56</v>
      </c>
      <c r="L837" s="1">
        <v>1.56</v>
      </c>
      <c r="M837" s="1">
        <v>1.56</v>
      </c>
      <c r="N837" s="1">
        <v>1</v>
      </c>
      <c r="O837" s="1">
        <v>1</v>
      </c>
      <c r="P837" s="1">
        <v>1</v>
      </c>
      <c r="Q837" s="1">
        <v>1</v>
      </c>
      <c r="R837" s="1">
        <v>1</v>
      </c>
      <c r="S837" s="1">
        <v>1</v>
      </c>
      <c r="T837" s="1">
        <v>1</v>
      </c>
      <c r="U837" s="1">
        <v>1</v>
      </c>
      <c r="V837" s="1">
        <v>1.1200000000000001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7</v>
      </c>
      <c r="AD837" s="1">
        <v>17</v>
      </c>
      <c r="AE837" s="1">
        <v>2.145</v>
      </c>
      <c r="AF837" s="1">
        <v>1</v>
      </c>
      <c r="AG837" s="1">
        <v>1.56</v>
      </c>
      <c r="AH837" s="1">
        <v>1</v>
      </c>
      <c r="AI837" s="1">
        <v>4</v>
      </c>
      <c r="AJ837" s="1">
        <v>1</v>
      </c>
      <c r="AK837" s="1">
        <v>0</v>
      </c>
      <c r="AL837" s="1">
        <v>1</v>
      </c>
      <c r="AM837" s="1">
        <v>1</v>
      </c>
      <c r="AN837" s="1">
        <v>3.1</v>
      </c>
    </row>
    <row r="838" spans="1:40">
      <c r="A838" s="1">
        <v>8508</v>
      </c>
      <c r="C838" s="1">
        <v>2.2799999999999998</v>
      </c>
      <c r="D838" s="1">
        <v>2.2799999999999998</v>
      </c>
      <c r="E838" s="1">
        <v>2.2799999999999998</v>
      </c>
      <c r="F838" s="1">
        <v>2.2799999999999998</v>
      </c>
      <c r="G838" s="1">
        <v>1.84</v>
      </c>
      <c r="H838" s="1">
        <v>1</v>
      </c>
      <c r="I838" s="1">
        <v>1</v>
      </c>
      <c r="J838" s="1">
        <v>1.64</v>
      </c>
      <c r="K838" s="1">
        <v>1.64</v>
      </c>
      <c r="L838" s="1">
        <v>1.64</v>
      </c>
      <c r="M838" s="1">
        <v>1.64</v>
      </c>
      <c r="N838" s="1">
        <v>1</v>
      </c>
      <c r="O838" s="1">
        <v>1</v>
      </c>
      <c r="P838" s="1">
        <v>1</v>
      </c>
      <c r="Q838" s="1">
        <v>1</v>
      </c>
      <c r="R838" s="1">
        <v>1</v>
      </c>
      <c r="S838" s="1">
        <v>1</v>
      </c>
      <c r="T838" s="1">
        <v>1</v>
      </c>
      <c r="U838" s="1">
        <v>1</v>
      </c>
      <c r="V838" s="1">
        <v>1.1299999999999999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8</v>
      </c>
      <c r="AD838" s="1">
        <v>20</v>
      </c>
      <c r="AE838" s="1">
        <v>2.2799999999999998</v>
      </c>
      <c r="AF838" s="1">
        <v>1</v>
      </c>
      <c r="AG838" s="1">
        <v>1.64</v>
      </c>
      <c r="AH838" s="1">
        <v>1</v>
      </c>
      <c r="AI838" s="1">
        <v>4.5</v>
      </c>
      <c r="AJ838" s="1">
        <v>1</v>
      </c>
      <c r="AK838" s="1">
        <v>0</v>
      </c>
      <c r="AL838" s="1">
        <v>1</v>
      </c>
      <c r="AM838" s="1">
        <v>1</v>
      </c>
      <c r="AN838" s="1">
        <v>3.4</v>
      </c>
    </row>
    <row r="839" spans="1:40">
      <c r="A839" s="1">
        <v>8509</v>
      </c>
      <c r="C839" s="1">
        <v>2.415</v>
      </c>
      <c r="D839" s="1">
        <v>2.415</v>
      </c>
      <c r="E839" s="1">
        <v>2.415</v>
      </c>
      <c r="F839" s="1">
        <v>2.415</v>
      </c>
      <c r="G839" s="1">
        <v>1.92</v>
      </c>
      <c r="H839" s="1">
        <v>1</v>
      </c>
      <c r="I839" s="1">
        <v>1</v>
      </c>
      <c r="J839" s="1">
        <v>1.72</v>
      </c>
      <c r="K839" s="1">
        <v>1.72</v>
      </c>
      <c r="L839" s="1">
        <v>1.72</v>
      </c>
      <c r="M839" s="1">
        <v>1.72</v>
      </c>
      <c r="N839" s="1">
        <v>1</v>
      </c>
      <c r="O839" s="1">
        <v>1</v>
      </c>
      <c r="P839" s="1">
        <v>1</v>
      </c>
      <c r="Q839" s="1">
        <v>1</v>
      </c>
      <c r="R839" s="1">
        <v>1</v>
      </c>
      <c r="S839" s="1">
        <v>1</v>
      </c>
      <c r="T839" s="1">
        <v>1</v>
      </c>
      <c r="U839" s="1">
        <v>1</v>
      </c>
      <c r="V839" s="1">
        <v>1.1399999999999999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9</v>
      </c>
      <c r="AD839" s="1">
        <v>22</v>
      </c>
      <c r="AE839" s="1">
        <v>2.415</v>
      </c>
      <c r="AF839" s="1">
        <v>1</v>
      </c>
      <c r="AG839" s="1">
        <v>1.72</v>
      </c>
      <c r="AH839" s="1">
        <v>1</v>
      </c>
      <c r="AI839" s="1">
        <v>5</v>
      </c>
      <c r="AJ839" s="1">
        <v>1</v>
      </c>
      <c r="AK839" s="1">
        <v>0</v>
      </c>
      <c r="AL839" s="1">
        <v>1</v>
      </c>
      <c r="AM839" s="1">
        <v>1</v>
      </c>
      <c r="AN839" s="1">
        <v>3.7</v>
      </c>
    </row>
    <row r="840" spans="1:40">
      <c r="A840" s="1">
        <v>8510</v>
      </c>
      <c r="C840" s="1">
        <v>2.5499999999999998</v>
      </c>
      <c r="D840" s="1">
        <v>2.5499999999999998</v>
      </c>
      <c r="E840" s="1">
        <v>2.5499999999999998</v>
      </c>
      <c r="F840" s="1">
        <v>2.5499999999999998</v>
      </c>
      <c r="G840" s="1">
        <v>2</v>
      </c>
      <c r="H840" s="1">
        <v>1</v>
      </c>
      <c r="I840" s="1">
        <v>1</v>
      </c>
      <c r="J840" s="1">
        <v>1.8</v>
      </c>
      <c r="K840" s="1">
        <v>1.8</v>
      </c>
      <c r="L840" s="1">
        <v>1.8</v>
      </c>
      <c r="M840" s="1">
        <v>1.8</v>
      </c>
      <c r="N840" s="1">
        <v>1</v>
      </c>
      <c r="O840" s="1">
        <v>1</v>
      </c>
      <c r="P840" s="1">
        <v>1</v>
      </c>
      <c r="Q840" s="1">
        <v>1</v>
      </c>
      <c r="R840" s="1">
        <v>1</v>
      </c>
      <c r="S840" s="1">
        <v>1</v>
      </c>
      <c r="T840" s="1">
        <v>1</v>
      </c>
      <c r="U840" s="1">
        <v>1</v>
      </c>
      <c r="V840" s="1">
        <v>1.1499999999999999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10</v>
      </c>
      <c r="AD840" s="1">
        <v>25</v>
      </c>
      <c r="AE840" s="1">
        <v>2.5499999999999998</v>
      </c>
      <c r="AF840" s="1">
        <v>1</v>
      </c>
      <c r="AG840" s="1">
        <v>1.8</v>
      </c>
      <c r="AH840" s="1">
        <v>1</v>
      </c>
      <c r="AI840" s="1">
        <v>6</v>
      </c>
      <c r="AJ840" s="1">
        <v>1</v>
      </c>
      <c r="AK840" s="1">
        <v>0</v>
      </c>
      <c r="AL840" s="1">
        <v>1</v>
      </c>
      <c r="AM840" s="1">
        <v>1</v>
      </c>
      <c r="AN840" s="1">
        <v>4</v>
      </c>
    </row>
    <row r="841" spans="1:40">
      <c r="A841" s="1">
        <v>9000</v>
      </c>
      <c r="C841" s="1">
        <v>1</v>
      </c>
      <c r="D841" s="1">
        <v>1</v>
      </c>
      <c r="E841" s="1">
        <v>1</v>
      </c>
      <c r="F841" s="1">
        <v>1</v>
      </c>
      <c r="G841" s="1">
        <v>1</v>
      </c>
      <c r="H841" s="1">
        <v>1</v>
      </c>
      <c r="I841" s="1">
        <v>1</v>
      </c>
      <c r="J841" s="1">
        <v>1</v>
      </c>
      <c r="K841" s="1">
        <v>1</v>
      </c>
      <c r="L841" s="1">
        <v>1</v>
      </c>
      <c r="M841" s="1">
        <v>1</v>
      </c>
      <c r="N841" s="1">
        <v>1</v>
      </c>
      <c r="O841" s="1">
        <v>1</v>
      </c>
      <c r="P841" s="1">
        <v>1</v>
      </c>
      <c r="Q841" s="1">
        <v>1</v>
      </c>
      <c r="R841" s="1">
        <v>1</v>
      </c>
      <c r="S841" s="1">
        <v>1</v>
      </c>
      <c r="T841" s="1">
        <v>1</v>
      </c>
      <c r="U841" s="1">
        <v>1</v>
      </c>
      <c r="V841" s="1">
        <v>1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1</v>
      </c>
      <c r="AF841" s="1">
        <v>1</v>
      </c>
      <c r="AG841" s="1">
        <v>1</v>
      </c>
      <c r="AH841" s="1">
        <v>1</v>
      </c>
      <c r="AI841" s="1">
        <v>1</v>
      </c>
      <c r="AJ841" s="1">
        <v>1</v>
      </c>
      <c r="AK841" s="1">
        <v>0</v>
      </c>
      <c r="AL841" s="1">
        <v>1</v>
      </c>
      <c r="AM841" s="1">
        <v>1</v>
      </c>
      <c r="AN841" s="1">
        <v>1</v>
      </c>
    </row>
    <row r="842" spans="1:40">
      <c r="A842" s="1">
        <v>9001</v>
      </c>
      <c r="C842" s="1">
        <v>1.1000000000000001</v>
      </c>
      <c r="D842" s="1">
        <v>1.1000000000000001</v>
      </c>
      <c r="E842" s="1">
        <v>1.1000000000000001</v>
      </c>
      <c r="F842" s="1">
        <v>1.1000000000000001</v>
      </c>
      <c r="G842" s="1">
        <v>1.1000000000000001</v>
      </c>
      <c r="H842" s="1">
        <v>1</v>
      </c>
      <c r="I842" s="1">
        <v>1</v>
      </c>
      <c r="J842" s="1">
        <v>1.05</v>
      </c>
      <c r="K842" s="1">
        <v>1.05</v>
      </c>
      <c r="L842" s="1">
        <v>1.05</v>
      </c>
      <c r="M842" s="1">
        <v>1.05</v>
      </c>
      <c r="N842" s="1">
        <v>1</v>
      </c>
      <c r="O842" s="1">
        <v>1</v>
      </c>
      <c r="P842" s="1">
        <v>1</v>
      </c>
      <c r="Q842" s="1">
        <v>1</v>
      </c>
      <c r="R842" s="1">
        <v>1</v>
      </c>
      <c r="S842" s="1">
        <v>1</v>
      </c>
      <c r="T842" s="1">
        <v>1</v>
      </c>
      <c r="U842" s="1">
        <v>1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1</v>
      </c>
      <c r="AD842" s="1">
        <v>2</v>
      </c>
      <c r="AE842" s="1">
        <v>1.1000000000000001</v>
      </c>
      <c r="AF842" s="1">
        <v>1</v>
      </c>
      <c r="AG842" s="1">
        <v>1.05</v>
      </c>
      <c r="AH842" s="1">
        <v>1</v>
      </c>
      <c r="AI842" s="1">
        <v>1</v>
      </c>
      <c r="AJ842" s="1">
        <v>1</v>
      </c>
      <c r="AK842" s="1">
        <v>0</v>
      </c>
      <c r="AL842" s="1">
        <v>1</v>
      </c>
      <c r="AM842" s="1">
        <v>1</v>
      </c>
      <c r="AN842" s="1">
        <v>1.3</v>
      </c>
    </row>
    <row r="843" spans="1:40">
      <c r="A843" s="1">
        <v>9002</v>
      </c>
      <c r="C843" s="1">
        <v>1.2</v>
      </c>
      <c r="D843" s="1">
        <v>1.2</v>
      </c>
      <c r="E843" s="1">
        <v>1.2</v>
      </c>
      <c r="F843" s="1">
        <v>1.2</v>
      </c>
      <c r="G843" s="1">
        <v>1.2</v>
      </c>
      <c r="H843" s="1">
        <v>1</v>
      </c>
      <c r="I843" s="1">
        <v>1</v>
      </c>
      <c r="J843" s="1">
        <v>1.1000000000000001</v>
      </c>
      <c r="K843" s="1">
        <v>1.1000000000000001</v>
      </c>
      <c r="L843" s="1">
        <v>1.1000000000000001</v>
      </c>
      <c r="M843" s="1">
        <v>1.1000000000000001</v>
      </c>
      <c r="N843" s="1">
        <v>1</v>
      </c>
      <c r="O843" s="1">
        <v>1</v>
      </c>
      <c r="P843" s="1">
        <v>1</v>
      </c>
      <c r="Q843" s="1">
        <v>1</v>
      </c>
      <c r="R843" s="1">
        <v>1</v>
      </c>
      <c r="S843" s="1">
        <v>1</v>
      </c>
      <c r="T843" s="1">
        <v>1</v>
      </c>
      <c r="U843" s="1">
        <v>1</v>
      </c>
      <c r="V843" s="1">
        <v>1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2</v>
      </c>
      <c r="AD843" s="1">
        <v>5</v>
      </c>
      <c r="AE843" s="1">
        <v>1.2</v>
      </c>
      <c r="AF843" s="1">
        <v>1</v>
      </c>
      <c r="AG843" s="1">
        <v>1.1000000000000001</v>
      </c>
      <c r="AH843" s="1">
        <v>1</v>
      </c>
      <c r="AI843" s="1">
        <v>1.2</v>
      </c>
      <c r="AJ843" s="1">
        <v>1</v>
      </c>
      <c r="AK843" s="1">
        <v>0</v>
      </c>
      <c r="AL843" s="1">
        <v>1</v>
      </c>
      <c r="AM843" s="1">
        <v>1</v>
      </c>
      <c r="AN843" s="1">
        <v>1.6</v>
      </c>
    </row>
    <row r="844" spans="1:40">
      <c r="A844" s="1">
        <v>9003</v>
      </c>
      <c r="C844" s="1">
        <v>1.3</v>
      </c>
      <c r="D844" s="1">
        <v>1.3</v>
      </c>
      <c r="E844" s="1">
        <v>1.3</v>
      </c>
      <c r="F844" s="1">
        <v>1.3</v>
      </c>
      <c r="G844" s="1">
        <v>1.3</v>
      </c>
      <c r="H844" s="1">
        <v>1</v>
      </c>
      <c r="I844" s="1">
        <v>1</v>
      </c>
      <c r="J844" s="1">
        <v>1.1499999999999999</v>
      </c>
      <c r="K844" s="1">
        <v>1.1499999999999999</v>
      </c>
      <c r="L844" s="1">
        <v>1.1499999999999999</v>
      </c>
      <c r="M844" s="1">
        <v>1.1499999999999999</v>
      </c>
      <c r="N844" s="1">
        <v>1</v>
      </c>
      <c r="O844" s="1">
        <v>1</v>
      </c>
      <c r="P844" s="1">
        <v>1</v>
      </c>
      <c r="Q844" s="1">
        <v>1</v>
      </c>
      <c r="R844" s="1">
        <v>1</v>
      </c>
      <c r="S844" s="1">
        <v>1</v>
      </c>
      <c r="T844" s="1">
        <v>1</v>
      </c>
      <c r="U844" s="1">
        <v>1</v>
      </c>
      <c r="V844" s="1">
        <v>1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3</v>
      </c>
      <c r="AD844" s="1">
        <v>7</v>
      </c>
      <c r="AE844" s="1">
        <v>1.3</v>
      </c>
      <c r="AF844" s="1">
        <v>1</v>
      </c>
      <c r="AG844" s="1">
        <v>1.1499999999999999</v>
      </c>
      <c r="AH844" s="1">
        <v>1</v>
      </c>
      <c r="AI844" s="1">
        <v>1.4</v>
      </c>
      <c r="AJ844" s="1">
        <v>1</v>
      </c>
      <c r="AK844" s="1">
        <v>0</v>
      </c>
      <c r="AL844" s="1">
        <v>1</v>
      </c>
      <c r="AM844" s="1">
        <v>1</v>
      </c>
      <c r="AN844" s="1">
        <v>1.9</v>
      </c>
    </row>
    <row r="845" spans="1:40">
      <c r="A845" s="1">
        <v>9004</v>
      </c>
      <c r="C845" s="1">
        <v>1.4</v>
      </c>
      <c r="D845" s="1">
        <v>1.4</v>
      </c>
      <c r="E845" s="1">
        <v>1.4</v>
      </c>
      <c r="F845" s="1">
        <v>1.4</v>
      </c>
      <c r="G845" s="1">
        <v>1.4</v>
      </c>
      <c r="H845" s="1">
        <v>1</v>
      </c>
      <c r="I845" s="1">
        <v>1</v>
      </c>
      <c r="J845" s="1">
        <v>1.2</v>
      </c>
      <c r="K845" s="1">
        <v>1.2</v>
      </c>
      <c r="L845" s="1">
        <v>1.2</v>
      </c>
      <c r="M845" s="1">
        <v>1.2</v>
      </c>
      <c r="N845" s="1">
        <v>1</v>
      </c>
      <c r="O845" s="1">
        <v>1</v>
      </c>
      <c r="P845" s="1">
        <v>1</v>
      </c>
      <c r="Q845" s="1">
        <v>1</v>
      </c>
      <c r="R845" s="1">
        <v>1</v>
      </c>
      <c r="S845" s="1">
        <v>1</v>
      </c>
      <c r="T845" s="1">
        <v>1</v>
      </c>
      <c r="U845" s="1">
        <v>1</v>
      </c>
      <c r="V845" s="1">
        <v>1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4</v>
      </c>
      <c r="AD845" s="1">
        <v>10</v>
      </c>
      <c r="AE845" s="1">
        <v>1.4</v>
      </c>
      <c r="AF845" s="1">
        <v>1</v>
      </c>
      <c r="AG845" s="1">
        <v>1.2</v>
      </c>
      <c r="AH845" s="1">
        <v>1</v>
      </c>
      <c r="AI845" s="1">
        <v>1.6</v>
      </c>
      <c r="AJ845" s="1">
        <v>1</v>
      </c>
      <c r="AK845" s="1">
        <v>0</v>
      </c>
      <c r="AL845" s="1">
        <v>1</v>
      </c>
      <c r="AM845" s="1">
        <v>1</v>
      </c>
      <c r="AN845" s="1">
        <v>2.2000000000000002</v>
      </c>
    </row>
    <row r="846" spans="1:40">
      <c r="A846" s="1">
        <v>9005</v>
      </c>
      <c r="C846" s="1">
        <v>1.5</v>
      </c>
      <c r="D846" s="1">
        <v>1.5</v>
      </c>
      <c r="E846" s="1">
        <v>1.5</v>
      </c>
      <c r="F846" s="1">
        <v>1.5</v>
      </c>
      <c r="G846" s="1">
        <v>1.5</v>
      </c>
      <c r="H846" s="1">
        <v>1</v>
      </c>
      <c r="I846" s="1">
        <v>1</v>
      </c>
      <c r="J846" s="1">
        <v>1.23</v>
      </c>
      <c r="K846" s="1">
        <v>1.23</v>
      </c>
      <c r="L846" s="1">
        <v>1.23</v>
      </c>
      <c r="M846" s="1">
        <v>1.23</v>
      </c>
      <c r="N846" s="1">
        <v>1</v>
      </c>
      <c r="O846" s="1">
        <v>1</v>
      </c>
      <c r="P846" s="1">
        <v>1</v>
      </c>
      <c r="Q846" s="1">
        <v>1</v>
      </c>
      <c r="R846" s="1">
        <v>1</v>
      </c>
      <c r="S846" s="1">
        <v>1</v>
      </c>
      <c r="T846" s="1">
        <v>1</v>
      </c>
      <c r="U846" s="1">
        <v>1</v>
      </c>
      <c r="V846" s="1">
        <v>1</v>
      </c>
      <c r="W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5</v>
      </c>
      <c r="AD846" s="1">
        <v>12</v>
      </c>
      <c r="AE846" s="1">
        <v>1.5</v>
      </c>
      <c r="AF846" s="1">
        <v>1</v>
      </c>
      <c r="AG846" s="1">
        <v>1.23</v>
      </c>
      <c r="AH846" s="1">
        <v>1</v>
      </c>
      <c r="AI846" s="1">
        <v>1.8</v>
      </c>
      <c r="AJ846" s="1">
        <v>1</v>
      </c>
      <c r="AK846" s="1">
        <v>0</v>
      </c>
      <c r="AL846" s="1">
        <v>1</v>
      </c>
      <c r="AM846" s="1">
        <v>1</v>
      </c>
      <c r="AN846" s="1">
        <v>2.5</v>
      </c>
    </row>
    <row r="847" spans="1:40">
      <c r="A847" s="1">
        <v>9006</v>
      </c>
      <c r="C847" s="1">
        <v>1.6</v>
      </c>
      <c r="D847" s="1">
        <v>1.6</v>
      </c>
      <c r="E847" s="1">
        <v>1.6</v>
      </c>
      <c r="F847" s="1">
        <v>1.6</v>
      </c>
      <c r="G847" s="1">
        <v>1.6</v>
      </c>
      <c r="H847" s="1">
        <v>1</v>
      </c>
      <c r="I847" s="1">
        <v>1</v>
      </c>
      <c r="J847" s="1">
        <v>1.26</v>
      </c>
      <c r="K847" s="1">
        <v>1.26</v>
      </c>
      <c r="L847" s="1">
        <v>1.26</v>
      </c>
      <c r="M847" s="1">
        <v>1.26</v>
      </c>
      <c r="N847" s="1">
        <v>1</v>
      </c>
      <c r="O847" s="1">
        <v>1</v>
      </c>
      <c r="P847" s="1">
        <v>1</v>
      </c>
      <c r="Q847" s="1">
        <v>1</v>
      </c>
      <c r="R847" s="1">
        <v>1</v>
      </c>
      <c r="S847" s="1">
        <v>1</v>
      </c>
      <c r="T847" s="1">
        <v>1</v>
      </c>
      <c r="U847" s="1">
        <v>1</v>
      </c>
      <c r="V847" s="1">
        <v>1</v>
      </c>
      <c r="W847" s="1">
        <v>0</v>
      </c>
      <c r="X847" s="1">
        <v>0</v>
      </c>
      <c r="Y847" s="1">
        <v>0</v>
      </c>
      <c r="Z847" s="1">
        <v>0</v>
      </c>
      <c r="AA847" s="1">
        <v>0</v>
      </c>
      <c r="AB847" s="1">
        <v>0</v>
      </c>
      <c r="AC847" s="1">
        <v>6</v>
      </c>
      <c r="AD847" s="1">
        <v>15</v>
      </c>
      <c r="AE847" s="1">
        <v>1.6</v>
      </c>
      <c r="AF847" s="1">
        <v>1</v>
      </c>
      <c r="AG847" s="1">
        <v>1.26</v>
      </c>
      <c r="AH847" s="1">
        <v>1</v>
      </c>
      <c r="AI847" s="1">
        <v>2</v>
      </c>
      <c r="AJ847" s="1">
        <v>1</v>
      </c>
      <c r="AK847" s="1">
        <v>0</v>
      </c>
      <c r="AL847" s="1">
        <v>1</v>
      </c>
      <c r="AM847" s="1">
        <v>1</v>
      </c>
      <c r="AN847" s="1">
        <v>2.8</v>
      </c>
    </row>
    <row r="848" spans="1:40">
      <c r="A848" s="1">
        <v>9007</v>
      </c>
      <c r="C848" s="1">
        <v>1.7</v>
      </c>
      <c r="D848" s="1">
        <v>1.7</v>
      </c>
      <c r="E848" s="1">
        <v>1.7</v>
      </c>
      <c r="F848" s="1">
        <v>1.7</v>
      </c>
      <c r="G848" s="1">
        <v>1.7</v>
      </c>
      <c r="H848" s="1">
        <v>1</v>
      </c>
      <c r="I848" s="1">
        <v>1</v>
      </c>
      <c r="J848" s="1">
        <v>1.29</v>
      </c>
      <c r="K848" s="1">
        <v>1.29</v>
      </c>
      <c r="L848" s="1">
        <v>1.29</v>
      </c>
      <c r="M848" s="1">
        <v>1.29</v>
      </c>
      <c r="N848" s="1">
        <v>1</v>
      </c>
      <c r="O848" s="1">
        <v>1</v>
      </c>
      <c r="P848" s="1">
        <v>1</v>
      </c>
      <c r="Q848" s="1">
        <v>1</v>
      </c>
      <c r="R848" s="1">
        <v>1</v>
      </c>
      <c r="S848" s="1">
        <v>1</v>
      </c>
      <c r="T848" s="1">
        <v>1</v>
      </c>
      <c r="U848" s="1">
        <v>1</v>
      </c>
      <c r="V848" s="1">
        <v>1</v>
      </c>
      <c r="W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7</v>
      </c>
      <c r="AD848" s="1">
        <v>17</v>
      </c>
      <c r="AE848" s="1">
        <v>1.7</v>
      </c>
      <c r="AF848" s="1">
        <v>1</v>
      </c>
      <c r="AG848" s="1">
        <v>1.29</v>
      </c>
      <c r="AH848" s="1">
        <v>1</v>
      </c>
      <c r="AI848" s="1">
        <v>2.2000000000000002</v>
      </c>
      <c r="AJ848" s="1">
        <v>1</v>
      </c>
      <c r="AK848" s="1">
        <v>0</v>
      </c>
      <c r="AL848" s="1">
        <v>1</v>
      </c>
      <c r="AM848" s="1">
        <v>1</v>
      </c>
      <c r="AN848" s="1">
        <v>3.1</v>
      </c>
    </row>
    <row r="849" spans="1:40">
      <c r="A849" s="1">
        <v>9008</v>
      </c>
      <c r="C849" s="1">
        <v>1.8</v>
      </c>
      <c r="D849" s="1">
        <v>1.8</v>
      </c>
      <c r="E849" s="1">
        <v>1.8</v>
      </c>
      <c r="F849" s="1">
        <v>1.8</v>
      </c>
      <c r="G849" s="1">
        <v>1.8</v>
      </c>
      <c r="H849" s="1">
        <v>1</v>
      </c>
      <c r="I849" s="1">
        <v>1</v>
      </c>
      <c r="J849" s="1">
        <v>1.32</v>
      </c>
      <c r="K849" s="1">
        <v>1.32</v>
      </c>
      <c r="L849" s="1">
        <v>1.32</v>
      </c>
      <c r="M849" s="1">
        <v>1.32</v>
      </c>
      <c r="N849" s="1">
        <v>1</v>
      </c>
      <c r="O849" s="1">
        <v>1</v>
      </c>
      <c r="P849" s="1">
        <v>1</v>
      </c>
      <c r="Q849" s="1">
        <v>1</v>
      </c>
      <c r="R849" s="1">
        <v>1</v>
      </c>
      <c r="S849" s="1">
        <v>1</v>
      </c>
      <c r="T849" s="1">
        <v>1</v>
      </c>
      <c r="U849" s="1">
        <v>1</v>
      </c>
      <c r="V849" s="1">
        <v>1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8</v>
      </c>
      <c r="AD849" s="1">
        <v>20</v>
      </c>
      <c r="AE849" s="1">
        <v>1.8</v>
      </c>
      <c r="AF849" s="1">
        <v>1</v>
      </c>
      <c r="AG849" s="1">
        <v>1.32</v>
      </c>
      <c r="AH849" s="1">
        <v>1</v>
      </c>
      <c r="AI849" s="1">
        <v>2.4</v>
      </c>
      <c r="AJ849" s="1">
        <v>1</v>
      </c>
      <c r="AK849" s="1">
        <v>0</v>
      </c>
      <c r="AL849" s="1">
        <v>1</v>
      </c>
      <c r="AM849" s="1">
        <v>1</v>
      </c>
      <c r="AN849" s="1">
        <v>3.4</v>
      </c>
    </row>
    <row r="850" spans="1:40">
      <c r="A850" s="1">
        <v>9009</v>
      </c>
      <c r="C850" s="1">
        <v>1.9</v>
      </c>
      <c r="D850" s="1">
        <v>1.9</v>
      </c>
      <c r="E850" s="1">
        <v>1.9</v>
      </c>
      <c r="F850" s="1">
        <v>1.9</v>
      </c>
      <c r="G850" s="1">
        <v>1.9</v>
      </c>
      <c r="H850" s="1">
        <v>1</v>
      </c>
      <c r="I850" s="1">
        <v>1</v>
      </c>
      <c r="J850" s="1">
        <v>1.35</v>
      </c>
      <c r="K850" s="1">
        <v>1.35</v>
      </c>
      <c r="L850" s="1">
        <v>1.35</v>
      </c>
      <c r="M850" s="1">
        <v>1.35</v>
      </c>
      <c r="N850" s="1">
        <v>1</v>
      </c>
      <c r="O850" s="1">
        <v>1</v>
      </c>
      <c r="P850" s="1">
        <v>1</v>
      </c>
      <c r="Q850" s="1">
        <v>1</v>
      </c>
      <c r="R850" s="1">
        <v>1</v>
      </c>
      <c r="S850" s="1">
        <v>1</v>
      </c>
      <c r="T850" s="1">
        <v>1</v>
      </c>
      <c r="U850" s="1">
        <v>1</v>
      </c>
      <c r="V850" s="1">
        <v>1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9</v>
      </c>
      <c r="AD850" s="1">
        <v>22</v>
      </c>
      <c r="AE850" s="1">
        <v>1.9</v>
      </c>
      <c r="AF850" s="1">
        <v>1</v>
      </c>
      <c r="AG850" s="1">
        <v>1.35</v>
      </c>
      <c r="AH850" s="1">
        <v>1</v>
      </c>
      <c r="AI850" s="1">
        <v>2.6</v>
      </c>
      <c r="AJ850" s="1">
        <v>1</v>
      </c>
      <c r="AK850" s="1">
        <v>0</v>
      </c>
      <c r="AL850" s="1">
        <v>1</v>
      </c>
      <c r="AM850" s="1">
        <v>1</v>
      </c>
      <c r="AN850" s="1">
        <v>3.7</v>
      </c>
    </row>
    <row r="851" spans="1:40">
      <c r="A851" s="1">
        <v>9010</v>
      </c>
      <c r="C851" s="1">
        <v>2</v>
      </c>
      <c r="D851" s="1">
        <v>2</v>
      </c>
      <c r="E851" s="1">
        <v>2</v>
      </c>
      <c r="F851" s="1">
        <v>2</v>
      </c>
      <c r="G851" s="1">
        <v>2</v>
      </c>
      <c r="H851" s="1">
        <v>1</v>
      </c>
      <c r="I851" s="1">
        <v>1</v>
      </c>
      <c r="J851" s="1">
        <v>1.4</v>
      </c>
      <c r="K851" s="1">
        <v>1.4</v>
      </c>
      <c r="L851" s="1">
        <v>1.4</v>
      </c>
      <c r="M851" s="1">
        <v>1.4</v>
      </c>
      <c r="N851" s="1">
        <v>1</v>
      </c>
      <c r="O851" s="1">
        <v>1</v>
      </c>
      <c r="P851" s="1">
        <v>1</v>
      </c>
      <c r="Q851" s="1">
        <v>1</v>
      </c>
      <c r="R851" s="1">
        <v>1</v>
      </c>
      <c r="S851" s="1">
        <v>1</v>
      </c>
      <c r="T851" s="1">
        <v>1</v>
      </c>
      <c r="U851" s="1">
        <v>1</v>
      </c>
      <c r="V851" s="1">
        <v>1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B851" s="1">
        <v>0</v>
      </c>
      <c r="AC851" s="1">
        <v>10</v>
      </c>
      <c r="AD851" s="1">
        <v>25</v>
      </c>
      <c r="AE851" s="1">
        <v>2</v>
      </c>
      <c r="AF851" s="1">
        <v>1</v>
      </c>
      <c r="AG851" s="1">
        <v>1.4</v>
      </c>
      <c r="AH851" s="1">
        <v>1</v>
      </c>
      <c r="AI851" s="1">
        <v>3</v>
      </c>
      <c r="AJ851" s="1">
        <v>1</v>
      </c>
      <c r="AK851" s="1">
        <v>0</v>
      </c>
      <c r="AL851" s="1">
        <v>1</v>
      </c>
      <c r="AM851" s="1">
        <v>1</v>
      </c>
      <c r="AN851" s="1">
        <v>4</v>
      </c>
    </row>
  </sheetData>
  <autoFilter ref="A1:AN851" xr:uid="{00000000-0009-0000-0000-000004000000}"/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5</vt:i4>
      </vt:variant>
    </vt:vector>
  </HeadingPairs>
  <TitlesOfParts>
    <vt:vector size="15" baseType="lpstr">
      <vt:lpstr>战灰</vt:lpstr>
      <vt:lpstr>战灰（dlc）</vt:lpstr>
      <vt:lpstr>专用战技</vt:lpstr>
      <vt:lpstr>专属战技（dlc)</vt:lpstr>
      <vt:lpstr>特殊重击（未更新）</vt:lpstr>
      <vt:lpstr>魔法</vt:lpstr>
      <vt:lpstr>祷告</vt:lpstr>
      <vt:lpstr>辅助类</vt:lpstr>
      <vt:lpstr>计算器</vt:lpstr>
      <vt:lpstr>强化等级</vt:lpstr>
      <vt:lpstr>祷告!Print_Area</vt:lpstr>
      <vt:lpstr>战灰!Print_Area</vt:lpstr>
      <vt:lpstr>专用战技!Print_Area</vt:lpstr>
      <vt:lpstr>战灰!Print_Titles</vt:lpstr>
      <vt:lpstr>专用战技!Print_Titles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jasoncmx</dc:creator>
  <cp:lastModifiedBy>Chen Mingxin</cp:lastModifiedBy>
  <cp:lastPrinted>2025-01-31T03:12:44Z</cp:lastPrinted>
  <dcterms:created xsi:type="dcterms:W3CDTF">2022-04-03T14:28:00Z</dcterms:created>
  <dcterms:modified xsi:type="dcterms:W3CDTF">2025-01-31T16:22:35Z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eadingLayout">
    <vt:bool>false</vt:bool>
  </property>
  <property fmtid="{D5CDD505-2E9C-101B-9397-08002B2CF9AE}" pid="3" name="ICV">
    <vt:lpwstr>4C716B99659F43EC8333F15146C3AE3A</vt:lpwstr>
  </property>
  <property fmtid="{D5CDD505-2E9C-101B-9397-08002B2CF9AE}" pid="4" name="KSOProductBuildVer">
    <vt:lpwstr>2052-11.1.0.12598</vt:lpwstr>
  </property>
</Properties>
</file>